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 Calendar" sheetId="1" r:id="rId5"/>
    <sheet state="visible" name="Teacher Calendar" sheetId="2" r:id="rId6"/>
    <sheet state="visible" name="Pacing" sheetId="3" r:id="rId7"/>
    <sheet state="visible" name="Phy Resources" sheetId="4" r:id="rId8"/>
    <sheet state="visible" name="Materials" sheetId="5" r:id="rId9"/>
    <sheet state="visible" name="Structures" sheetId="6" r:id="rId10"/>
    <sheet state="visible" name="Alg Resources" sheetId="7" r:id="rId11"/>
    <sheet state="visible" name="Calc Resources" sheetId="8" r:id="rId12"/>
    <sheet state="visible" name="Pacing Guide" sheetId="9" r:id="rId13"/>
    <sheet state="visible" name="Directions" sheetId="10" r:id="rId14"/>
  </sheets>
  <definedNames/>
  <calcPr/>
</workbook>
</file>

<file path=xl/sharedStrings.xml><?xml version="1.0" encoding="utf-8"?>
<sst xmlns="http://schemas.openxmlformats.org/spreadsheetml/2006/main" count="3245" uniqueCount="204">
  <si>
    <t>0.1 Get Acquainted</t>
  </si>
  <si>
    <t>Warm Up</t>
  </si>
  <si>
    <t>WK</t>
  </si>
  <si>
    <t>Monday</t>
  </si>
  <si>
    <t>Tuesday</t>
  </si>
  <si>
    <t>Wednesday</t>
  </si>
  <si>
    <t>Notes</t>
  </si>
  <si>
    <t>Thursday</t>
  </si>
  <si>
    <t>Friday</t>
  </si>
  <si>
    <t>Practice Set</t>
  </si>
  <si>
    <t>Notes Teacher</t>
  </si>
  <si>
    <t>Exit Ticket</t>
  </si>
  <si>
    <t>Give Exit Ticket</t>
  </si>
  <si>
    <t>PT Teacher</t>
  </si>
  <si>
    <t>Assess Plan</t>
  </si>
  <si>
    <t>Perform Task</t>
  </si>
  <si>
    <t>Quick Check</t>
  </si>
  <si>
    <t>Practice 2</t>
  </si>
  <si>
    <t>Practice 3</t>
  </si>
  <si>
    <t>Investigation</t>
  </si>
  <si>
    <t>Extra Practice</t>
  </si>
  <si>
    <t>Invest Teacher</t>
  </si>
  <si>
    <t>all 3 days.</t>
  </si>
  <si>
    <t>Physics Student Resources</t>
  </si>
  <si>
    <t>Overview</t>
  </si>
  <si>
    <t>Activity</t>
  </si>
  <si>
    <t>Textbook</t>
  </si>
  <si>
    <t>Scroll Down for Previous Weeks</t>
  </si>
  <si>
    <t>Formula Sheet</t>
  </si>
  <si>
    <t>House Keeping</t>
  </si>
  <si>
    <t>Printables</t>
  </si>
  <si>
    <t>Return Portfolio</t>
  </si>
  <si>
    <t>Desmos</t>
  </si>
  <si>
    <t>Don't Change Weeks columns below. Hide these 3 rows at start of school.</t>
  </si>
  <si>
    <t>Survey</t>
  </si>
  <si>
    <t>In order to update week Just change week number. Also don't edit week above. If you need to change lesson do it below.</t>
  </si>
  <si>
    <t>Canvas</t>
  </si>
  <si>
    <t>Enter Start Date Below</t>
  </si>
  <si>
    <t>1.1: Think Physics</t>
  </si>
  <si>
    <t>Upload Spot</t>
  </si>
  <si>
    <t>Demo</t>
  </si>
  <si>
    <t>PhET</t>
  </si>
  <si>
    <t>Change number above</t>
  </si>
  <si>
    <t>oPhysics</t>
  </si>
  <si>
    <t>Walter F</t>
  </si>
  <si>
    <t>Falsted</t>
  </si>
  <si>
    <t>Lewin Videos</t>
  </si>
  <si>
    <t>Hewitt Videos</t>
  </si>
  <si>
    <t>CYU</t>
  </si>
  <si>
    <t>Progress</t>
  </si>
  <si>
    <t>Labor Day</t>
  </si>
  <si>
    <t>Physics Teacher Resources</t>
  </si>
  <si>
    <t>Review</t>
  </si>
  <si>
    <t>Year at a Glance</t>
  </si>
  <si>
    <t>Activity Structures</t>
  </si>
  <si>
    <t>Demo Teacher</t>
  </si>
  <si>
    <t>Welcomes</t>
  </si>
  <si>
    <t>Reflection</t>
  </si>
  <si>
    <t>St Marys Video Labs</t>
  </si>
  <si>
    <t>Rutgers Video Labs</t>
  </si>
  <si>
    <t>Aviary Labs</t>
  </si>
  <si>
    <t>Physics Classroom</t>
  </si>
  <si>
    <t>Physics Lessons</t>
  </si>
  <si>
    <t>Circuit Drawing Tool</t>
  </si>
  <si>
    <t>Sum Assess</t>
  </si>
  <si>
    <t>First 4 Days</t>
  </si>
  <si>
    <t>Bank</t>
  </si>
  <si>
    <t>Lessons Unit 1</t>
  </si>
  <si>
    <t>Items to Print</t>
  </si>
  <si>
    <t>Assorted Resources</t>
  </si>
  <si>
    <t>Lessons Unit 2</t>
  </si>
  <si>
    <t>1.2: Forces &amp; N1L</t>
  </si>
  <si>
    <t>Lessons Unit 3</t>
  </si>
  <si>
    <t>Lessons Unit 4</t>
  </si>
  <si>
    <t>Lessons Unit 5</t>
  </si>
  <si>
    <t>Lessons Unit 6</t>
  </si>
  <si>
    <t>Lessons Unit 7</t>
  </si>
  <si>
    <t>Lessons Unit 8</t>
  </si>
  <si>
    <t>1.3: Net Force &amp; Vec</t>
  </si>
  <si>
    <t>1.4: Equilibrium</t>
  </si>
  <si>
    <t>STTS CPM</t>
  </si>
  <si>
    <t>My Structures</t>
  </si>
  <si>
    <t>Showdown — Each student solves independently, then the group reveals answers simultaneously and discusses any differences.</t>
  </si>
  <si>
    <t>Rally Coach — Partners alternate roles as writer and coach, with the coach guiding without giving answers.</t>
  </si>
  <si>
    <t>Traveling Salesman — A group solves a problem together, then one member travels to another group to present the solution.</t>
  </si>
  <si>
    <t>Solution Relay — Each student writes a procedure individually before the group shares, refines, and then solves.</t>
  </si>
  <si>
    <t>Numbered Heads Together — Groups solve collaboratively, but any member may be called on to explain, so everyone must understand.</t>
  </si>
  <si>
    <t>Round Table — One whiteboard passes around the group, with each student contributing exactly one step before passing.</t>
  </si>
  <si>
    <t>Tarsia Puzzle — Students match expressions or answers along puzzle edges until the pieces form a complete shape.</t>
  </si>
  <si>
    <t>Find Someone Who — Students solve independently, then circulate to compare answers and work through unknowns with different partners.</t>
  </si>
  <si>
    <t>Stations — Students rotate through 8 timed problem stations around the room, recording answers on a record sheet.</t>
  </si>
  <si>
    <t>Whiteboard Partners — Partners share one whiteboard, alternate writing, and check each other's work throughout.</t>
  </si>
  <si>
    <t>Blooket — Students answer vocabulary, conceptual, and calculation questions independently in a live digital game.</t>
  </si>
  <si>
    <t>Claude Game — Same format as Blooket but with AI-generated questions built for the specific content being studied.</t>
  </si>
  <si>
    <t>Buzzonk — Students work a full problem set and buzz in when ready; the first correct answer earns points.</t>
  </si>
  <si>
    <t>Brainstorming — One sheet circulates the group as each student adds a unique idea about the question before solving begins.</t>
  </si>
  <si>
    <t>Desmos Activity — Students work independently through a teacher-paced digital activity with interactive prompts and real-time teacher visibility.</t>
  </si>
  <si>
    <t>Investigation — Students test a conjecture, take measurements, or discover a pattern by working through a structured task in order.</t>
  </si>
  <si>
    <t>Snowball Fight — Students write questions, crumple the paper and throw it, then answer whatever snowball they pick up and check with the author.</t>
  </si>
  <si>
    <t>Whiteboard Indy — Individual whiteboard, work together, ask questions</t>
  </si>
  <si>
    <t>Mathematical Mystery Box — Teams get one clue at a time (domain, range, points, behavior) to guess a hidden function. Wrong guesses eliminate, first correct wins.</t>
  </si>
  <si>
    <t>Mistake Marketplace — Teams build problems with required error types, trade with others, then identify and fix mistakes.</t>
  </si>
  <si>
    <t>Mathematical Hot Seat — One student faces away from the screen; teammates see the problem and give verbal clues to help them solve it.</t>
  </si>
  <si>
    <t>One Up, One Down — Given a solved problem, teams create one slightly easier and one slightly harder version of the same concept.</t>
  </si>
  <si>
    <t>Speed Dating Math — Students switch partners every 3–4 minutes, bringing previous work to share as they tackle increasingly difficult problems.</t>
  </si>
  <si>
    <t>Error Analysis Gallery — Teams find and correct intentional mistakes in sample work, then explain their reasoning.</t>
  </si>
  <si>
    <t>Show Your Work Relay — Each student on a team completes one step of a multi-step problem before passing it to the next teammate.</t>
  </si>
  <si>
    <t>Build the Problem — Given the final answer and constraints, teams reverse-engineer a problem that produces that result.</t>
  </si>
  <si>
    <t>Whiteboard Telephone — Teams take turns solving one step at a time; the next team either continues or fixes an error from the previous step.</t>
  </si>
  <si>
    <t>Function Scavenger Hunt — Teams race to identify specific features (asymptotes, maxima, domain restrictions) on a complex graph.</t>
  </si>
  <si>
    <t>1.5: Force Models</t>
  </si>
  <si>
    <t>Algebra Student Resources</t>
  </si>
  <si>
    <t>Unit 1 Sum Assess</t>
  </si>
  <si>
    <t>2.1: Motion &amp; Ref</t>
  </si>
  <si>
    <t>Virtual Tools</t>
  </si>
  <si>
    <t>Line Graphing Practice</t>
  </si>
  <si>
    <t>Geogebra</t>
  </si>
  <si>
    <t>Vernier</t>
  </si>
  <si>
    <t>Vernier Hints</t>
  </si>
  <si>
    <t>Algebra Teacher Resources</t>
  </si>
  <si>
    <t>Flipped Math</t>
  </si>
  <si>
    <t>2.2: Speed &amp; Vel</t>
  </si>
  <si>
    <t>AP Calc Student Resources</t>
  </si>
  <si>
    <t>AP Classroom</t>
  </si>
  <si>
    <t>AP Central</t>
  </si>
  <si>
    <t>2.3: Acceleration</t>
  </si>
  <si>
    <t>When You See</t>
  </si>
  <si>
    <t>Cheat Sheet</t>
  </si>
  <si>
    <t>Note Cards</t>
  </si>
  <si>
    <t>Parent Functions</t>
  </si>
  <si>
    <t>Slope Fields</t>
  </si>
  <si>
    <t>Cross Sections</t>
  </si>
  <si>
    <t>Volumes of Revolution</t>
  </si>
  <si>
    <t>Calc in 20 Minutes</t>
  </si>
  <si>
    <t>Khan Academy</t>
  </si>
  <si>
    <t>FRQ Videos</t>
  </si>
  <si>
    <t>AP Calc Teacher Resources</t>
  </si>
  <si>
    <t>2.4: Free Fall</t>
  </si>
  <si>
    <t>2.5: Vel Vectors</t>
  </si>
  <si>
    <t>Unit 2 Sum Ass</t>
  </si>
  <si>
    <t>3.1: Force &amp; Accel</t>
  </si>
  <si>
    <t>3.2: Friction</t>
  </si>
  <si>
    <t>Day 1</t>
  </si>
  <si>
    <t>Day 2</t>
  </si>
  <si>
    <t>Day 3</t>
  </si>
  <si>
    <t>Day 4</t>
  </si>
  <si>
    <t>Day 5</t>
  </si>
  <si>
    <t>3.3: Fall &amp; Drag</t>
  </si>
  <si>
    <t>Day 6</t>
  </si>
  <si>
    <t>Day 7</t>
  </si>
  <si>
    <t>Day 8</t>
  </si>
  <si>
    <t>3.4: Newton's 3rd</t>
  </si>
  <si>
    <t>Day 9</t>
  </si>
  <si>
    <t>Day 10</t>
  </si>
  <si>
    <t>3.5: Projectile</t>
  </si>
  <si>
    <t>PD</t>
  </si>
  <si>
    <t>Day 11</t>
  </si>
  <si>
    <t>Day 12</t>
  </si>
  <si>
    <t>Day 13</t>
  </si>
  <si>
    <t>Day 14</t>
  </si>
  <si>
    <t>Day 15</t>
  </si>
  <si>
    <t>Unit 3 Sum Assess</t>
  </si>
  <si>
    <t>4.1: Mom &amp; Impulse</t>
  </si>
  <si>
    <t>4.2: Conserve Mom</t>
  </si>
  <si>
    <t>Day 16</t>
  </si>
  <si>
    <t>Day 17</t>
  </si>
  <si>
    <t>Day 18</t>
  </si>
  <si>
    <t>Day 19</t>
  </si>
  <si>
    <t>Day 20</t>
  </si>
  <si>
    <t>4.3: Work &amp; Energy</t>
  </si>
  <si>
    <t>4.4: Conserve Energy</t>
  </si>
  <si>
    <t>4.5: Energy &amp; Society</t>
  </si>
  <si>
    <t>Unit 4 Sum Assess</t>
  </si>
  <si>
    <t>5.1: Waves &amp; Vibr</t>
  </si>
  <si>
    <t>5.2: Wave Interact</t>
  </si>
  <si>
    <t>5.3: Sound</t>
  </si>
  <si>
    <t>5.4: Refl/Refr/Res</t>
  </si>
  <si>
    <t>5.5: Beats &amp; Interf</t>
  </si>
  <si>
    <t>Unit 5 Sum Assess</t>
  </si>
  <si>
    <t>6.1: Nature of Light</t>
  </si>
  <si>
    <t>6.2: Refl &amp; Mirrors</t>
  </si>
  <si>
    <t>6.3: Refraction &amp; TIR</t>
  </si>
  <si>
    <t>6.4: Lenses &amp; Optics</t>
  </si>
  <si>
    <t>6.5: Optical Apps</t>
  </si>
  <si>
    <t>Unit 6 Sum Assess</t>
  </si>
  <si>
    <t>7.1: Charge &amp; Forces</t>
  </si>
  <si>
    <t>7.2: Voltage &amp; Current</t>
  </si>
  <si>
    <t>7.3: R &amp; Ohm's Law</t>
  </si>
  <si>
    <t>7.4: Power &amp; Energy</t>
  </si>
  <si>
    <t>7.5: Complex Circuits</t>
  </si>
  <si>
    <t>Unit 7 Sum Assess</t>
  </si>
  <si>
    <t>8.1: Magnetic Fields</t>
  </si>
  <si>
    <t>8.2: E &amp; Magnetism</t>
  </si>
  <si>
    <t>8.3: Electromagnets</t>
  </si>
  <si>
    <t>8.4: Generators &amp; AC</t>
  </si>
  <si>
    <t>8.5: Modern EM Systems</t>
  </si>
  <si>
    <t>Unit 8 Sum Assess</t>
  </si>
  <si>
    <t>Put in info to do to set up school year</t>
  </si>
  <si>
    <t>Agenda</t>
  </si>
  <si>
    <t>Links???</t>
  </si>
  <si>
    <t>Powerschool</t>
  </si>
  <si>
    <t>No School</t>
  </si>
  <si>
    <t>Last Day</t>
  </si>
  <si>
    <t>1/2 Day Last 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</si>
</sst>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&quot;/&quot;d"/>
    <numFmt numFmtId="165" formatCode="m/d"/>
  </numFmts>
  <fonts count="94">
    <font>
      <sz val="10.0"/>
      <color rgb="FF000000"/>
      <name val="Arial"/>
      <scheme val="minor"/>
    </font>
    <font>
      <b/>
      <sz val="10.0"/>
      <color theme="1"/>
      <name val="Montserrat"/>
    </font>
    <font>
      <b/>
      <sz val="9.0"/>
      <color theme="1"/>
      <name val="Arial"/>
    </font>
    <font>
      <b/>
      <u/>
      <sz val="10.0"/>
      <color rgb="FF0000FF"/>
      <name val="Montserrat"/>
    </font>
    <font>
      <b/>
      <sz val="12.0"/>
      <color theme="1"/>
      <name val="Arial"/>
    </font>
    <font>
      <b/>
      <sz val="11.0"/>
      <color theme="1"/>
      <name val="Montserrat"/>
    </font>
    <font>
      <u/>
      <color rgb="FF0000FF"/>
      <name val="Montserrat"/>
    </font>
    <font>
      <sz val="9.0"/>
      <color theme="1"/>
      <name val="Arial"/>
    </font>
    <font>
      <b/>
      <sz val="11.0"/>
      <color rgb="FFFFFFFF"/>
      <name val="Montserrat"/>
    </font>
    <font>
      <color theme="1"/>
      <name val="Arial"/>
    </font>
    <font>
      <sz val="18.0"/>
      <color theme="1"/>
      <name val="Arial"/>
    </font>
    <font>
      <b/>
      <u/>
      <sz val="11.0"/>
      <color rgb="FF0000FF"/>
      <name val="Montserrat"/>
    </font>
    <font>
      <b/>
      <u/>
      <sz val="11.0"/>
      <color rgb="FF0000FF"/>
      <name val="Montserrat"/>
    </font>
    <font>
      <u/>
      <color rgb="FF0000FF"/>
      <name val="Montserrat"/>
    </font>
    <font>
      <color theme="1"/>
      <name val="Montserrat"/>
    </font>
    <font>
      <sz val="10.0"/>
      <color theme="1"/>
      <name val="Montserrat"/>
    </font>
    <font>
      <u/>
      <sz val="11.0"/>
      <color theme="1"/>
      <name val="Montserrat"/>
    </font>
    <font/>
    <font>
      <b/>
      <u/>
      <sz val="11.0"/>
      <color rgb="FF0000FF"/>
      <name val="Montserrat"/>
    </font>
    <font>
      <b/>
      <u/>
      <sz val="11.0"/>
      <color rgb="FF0000FF"/>
      <name val="Montserrat"/>
    </font>
    <font>
      <sz val="11.0"/>
      <color theme="1"/>
      <name val="Montserrat"/>
    </font>
    <font>
      <u/>
      <sz val="11.0"/>
      <color theme="1"/>
      <name val="Montserrat"/>
    </font>
    <font>
      <u/>
      <sz val="11.0"/>
      <color theme="1"/>
      <name val="Montserrat"/>
    </font>
    <font>
      <u/>
      <sz val="11.0"/>
      <color theme="1"/>
      <name val="Montserrat"/>
    </font>
    <font>
      <u/>
      <sz val="11.0"/>
      <color theme="1"/>
      <name val="Montserrat"/>
    </font>
    <font>
      <u/>
      <sz val="11.0"/>
      <color theme="1"/>
      <name val="Montserrat"/>
    </font>
    <font>
      <b/>
      <sz val="11.0"/>
      <color theme="1"/>
      <name val="Arial"/>
    </font>
    <font>
      <b/>
      <sz val="11.0"/>
      <color rgb="FFFFFFFF"/>
      <name val="Arial"/>
    </font>
    <font>
      <sz val="11.0"/>
      <color theme="1"/>
      <name val="Arial"/>
      <scheme val="minor"/>
    </font>
    <font>
      <b/>
      <u/>
      <sz val="11.0"/>
      <color rgb="FF0000FF"/>
    </font>
    <font>
      <sz val="10.0"/>
      <color theme="1"/>
      <name val="Arial"/>
    </font>
    <font>
      <b/>
      <u/>
      <sz val="11.0"/>
      <color rgb="FF0000FF"/>
      <name val="Arial"/>
    </font>
    <font>
      <sz val="9.0"/>
      <color rgb="FF000000"/>
      <name val="Arial"/>
    </font>
    <font>
      <sz val="18.0"/>
      <color rgb="FF000000"/>
      <name val="Arial"/>
    </font>
    <font>
      <u/>
      <color rgb="FF0000FF"/>
      <name val="Montserrat"/>
    </font>
    <font>
      <sz val="11.0"/>
      <color rgb="FF000000"/>
      <name val="Arial"/>
    </font>
    <font>
      <b/>
      <color theme="1"/>
      <name val="Montserrat"/>
    </font>
    <font>
      <b/>
      <u/>
      <sz val="11.0"/>
      <color rgb="FF0000FF"/>
      <name val="Montserrat"/>
    </font>
    <font>
      <b/>
      <u/>
      <color rgb="FF0000FF"/>
      <name val="Montserrat"/>
    </font>
    <font>
      <u/>
      <color rgb="FF0000FF"/>
      <name val="Montserrat"/>
    </font>
    <font>
      <b/>
      <color rgb="FF000000"/>
      <name val="Arial"/>
    </font>
    <font>
      <u/>
      <sz val="11.0"/>
      <color theme="1"/>
      <name val="Montserrat"/>
    </font>
    <font>
      <u/>
      <sz val="11.0"/>
      <color rgb="FF0000FF"/>
      <name val="Montserrat"/>
    </font>
    <font>
      <sz val="11.0"/>
      <color theme="1"/>
      <name val="Arial"/>
    </font>
    <font>
      <sz val="11.0"/>
      <color rgb="FF0000FF"/>
      <name val="Montserrat"/>
    </font>
    <font>
      <color rgb="FF000000"/>
      <name val="Arial"/>
    </font>
    <font>
      <b/>
      <u/>
      <sz val="11.0"/>
      <color rgb="FF0000FF"/>
    </font>
    <font>
      <b/>
      <u/>
      <sz val="11.0"/>
      <color theme="1"/>
      <name val="Montserrat"/>
    </font>
    <font>
      <u/>
      <color rgb="FF0000FF"/>
      <name val="Montserrat"/>
    </font>
    <font>
      <b/>
      <sz val="12.0"/>
      <color rgb="FFFFFFFF"/>
      <name val="Arial"/>
    </font>
    <font>
      <sz val="11.0"/>
      <color theme="1"/>
      <name val="Times New Roman"/>
    </font>
    <font>
      <u/>
      <sz val="11.0"/>
      <color rgb="FF1155CC"/>
      <name val="Times New Roman"/>
    </font>
    <font>
      <sz val="10.0"/>
      <color rgb="FF000000"/>
      <name val="Arial"/>
    </font>
    <font>
      <b/>
      <u/>
      <sz val="12.0"/>
      <color theme="1"/>
      <name val="Times New Roman"/>
    </font>
    <font>
      <color theme="1"/>
      <name val="Times New Roman"/>
    </font>
    <font>
      <u/>
      <color rgb="FF1155CC"/>
      <name val="Arial"/>
    </font>
    <font>
      <sz val="11.0"/>
      <color rgb="FF1155CC"/>
      <name val="Times New Roman"/>
    </font>
    <font>
      <sz val="14.0"/>
      <color rgb="FF000000"/>
      <name val="Times New Roman"/>
    </font>
    <font>
      <sz val="14.0"/>
      <color theme="1"/>
      <name val="Times New Roman"/>
    </font>
    <font>
      <u/>
      <color rgb="FF0000FF"/>
      <name val="Montserrat"/>
    </font>
    <font>
      <u/>
      <color rgb="FF1155CC"/>
      <name val="Times New Roman"/>
    </font>
    <font>
      <sz val="15.0"/>
      <color rgb="FF212529"/>
      <name val="Times New Roman"/>
    </font>
    <font>
      <b/>
      <u/>
      <sz val="12.0"/>
      <color theme="1"/>
      <name val="Times New Roman"/>
    </font>
    <font>
      <u/>
      <sz val="14.0"/>
      <color rgb="FF1155CC"/>
      <name val="Times New Roman"/>
    </font>
    <font>
      <u/>
      <sz val="10.0"/>
      <color rgb="FF1155CC"/>
      <name val="Times New Roman"/>
    </font>
    <font>
      <sz val="10.0"/>
      <color rgb="FF1155CC"/>
      <name val="Times New Roman"/>
    </font>
    <font>
      <color rgb="FF1155CC"/>
      <name val="Times New Roman"/>
    </font>
    <font>
      <u/>
      <sz val="12.0"/>
      <color rgb="FF1155CC"/>
      <name val="Arial"/>
    </font>
    <font>
      <b/>
      <u/>
      <sz val="12.0"/>
      <color rgb="FF000000"/>
      <name val="Times New Roman"/>
    </font>
    <font>
      <sz val="10.0"/>
      <color rgb="FF212529"/>
      <name val="Times New Roman"/>
    </font>
    <font>
      <u/>
      <sz val="12.0"/>
      <color rgb="FF212529"/>
      <name val="Arial"/>
    </font>
    <font>
      <b/>
      <u/>
      <sz val="20.0"/>
      <color rgb="FF1155CC"/>
      <name val="Arial"/>
    </font>
    <font>
      <b/>
      <u/>
      <sz val="18.0"/>
      <color rgb="FF1155CC"/>
      <name val="Arial"/>
    </font>
    <font>
      <color rgb="FF0F1115"/>
      <name val="Quote-cjk-patch"/>
    </font>
    <font>
      <u/>
      <color rgb="FF0000FF"/>
      <name val="Arial"/>
    </font>
    <font>
      <b/>
      <sz val="11.0"/>
      <color theme="1"/>
      <name val="Arial"/>
      <scheme val="minor"/>
    </font>
    <font>
      <u/>
      <color rgb="FF0000FF"/>
      <name val="Montserrat"/>
    </font>
    <font>
      <b/>
      <sz val="10.0"/>
      <color theme="1"/>
      <name val="Arial"/>
    </font>
    <font>
      <b/>
      <u/>
      <sz val="10.0"/>
      <color rgb="FF0000FF"/>
      <name val="Montserrat"/>
    </font>
    <font>
      <u/>
      <sz val="10.0"/>
      <color rgb="FF0000FF"/>
      <name val="Montserrat"/>
    </font>
    <font>
      <u/>
      <sz val="10.0"/>
      <color rgb="FF0000FF"/>
      <name val="Montserrat"/>
    </font>
    <font>
      <u/>
      <sz val="10.0"/>
      <color rgb="FF0000FF"/>
      <name val="Montserrat"/>
    </font>
    <font>
      <u/>
      <sz val="10.0"/>
      <color rgb="FF0000FF"/>
      <name val="Montserrat"/>
    </font>
    <font>
      <u/>
      <color rgb="FF0000FF"/>
      <name val="Arial"/>
    </font>
    <font>
      <u/>
      <sz val="10.0"/>
      <color theme="1"/>
      <name val="Montserrat"/>
    </font>
    <font>
      <b/>
      <u/>
      <sz val="10.0"/>
      <color rgb="FF0000FF"/>
      <name val="Montserrat"/>
    </font>
    <font>
      <b/>
      <sz val="10.0"/>
      <color rgb="FF000000"/>
      <name val="Arial"/>
    </font>
    <font>
      <u/>
      <sz val="11.0"/>
      <color rgb="FF0000FF"/>
      <name val="Montserrat"/>
    </font>
    <font>
      <u/>
      <sz val="11.0"/>
      <color rgb="FF0000FF"/>
      <name val="Montserrat"/>
    </font>
    <font>
      <u/>
      <sz val="10.0"/>
      <color rgb="FF0000FF"/>
      <name val="Montserrat"/>
    </font>
    <font>
      <b/>
      <u/>
      <sz val="11.0"/>
      <color rgb="FF0000FF"/>
      <name val="Montserrat"/>
    </font>
    <font>
      <b/>
      <u/>
      <sz val="11.0"/>
      <color rgb="FF0000FF"/>
      <name val="Montserrat"/>
    </font>
    <font>
      <u/>
      <sz val="11.0"/>
      <color rgb="FF0000FF"/>
      <name val="Montserrat"/>
    </font>
    <font>
      <b/>
      <u/>
      <sz val="11.0"/>
      <color rgb="FF0000FF"/>
      <name val="Montserrat"/>
    </font>
  </fonts>
  <fills count="2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3D85C6"/>
        <bgColor rgb="FF3D85C6"/>
      </patternFill>
    </fill>
    <fill>
      <patternFill patternType="solid">
        <fgColor rgb="FFA4C2F4"/>
        <bgColor rgb="FFA4C2F4"/>
      </patternFill>
    </fill>
    <fill>
      <patternFill patternType="solid">
        <fgColor rgb="FFF46524"/>
        <bgColor rgb="FFF46524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E6DD"/>
        <bgColor rgb="FFFFE6DD"/>
      </patternFill>
    </fill>
    <fill>
      <patternFill patternType="solid">
        <fgColor rgb="FF1C4587"/>
        <bgColor rgb="FF1C4587"/>
      </patternFill>
    </fill>
    <fill>
      <patternFill patternType="solid">
        <fgColor rgb="FFCCCCCC"/>
        <bgColor rgb="FFCCCCCC"/>
      </patternFill>
    </fill>
    <fill>
      <patternFill patternType="solid">
        <fgColor rgb="FFFCE5CD"/>
        <bgColor rgb="FFFCE5CD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F1C232"/>
        <bgColor rgb="FFF1C232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</fills>
  <borders count="20">
    <border/>
    <border>
      <left style="hair">
        <color rgb="FF000000"/>
      </left>
      <right style="hair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</border>
    <border>
      <right style="thick">
        <color rgb="FF000000"/>
      </right>
    </border>
    <border>
      <right style="thin">
        <color rgb="FF000000"/>
      </right>
    </border>
    <border>
      <left style="hair">
        <color rgb="FF000000"/>
      </left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3" fontId="2" numFmtId="0" xfId="0" applyAlignment="1" applyFill="1" applyFont="1">
      <alignment horizontal="center" vertical="center"/>
    </xf>
    <xf borderId="0" fillId="2" fontId="3" numFmtId="0" xfId="0" applyAlignment="1" applyFill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vertical="center"/>
    </xf>
    <xf borderId="1" fillId="3" fontId="5" numFmtId="0" xfId="0" applyAlignment="1" applyBorder="1" applyFill="1" applyFont="1">
      <alignment horizontal="center" vertical="center"/>
    </xf>
    <xf borderId="0" fillId="2" fontId="6" numFmtId="0" xfId="0" applyAlignment="1" applyFill="1" applyFont="1">
      <alignment horizontal="center" readingOrder="0" shrinkToFit="0" wrapText="1"/>
    </xf>
    <xf borderId="1" fillId="4" fontId="5" numFmtId="0" xfId="0" applyAlignment="1" applyBorder="1" applyFill="1" applyFont="1">
      <alignment horizontal="center" vertical="center"/>
    </xf>
    <xf borderId="0" fillId="3" fontId="4" numFmtId="0" xfId="0" applyAlignment="1" applyFill="1" applyFont="1">
      <alignment horizontal="center" vertical="center"/>
    </xf>
    <xf borderId="0" fillId="0" fontId="7" numFmtId="0" xfId="0" applyAlignment="1" applyFont="1">
      <alignment horizontal="center" shrinkToFit="0" wrapText="1"/>
    </xf>
    <xf borderId="2" fillId="5" fontId="8" numFmtId="164" xfId="0" applyAlignment="1" applyBorder="1" applyFill="1" applyFont="1" applyNumberFormat="1">
      <alignment horizontal="left" shrinkToFit="0" vertical="bottom" wrapText="1"/>
    </xf>
    <xf borderId="0" fillId="2" fontId="9" numFmtId="0" xfId="0" applyFill="1" applyFont="1"/>
    <xf borderId="3" fillId="2" fontId="9" numFmtId="0" xfId="0" applyBorder="1" applyFill="1" applyFont="1"/>
    <xf borderId="4" fillId="0" fontId="10" numFmtId="0" xfId="0" applyAlignment="1" applyBorder="1" applyFont="1">
      <alignment horizontal="center" shrinkToFit="0" vertical="center" wrapText="1"/>
    </xf>
    <xf borderId="2" fillId="5" fontId="5" numFmtId="164" xfId="0" applyAlignment="1" applyBorder="1" applyFill="1" applyFont="1" applyNumberFormat="1">
      <alignment horizontal="left" shrinkToFit="0" vertical="bottom" wrapText="1"/>
    </xf>
    <xf borderId="2" fillId="6" fontId="11" numFmtId="0" xfId="0" applyAlignment="1" applyBorder="1" applyFill="1" applyFont="1">
      <alignment horizontal="center" vertical="bottom"/>
    </xf>
    <xf borderId="2" fillId="6" fontId="12" numFmtId="0" xfId="0" applyAlignment="1" applyBorder="1" applyFill="1" applyFont="1">
      <alignment horizontal="center" shrinkToFit="0" vertical="bottom" wrapText="1"/>
    </xf>
    <xf borderId="0" fillId="7" fontId="13" numFmtId="0" xfId="0" applyAlignment="1" applyFill="1" applyFont="1">
      <alignment horizontal="center" readingOrder="0" shrinkToFit="0" wrapText="1"/>
    </xf>
    <xf borderId="0" fillId="7" fontId="14" numFmtId="0" xfId="0" applyAlignment="1" applyFill="1" applyFont="1">
      <alignment horizontal="center" shrinkToFit="0" wrapText="1"/>
    </xf>
    <xf borderId="0" fillId="2" fontId="14" numFmtId="0" xfId="0" applyAlignment="1" applyFill="1" applyFont="1">
      <alignment horizontal="center" shrinkToFit="0" vertical="center" wrapText="1"/>
    </xf>
    <xf borderId="0" fillId="2" fontId="15" numFmtId="0" xfId="0" applyAlignment="1" applyFill="1" applyFont="1">
      <alignment horizontal="center" shrinkToFit="0" vertical="center" wrapText="1"/>
    </xf>
    <xf borderId="2" fillId="6" fontId="5" numFmtId="0" xfId="0" applyAlignment="1" applyBorder="1" applyFill="1" applyFont="1">
      <alignment horizontal="center" shrinkToFit="0" vertical="bottom" wrapText="1"/>
    </xf>
    <xf borderId="0" fillId="5" fontId="9" numFmtId="0" xfId="0" applyFill="1" applyFont="1"/>
    <xf borderId="2" fillId="8" fontId="16" numFmtId="0" xfId="0" applyAlignment="1" applyBorder="1" applyFill="1" applyFont="1">
      <alignment horizontal="center" vertical="bottom"/>
    </xf>
    <xf borderId="4" fillId="0" fontId="17" numFmtId="0" xfId="0" applyBorder="1" applyFont="1"/>
    <xf borderId="2" fillId="6" fontId="18" numFmtId="0" xfId="0" applyAlignment="1" applyBorder="1" applyFill="1" applyFont="1">
      <alignment horizontal="center" vertical="bottom"/>
    </xf>
    <xf borderId="2" fillId="6" fontId="19" numFmtId="0" xfId="0" applyAlignment="1" applyBorder="1" applyFill="1" applyFont="1">
      <alignment horizontal="center" shrinkToFit="0" vertical="bottom" wrapText="1"/>
    </xf>
    <xf borderId="2" fillId="8" fontId="20" numFmtId="0" xfId="0" applyAlignment="1" applyBorder="1" applyFill="1" applyFont="1">
      <alignment horizontal="center" vertical="bottom"/>
    </xf>
    <xf borderId="2" fillId="6" fontId="21" numFmtId="0" xfId="0" applyAlignment="1" applyBorder="1" applyFill="1" applyFont="1">
      <alignment horizontal="center" vertical="bottom"/>
    </xf>
    <xf borderId="2" fillId="6" fontId="5" numFmtId="0" xfId="0" applyAlignment="1" applyBorder="1" applyFill="1" applyFont="1">
      <alignment horizontal="center" shrinkToFit="0" vertical="bottom" wrapText="1"/>
    </xf>
    <xf borderId="0" fillId="6" fontId="9" numFmtId="0" xfId="0" applyAlignment="1" applyFill="1" applyFont="1">
      <alignment vertical="bottom"/>
    </xf>
    <xf borderId="2" fillId="6" fontId="22" numFmtId="0" xfId="0" applyAlignment="1" applyBorder="1" applyFill="1" applyFont="1">
      <alignment horizontal="center" shrinkToFit="0" vertical="bottom" wrapText="1"/>
    </xf>
    <xf borderId="2" fillId="8" fontId="23" numFmtId="0" xfId="0" applyAlignment="1" applyBorder="1" applyFill="1" applyFont="1">
      <alignment horizontal="center" vertical="bottom"/>
    </xf>
    <xf borderId="2" fillId="6" fontId="20" numFmtId="0" xfId="0" applyAlignment="1" applyBorder="1" applyFill="1" applyFont="1">
      <alignment horizontal="center" shrinkToFit="0" vertical="bottom" wrapText="1"/>
    </xf>
    <xf borderId="2" fillId="8" fontId="20" numFmtId="0" xfId="0" applyAlignment="1" applyBorder="1" applyFill="1" applyFont="1">
      <alignment horizontal="center" vertical="bottom"/>
    </xf>
    <xf borderId="0" fillId="8" fontId="9" numFmtId="0" xfId="0" applyAlignment="1" applyFill="1" applyFont="1">
      <alignment vertical="bottom"/>
    </xf>
    <xf borderId="2" fillId="6" fontId="20" numFmtId="0" xfId="0" applyAlignment="1" applyBorder="1" applyFill="1" applyFont="1">
      <alignment horizontal="center" vertical="bottom"/>
    </xf>
    <xf borderId="2" fillId="6" fontId="24" numFmtId="0" xfId="0" applyAlignment="1" applyBorder="1" applyFill="1" applyFont="1">
      <alignment horizontal="center" vertical="bottom"/>
    </xf>
    <xf borderId="2" fillId="6" fontId="25" numFmtId="0" xfId="0" applyAlignment="1" applyBorder="1" applyFill="1" applyFont="1">
      <alignment horizontal="center" shrinkToFit="0" vertical="bottom" wrapText="1"/>
    </xf>
    <xf borderId="2" fillId="6" fontId="20" numFmtId="0" xfId="0" applyAlignment="1" applyBorder="1" applyFill="1" applyFont="1">
      <alignment horizontal="center" shrinkToFit="0" vertical="bottom" wrapText="1"/>
    </xf>
    <xf borderId="0" fillId="0" fontId="26" numFmtId="0" xfId="0" applyAlignment="1" applyFont="1">
      <alignment horizontal="center" shrinkToFit="0" vertical="center" wrapText="1"/>
    </xf>
    <xf borderId="0" fillId="9" fontId="27" numFmtId="0" xfId="0" applyAlignment="1" applyFill="1" applyFont="1">
      <alignment horizontal="center" readingOrder="0" shrinkToFit="0" vertical="center" wrapText="1"/>
    </xf>
    <xf borderId="0" fillId="0" fontId="28" numFmtId="0" xfId="0" applyFont="1"/>
    <xf borderId="2" fillId="6" fontId="20" numFmtId="0" xfId="0" applyAlignment="1" applyBorder="1" applyFill="1" applyFont="1">
      <alignment horizontal="center" vertical="bottom"/>
    </xf>
    <xf borderId="5" fillId="10" fontId="26" numFmtId="0" xfId="0" applyAlignment="1" applyBorder="1" applyFill="1" applyFont="1">
      <alignment horizontal="center" vertical="top"/>
    </xf>
    <xf borderId="6" fillId="0" fontId="17" numFmtId="0" xfId="0" applyBorder="1" applyFont="1"/>
    <xf borderId="7" fillId="0" fontId="5" numFmtId="164" xfId="0" applyAlignment="1" applyBorder="1" applyFont="1" applyNumberFormat="1">
      <alignment horizontal="left" shrinkToFit="0" vertical="center" wrapText="1"/>
    </xf>
    <xf borderId="8" fillId="0" fontId="29" numFmtId="0" xfId="0" applyAlignment="1" applyBorder="1" applyFont="1">
      <alignment horizontal="center" readingOrder="0" shrinkToFit="0" vertical="center" wrapText="1"/>
    </xf>
    <xf borderId="7" fillId="11" fontId="5" numFmtId="164" xfId="0" applyAlignment="1" applyBorder="1" applyFill="1" applyFont="1" applyNumberFormat="1">
      <alignment horizontal="left" shrinkToFit="0" vertical="center" wrapText="1"/>
    </xf>
    <xf borderId="0" fillId="12" fontId="7" numFmtId="0" xfId="0" applyAlignment="1" applyFill="1" applyFont="1">
      <alignment horizontal="center" vertical="top"/>
    </xf>
    <xf borderId="5" fillId="10" fontId="10" numFmtId="0" xfId="0" applyAlignment="1" applyBorder="1" applyFill="1" applyFont="1">
      <alignment horizontal="center" vertical="top"/>
    </xf>
    <xf borderId="0" fillId="10" fontId="9" numFmtId="0" xfId="0" applyAlignment="1" applyFill="1" applyFont="1">
      <alignment horizontal="center" vertical="bottom"/>
    </xf>
    <xf borderId="8" fillId="12" fontId="10" numFmtId="0" xfId="0" applyAlignment="1" applyBorder="1" applyFill="1" applyFont="1">
      <alignment horizontal="center" vertical="top"/>
    </xf>
    <xf borderId="8" fillId="12" fontId="30" numFmtId="0" xfId="0" applyAlignment="1" applyBorder="1" applyFill="1" applyFont="1">
      <alignment horizontal="center" vertical="center"/>
    </xf>
    <xf borderId="0" fillId="2" fontId="14" numFmtId="0" xfId="0" applyAlignment="1" applyFill="1" applyFont="1">
      <alignment horizontal="center" shrinkToFit="0" wrapText="1"/>
    </xf>
    <xf borderId="0" fillId="12" fontId="9" numFmtId="0" xfId="0" applyAlignment="1" applyFill="1" applyFont="1">
      <alignment horizontal="center"/>
    </xf>
    <xf borderId="0" fillId="13" fontId="7" numFmtId="0" xfId="0" applyAlignment="1" applyFill="1" applyFont="1">
      <alignment horizontal="center" shrinkToFit="0" vertical="center" wrapText="1"/>
    </xf>
    <xf borderId="8" fillId="0" fontId="31" numFmtId="0" xfId="0" applyAlignment="1" applyBorder="1" applyFont="1">
      <alignment horizontal="center" readingOrder="0" shrinkToFit="0" vertical="center" wrapText="1"/>
    </xf>
    <xf borderId="0" fillId="13" fontId="32" numFmtId="0" xfId="0" applyAlignment="1" applyFill="1" applyFont="1">
      <alignment horizontal="center" shrinkToFit="0" vertical="center" wrapText="1"/>
    </xf>
    <xf borderId="9" fillId="13" fontId="33" numFmtId="0" xfId="0" applyAlignment="1" applyBorder="1" applyFill="1" applyFont="1">
      <alignment horizontal="center" shrinkToFit="0" vertical="center" wrapText="1"/>
    </xf>
    <xf borderId="0" fillId="2" fontId="34" numFmtId="0" xfId="0" applyAlignment="1" applyFill="1" applyFont="1">
      <alignment horizontal="center" shrinkToFit="0" wrapText="1"/>
    </xf>
    <xf borderId="5" fillId="13" fontId="20" numFmtId="0" xfId="0" applyAlignment="1" applyBorder="1" applyFill="1" applyFont="1">
      <alignment horizontal="left" shrinkToFit="0" vertical="center" wrapText="1"/>
    </xf>
    <xf borderId="0" fillId="14" fontId="35" numFmtId="0" xfId="0" applyAlignment="1" applyFill="1" applyFont="1">
      <alignment horizontal="center" shrinkToFit="0" vertical="center" wrapText="1"/>
    </xf>
    <xf borderId="10" fillId="0" fontId="36" numFmtId="0" xfId="0" applyAlignment="1" applyBorder="1" applyFont="1">
      <alignment horizontal="center" shrinkToFit="0" wrapText="1"/>
    </xf>
    <xf borderId="9" fillId="15" fontId="20" numFmtId="0" xfId="0" applyAlignment="1" applyBorder="1" applyFill="1" applyFont="1">
      <alignment horizontal="left" shrinkToFit="0" vertical="center" wrapText="1"/>
    </xf>
    <xf borderId="9" fillId="6" fontId="20" numFmtId="164" xfId="0" applyAlignment="1" applyBorder="1" applyFill="1" applyFont="1" applyNumberFormat="1">
      <alignment horizontal="left" shrinkToFit="0" vertical="center" wrapText="1"/>
    </xf>
    <xf borderId="9" fillId="6" fontId="20" numFmtId="0" xfId="0" applyAlignment="1" applyBorder="1" applyFill="1" applyFont="1">
      <alignment horizontal="left" shrinkToFit="0" vertical="center" wrapText="1"/>
    </xf>
    <xf borderId="9" fillId="0" fontId="37" numFmtId="0" xfId="0" applyAlignment="1" applyBorder="1" applyFont="1">
      <alignment horizontal="center" shrinkToFit="0" vertical="center" wrapText="1"/>
    </xf>
    <xf borderId="0" fillId="0" fontId="2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11" fillId="0" fontId="38" numFmtId="0" xfId="0" applyAlignment="1" applyBorder="1" applyFont="1">
      <alignment horizontal="center" readingOrder="0" shrinkToFit="0" wrapText="1"/>
    </xf>
    <xf borderId="9" fillId="0" fontId="10" numFmtId="0" xfId="0" applyAlignment="1" applyBorder="1" applyFont="1">
      <alignment horizontal="center" shrinkToFit="0" vertical="center" wrapText="1"/>
    </xf>
    <xf borderId="7" fillId="0" fontId="20" numFmtId="164" xfId="0" applyAlignment="1" applyBorder="1" applyFont="1" applyNumberFormat="1">
      <alignment horizontal="left" shrinkToFit="0" vertical="center" wrapText="1"/>
    </xf>
    <xf borderId="11" fillId="0" fontId="39" numFmtId="0" xfId="0" applyAlignment="1" applyBorder="1" applyFont="1">
      <alignment horizontal="center" readingOrder="0" shrinkToFit="0" wrapText="1"/>
    </xf>
    <xf borderId="7" fillId="11" fontId="20" numFmtId="164" xfId="0" applyAlignment="1" applyBorder="1" applyFill="1" applyFont="1" applyNumberForma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9" fillId="0" fontId="17" numFmtId="0" xfId="0" applyBorder="1" applyFont="1"/>
    <xf borderId="9" fillId="11" fontId="5" numFmtId="0" xfId="0" applyAlignment="1" applyBorder="1" applyFill="1" applyFont="1">
      <alignment horizontal="center" shrinkToFit="0" vertical="center" wrapText="1"/>
    </xf>
    <xf borderId="12" fillId="14" fontId="40" numFmtId="0" xfId="0" applyAlignment="1" applyBorder="1" applyFill="1" applyFont="1">
      <alignment horizontal="center"/>
    </xf>
    <xf borderId="9" fillId="0" fontId="41" numFmtId="0" xfId="0" applyAlignment="1" applyBorder="1" applyFont="1">
      <alignment horizontal="center" shrinkToFit="0" vertical="center" wrapText="1"/>
    </xf>
    <xf borderId="8" fillId="0" fontId="26" numFmtId="0" xfId="0" applyAlignment="1" applyBorder="1" applyFont="1">
      <alignment horizontal="center" readingOrder="0" shrinkToFit="0" vertical="center" wrapText="1"/>
    </xf>
    <xf borderId="9" fillId="0" fontId="42" numFmtId="0" xfId="0" applyAlignment="1" applyBorder="1" applyFont="1">
      <alignment horizontal="center" shrinkToFit="0" vertical="center" wrapText="1"/>
    </xf>
    <xf borderId="0" fillId="0" fontId="43" numFmtId="0" xfId="0" applyFont="1"/>
    <xf borderId="8" fillId="0" fontId="26" numFmtId="0" xfId="0" applyAlignment="1" applyBorder="1" applyFont="1">
      <alignment horizontal="center" shrinkToFit="0" vertical="center" wrapText="1"/>
    </xf>
    <xf borderId="8" fillId="0" fontId="43" numFmtId="0" xfId="0" applyBorder="1" applyFont="1"/>
    <xf borderId="9" fillId="11" fontId="44" numFmtId="0" xfId="0" applyAlignment="1" applyBorder="1" applyFill="1" applyFont="1">
      <alignment horizontal="center" shrinkToFit="0" vertical="center" wrapText="1"/>
    </xf>
    <xf borderId="12" fillId="14" fontId="45" numFmtId="0" xfId="0" applyAlignment="1" applyBorder="1" applyFill="1" applyFont="1">
      <alignment horizontal="center"/>
    </xf>
    <xf borderId="13" fillId="0" fontId="9" numFmtId="0" xfId="0" applyBorder="1" applyFont="1"/>
    <xf borderId="8" fillId="0" fontId="46" numFmtId="0" xfId="0" applyAlignment="1" applyBorder="1" applyFont="1">
      <alignment horizontal="center" shrinkToFit="0" vertical="center" wrapText="1"/>
    </xf>
    <xf borderId="9" fillId="0" fontId="44" numFmtId="0" xfId="0" applyAlignment="1" applyBorder="1" applyFont="1">
      <alignment horizontal="center" shrinkToFit="0" vertical="center" wrapText="1"/>
    </xf>
    <xf borderId="9" fillId="0" fontId="47" numFmtId="0" xfId="0" applyAlignment="1" applyBorder="1" applyFont="1">
      <alignment horizontal="center" shrinkToFit="0" vertical="center" wrapText="1"/>
    </xf>
    <xf borderId="9" fillId="0" fontId="20" numFmtId="0" xfId="0" applyAlignment="1" applyBorder="1" applyFont="1">
      <alignment horizontal="center" shrinkToFit="0" vertical="center" wrapText="1"/>
    </xf>
    <xf borderId="8" fillId="0" fontId="26" numFmtId="0" xfId="0" applyAlignment="1" applyBorder="1" applyFont="1">
      <alignment horizontal="center" readingOrder="0" shrinkToFit="0" vertical="center" wrapText="1"/>
    </xf>
    <xf borderId="11" fillId="0" fontId="9" numFmtId="0" xfId="0" applyBorder="1" applyFont="1"/>
    <xf borderId="14" fillId="0" fontId="36" numFmtId="0" xfId="0" applyAlignment="1" applyBorder="1" applyFont="1">
      <alignment horizontal="center" shrinkToFit="0" wrapText="1"/>
    </xf>
    <xf borderId="15" fillId="0" fontId="17" numFmtId="0" xfId="0" applyBorder="1" applyFont="1"/>
    <xf borderId="0" fillId="0" fontId="48" numFmtId="0" xfId="0" applyAlignment="1" applyFont="1">
      <alignment horizontal="center" readingOrder="0" shrinkToFit="0" wrapText="1"/>
    </xf>
    <xf borderId="0" fillId="14" fontId="49" numFmtId="0" xfId="0" applyAlignment="1" applyFill="1" applyFont="1">
      <alignment horizontal="center"/>
    </xf>
    <xf borderId="0" fillId="14" fontId="49" numFmtId="0" xfId="0" applyAlignment="1" applyFill="1" applyFont="1">
      <alignment horizontal="center" vertical="center"/>
    </xf>
    <xf borderId="0" fillId="0" fontId="50" numFmtId="0" xfId="0" applyAlignment="1" applyFont="1">
      <alignment horizontal="center"/>
    </xf>
    <xf borderId="0" fillId="0" fontId="51" numFmtId="0" xfId="0" applyAlignment="1" applyFont="1">
      <alignment horizontal="center"/>
    </xf>
    <xf borderId="3" fillId="0" fontId="9" numFmtId="0" xfId="0" applyBorder="1" applyFont="1"/>
    <xf borderId="0" fillId="0" fontId="52" numFmtId="0" xfId="0" applyFont="1"/>
    <xf borderId="0" fillId="0" fontId="53" numFmtId="0" xfId="0" applyAlignment="1" applyFont="1">
      <alignment horizontal="center"/>
    </xf>
    <xf borderId="0" fillId="0" fontId="54" numFmtId="0" xfId="0" applyFont="1"/>
    <xf borderId="0" fillId="0" fontId="9" numFmtId="0" xfId="0" applyFont="1"/>
    <xf borderId="0" fillId="0" fontId="36" numFmtId="0" xfId="0" applyAlignment="1" applyFont="1">
      <alignment horizontal="center" shrinkToFit="0" wrapText="1"/>
    </xf>
    <xf borderId="0" fillId="0" fontId="55" numFmtId="0" xfId="0" applyFont="1"/>
    <xf borderId="0" fillId="0" fontId="56" numFmtId="0" xfId="0" applyAlignment="1" applyFont="1">
      <alignment horizontal="center"/>
    </xf>
    <xf borderId="0" fillId="0" fontId="9" numFmtId="0" xfId="0" applyAlignment="1" applyFont="1">
      <alignment horizontal="center" vertical="center"/>
    </xf>
    <xf borderId="0" fillId="0" fontId="57" numFmtId="0" xfId="0" applyAlignment="1" applyFont="1">
      <alignment horizontal="center" vertical="center"/>
    </xf>
    <xf borderId="14" fillId="4" fontId="36" numFmtId="0" xfId="0" applyAlignment="1" applyBorder="1" applyFill="1" applyFont="1">
      <alignment horizontal="center" shrinkToFit="0" wrapText="1"/>
    </xf>
    <xf borderId="0" fillId="0" fontId="58" numFmtId="0" xfId="0" applyAlignment="1" applyFont="1">
      <alignment horizontal="left" vertical="center"/>
    </xf>
    <xf borderId="0" fillId="4" fontId="36" numFmtId="0" xfId="0" applyAlignment="1" applyFill="1" applyFont="1">
      <alignment horizontal="center" shrinkToFit="0" wrapText="1"/>
    </xf>
    <xf borderId="0" fillId="4" fontId="59" numFmtId="0" xfId="0" applyAlignment="1" applyFill="1" applyFont="1">
      <alignment horizontal="center" readingOrder="0" shrinkToFit="0" wrapText="1"/>
    </xf>
    <xf borderId="0" fillId="0" fontId="60" numFmtId="0" xfId="0" applyAlignment="1" applyFont="1">
      <alignment horizontal="center"/>
    </xf>
    <xf borderId="0" fillId="6" fontId="61" numFmtId="0" xfId="0" applyAlignment="1" applyFill="1" applyFont="1">
      <alignment horizontal="left" vertical="center"/>
    </xf>
    <xf borderId="0" fillId="0" fontId="62" numFmtId="0" xfId="0" applyAlignment="1" applyFont="1">
      <alignment horizontal="center" vertical="center"/>
    </xf>
    <xf borderId="0" fillId="0" fontId="54" numFmtId="0" xfId="0" applyAlignment="1" applyFont="1">
      <alignment horizontal="center"/>
    </xf>
    <xf borderId="0" fillId="0" fontId="63" numFmtId="0" xfId="0" applyAlignment="1" applyFont="1">
      <alignment horizontal="center" vertical="center"/>
    </xf>
    <xf borderId="3" fillId="4" fontId="9" numFmtId="0" xfId="0" applyBorder="1" applyFill="1" applyFont="1"/>
    <xf borderId="0" fillId="6" fontId="64" numFmtId="0" xfId="0" applyAlignment="1" applyFill="1" applyFont="1">
      <alignment horizontal="center" vertical="center"/>
    </xf>
    <xf borderId="0" fillId="6" fontId="65" numFmtId="0" xfId="0" applyAlignment="1" applyFill="1" applyFont="1">
      <alignment horizontal="center" vertical="center"/>
    </xf>
    <xf borderId="0" fillId="6" fontId="65" numFmtId="0" xfId="0" applyAlignment="1" applyFill="1" applyFont="1">
      <alignment horizontal="center"/>
    </xf>
    <xf borderId="0" fillId="0" fontId="66" numFmtId="0" xfId="0" applyAlignment="1" applyFont="1">
      <alignment horizontal="center"/>
    </xf>
    <xf borderId="0" fillId="0" fontId="67" numFmtId="0" xfId="0" applyAlignment="1" applyFont="1">
      <alignment horizontal="center" vertical="center"/>
    </xf>
    <xf borderId="0" fillId="0" fontId="68" numFmtId="0" xfId="0" applyAlignment="1" applyFont="1">
      <alignment horizontal="center" vertical="center"/>
    </xf>
    <xf borderId="0" fillId="6" fontId="69" numFmtId="0" xfId="0" applyAlignment="1" applyFill="1" applyFont="1">
      <alignment horizontal="center" vertical="center"/>
    </xf>
    <xf borderId="0" fillId="6" fontId="70" numFmtId="0" xfId="0" applyAlignment="1" applyFill="1" applyFont="1">
      <alignment horizontal="center" vertical="center"/>
    </xf>
    <xf borderId="9" fillId="11" fontId="20" numFmtId="0" xfId="0" applyAlignment="1" applyBorder="1" applyFill="1" applyFont="1">
      <alignment horizontal="center" shrinkToFit="0" vertical="center" wrapText="1"/>
    </xf>
    <xf borderId="0" fillId="4" fontId="9" numFmtId="0" xfId="0" applyFill="1" applyFont="1"/>
    <xf borderId="9" fillId="0" fontId="5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vertical="bottom"/>
    </xf>
    <xf borderId="0" fillId="0" fontId="71" numFmtId="0" xfId="0" applyAlignment="1" applyFont="1">
      <alignment horizontal="center" vertical="bottom"/>
    </xf>
    <xf borderId="0" fillId="0" fontId="72" numFmtId="0" xfId="0" applyAlignment="1" applyFont="1">
      <alignment vertical="bottom"/>
    </xf>
    <xf borderId="0" fillId="0" fontId="26" numFmtId="0" xfId="0" applyAlignment="1" applyFont="1">
      <alignment horizontal="center" vertical="bottom"/>
    </xf>
    <xf borderId="0" fillId="6" fontId="73" numFmtId="0" xfId="0" applyAlignment="1" applyFill="1" applyFont="1">
      <alignment vertical="bottom"/>
    </xf>
    <xf borderId="0" fillId="12" fontId="7" numFmtId="0" xfId="0" applyAlignment="1" applyFill="1" applyFont="1">
      <alignment horizontal="center" vertical="center"/>
    </xf>
    <xf borderId="9" fillId="12" fontId="10" numFmtId="0" xfId="0" applyAlignment="1" applyBorder="1" applyFill="1" applyFont="1">
      <alignment horizontal="center" vertical="center"/>
    </xf>
    <xf borderId="9" fillId="12" fontId="20" numFmtId="0" xfId="0" applyAlignment="1" applyBorder="1" applyFill="1" applyFont="1">
      <alignment horizontal="center"/>
    </xf>
    <xf borderId="16" fillId="4" fontId="36" numFmtId="0" xfId="0" applyAlignment="1" applyBorder="1" applyFill="1" applyFont="1">
      <alignment horizontal="center" shrinkToFit="0" wrapText="1"/>
    </xf>
    <xf borderId="17" fillId="4" fontId="36" numFmtId="0" xfId="0" applyAlignment="1" applyBorder="1" applyFill="1" applyFont="1">
      <alignment horizontal="center" shrinkToFit="0" wrapText="1"/>
    </xf>
    <xf borderId="17" fillId="4" fontId="9" numFmtId="0" xfId="0" applyBorder="1" applyFill="1" applyFont="1"/>
    <xf borderId="18" fillId="4" fontId="9" numFmtId="0" xfId="0" applyBorder="1" applyFill="1" applyFont="1"/>
    <xf borderId="17" fillId="4" fontId="74" numFmtId="0" xfId="0" applyAlignment="1" applyBorder="1" applyFill="1" applyFont="1">
      <alignment horizontal="center" readingOrder="0" shrinkToFit="0" wrapText="1"/>
    </xf>
    <xf borderId="17" fillId="4" fontId="9" numFmtId="0" xfId="0" applyAlignment="1" applyBorder="1" applyFill="1" applyFont="1">
      <alignment horizontal="center" shrinkToFit="0" wrapText="1"/>
    </xf>
    <xf borderId="7" fillId="4" fontId="5" numFmtId="164" xfId="0" applyAlignment="1" applyBorder="1" applyFill="1" applyFont="1" applyNumberFormat="1">
      <alignment horizontal="left" shrinkToFit="0" vertical="center" wrapText="1"/>
    </xf>
    <xf borderId="8" fillId="0" fontId="75" numFmtId="0" xfId="0" applyAlignment="1" applyBorder="1" applyFont="1">
      <alignment horizontal="center" shrinkToFit="0" vertical="center" wrapText="1"/>
    </xf>
    <xf borderId="14" fillId="16" fontId="36" numFmtId="0" xfId="0" applyAlignment="1" applyBorder="1" applyFill="1" applyFont="1">
      <alignment horizontal="center" shrinkToFit="0" wrapText="1"/>
    </xf>
    <xf borderId="0" fillId="16" fontId="36" numFmtId="0" xfId="0" applyAlignment="1" applyFill="1" applyFont="1">
      <alignment horizontal="center" shrinkToFit="0" wrapText="1"/>
    </xf>
    <xf borderId="0" fillId="16" fontId="76" numFmtId="0" xfId="0" applyAlignment="1" applyFill="1" applyFont="1">
      <alignment horizontal="center" readingOrder="0" shrinkToFit="0" wrapText="1"/>
    </xf>
    <xf borderId="3" fillId="16" fontId="9" numFmtId="0" xfId="0" applyBorder="1" applyFill="1" applyFont="1"/>
    <xf borderId="0" fillId="16" fontId="9" numFmtId="0" xfId="0" applyFill="1" applyFont="1"/>
    <xf borderId="0" fillId="3" fontId="77" numFmtId="0" xfId="0" applyAlignment="1" applyFill="1" applyFont="1">
      <alignment horizontal="center" vertical="center"/>
    </xf>
    <xf borderId="1" fillId="3" fontId="77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0" fillId="0" fontId="30" numFmtId="0" xfId="0" applyAlignment="1" applyFont="1">
      <alignment horizontal="center" shrinkToFit="0" wrapText="1"/>
    </xf>
    <xf borderId="4" fillId="0" fontId="30" numFmtId="0" xfId="0" applyAlignment="1" applyBorder="1" applyFont="1">
      <alignment horizontal="center" shrinkToFit="0" vertical="center" wrapText="1"/>
    </xf>
    <xf borderId="2" fillId="5" fontId="1" numFmtId="164" xfId="0" applyAlignment="1" applyBorder="1" applyFill="1" applyFont="1" applyNumberFormat="1">
      <alignment horizontal="left" shrinkToFit="0" vertical="bottom" wrapText="1"/>
    </xf>
    <xf borderId="0" fillId="5" fontId="30" numFmtId="0" xfId="0" applyFill="1" applyFont="1"/>
    <xf borderId="2" fillId="6" fontId="78" numFmtId="0" xfId="0" applyAlignment="1" applyBorder="1" applyFill="1" applyFont="1">
      <alignment horizontal="center" vertical="bottom"/>
    </xf>
    <xf borderId="2" fillId="6" fontId="1" numFmtId="0" xfId="0" applyAlignment="1" applyBorder="1" applyFill="1" applyFont="1">
      <alignment horizontal="center" shrinkToFit="0" vertical="bottom" wrapText="1"/>
    </xf>
    <xf borderId="0" fillId="6" fontId="30" numFmtId="0" xfId="0" applyAlignment="1" applyFill="1" applyFont="1">
      <alignment vertical="bottom"/>
    </xf>
    <xf borderId="2" fillId="8" fontId="79" numFmtId="0" xfId="0" applyAlignment="1" applyBorder="1" applyFill="1" applyFont="1">
      <alignment horizontal="center" vertical="bottom"/>
    </xf>
    <xf borderId="0" fillId="8" fontId="30" numFmtId="0" xfId="0" applyAlignment="1" applyFill="1" applyFont="1">
      <alignment vertical="bottom"/>
    </xf>
    <xf borderId="2" fillId="6" fontId="80" numFmtId="0" xfId="0" applyAlignment="1" applyBorder="1" applyFill="1" applyFont="1">
      <alignment horizontal="center" vertical="bottom"/>
    </xf>
    <xf borderId="2" fillId="6" fontId="81" numFmtId="0" xfId="0" applyAlignment="1" applyBorder="1" applyFill="1" applyFont="1">
      <alignment horizontal="center" shrinkToFit="0" vertical="bottom" wrapText="1"/>
    </xf>
    <xf borderId="0" fillId="12" fontId="30" numFmtId="0" xfId="0" applyAlignment="1" applyFill="1" applyFont="1">
      <alignment horizontal="center" vertical="top"/>
    </xf>
    <xf borderId="5" fillId="12" fontId="30" numFmtId="0" xfId="0" applyAlignment="1" applyBorder="1" applyFill="1" applyFont="1">
      <alignment horizontal="center" vertical="top"/>
    </xf>
    <xf borderId="0" fillId="12" fontId="30" numFmtId="0" xfId="0" applyAlignment="1" applyFill="1" applyFont="1">
      <alignment horizontal="center"/>
    </xf>
    <xf borderId="0" fillId="13" fontId="30" numFmtId="0" xfId="0" applyAlignment="1" applyFill="1" applyFont="1">
      <alignment horizontal="center" shrinkToFit="0" vertical="center" wrapText="1"/>
    </xf>
    <xf borderId="0" fillId="13" fontId="52" numFmtId="0" xfId="0" applyAlignment="1" applyFill="1" applyFont="1">
      <alignment horizontal="center" shrinkToFit="0" vertical="center" wrapText="1"/>
    </xf>
    <xf borderId="9" fillId="13" fontId="52" numFmtId="0" xfId="0" applyAlignment="1" applyBorder="1" applyFill="1" applyFont="1">
      <alignment horizontal="center" shrinkToFit="0" vertical="center" wrapText="1"/>
    </xf>
    <xf borderId="5" fillId="13" fontId="15" numFmtId="0" xfId="0" applyAlignment="1" applyBorder="1" applyFill="1" applyFont="1">
      <alignment horizontal="left" shrinkToFit="0" vertical="center" wrapText="1"/>
    </xf>
    <xf borderId="0" fillId="14" fontId="52" numFmtId="0" xfId="0" applyAlignment="1" applyFill="1" applyFont="1">
      <alignment horizontal="center" shrinkToFit="0" vertical="center" wrapText="1"/>
    </xf>
    <xf borderId="9" fillId="15" fontId="15" numFmtId="0" xfId="0" applyAlignment="1" applyBorder="1" applyFill="1" applyFont="1">
      <alignment horizontal="left" shrinkToFit="0" vertical="center" wrapText="1"/>
    </xf>
    <xf borderId="9" fillId="6" fontId="15" numFmtId="164" xfId="0" applyAlignment="1" applyBorder="1" applyFill="1" applyFont="1" applyNumberFormat="1">
      <alignment horizontal="left" shrinkToFit="0" vertical="center" wrapText="1"/>
    </xf>
    <xf borderId="9" fillId="6" fontId="15" numFmtId="0" xfId="0" applyAlignment="1" applyBorder="1" applyFill="1" applyFont="1">
      <alignment horizontal="left" shrinkToFit="0" vertical="center" wrapText="1"/>
    </xf>
    <xf borderId="0" fillId="0" fontId="30" numFmtId="0" xfId="0" applyAlignment="1" applyFont="1">
      <alignment horizontal="center" shrinkToFit="0" vertical="center" wrapText="1"/>
    </xf>
    <xf borderId="0" fillId="0" fontId="52" numFmtId="0" xfId="0" applyAlignment="1" applyFont="1">
      <alignment horizontal="center" shrinkToFit="0" vertical="center" wrapText="1"/>
    </xf>
    <xf borderId="9" fillId="0" fontId="52" numFmtId="0" xfId="0" applyAlignment="1" applyBorder="1" applyFont="1">
      <alignment horizontal="center" shrinkToFit="0" vertical="center" wrapText="1"/>
    </xf>
    <xf borderId="7" fillId="0" fontId="15" numFmtId="165" xfId="0" applyAlignment="1" applyBorder="1" applyFont="1" applyNumberFormat="1">
      <alignment horizontal="left" shrinkToFit="0" vertical="center" wrapText="1"/>
    </xf>
    <xf borderId="7" fillId="0" fontId="15" numFmtId="164" xfId="0" applyAlignment="1" applyBorder="1" applyFont="1" applyNumberFormat="1">
      <alignment horizontal="left" shrinkToFit="0" vertical="center" wrapText="1"/>
    </xf>
    <xf borderId="16" fillId="16" fontId="36" numFmtId="0" xfId="0" applyAlignment="1" applyBorder="1" applyFill="1" applyFont="1">
      <alignment horizontal="center" shrinkToFit="0" wrapText="1"/>
    </xf>
    <xf borderId="17" fillId="16" fontId="36" numFmtId="0" xfId="0" applyAlignment="1" applyBorder="1" applyFill="1" applyFont="1">
      <alignment horizontal="center" shrinkToFit="0" wrapText="1"/>
    </xf>
    <xf borderId="9" fillId="0" fontId="82" numFmtId="0" xfId="0" applyAlignment="1" applyBorder="1" applyFont="1">
      <alignment horizontal="center" shrinkToFit="0" vertical="center" wrapText="1"/>
    </xf>
    <xf borderId="17" fillId="16" fontId="9" numFmtId="0" xfId="0" applyBorder="1" applyFill="1" applyFont="1"/>
    <xf borderId="18" fillId="16" fontId="9" numFmtId="0" xfId="0" applyBorder="1" applyFill="1" applyFont="1"/>
    <xf borderId="17" fillId="16" fontId="83" numFmtId="0" xfId="0" applyAlignment="1" applyBorder="1" applyFill="1" applyFont="1">
      <alignment horizontal="center" readingOrder="0" shrinkToFit="0" wrapText="1"/>
    </xf>
    <xf borderId="17" fillId="16" fontId="9" numFmtId="0" xfId="0" applyAlignment="1" applyBorder="1" applyFill="1" applyFont="1">
      <alignment horizontal="center" shrinkToFit="0" wrapText="1"/>
    </xf>
    <xf borderId="11" fillId="0" fontId="36" numFmtId="0" xfId="0" applyAlignment="1" applyBorder="1" applyFont="1">
      <alignment horizontal="center" shrinkToFit="0" wrapText="1"/>
    </xf>
    <xf borderId="12" fillId="14" fontId="52" numFmtId="0" xfId="0" applyAlignment="1" applyBorder="1" applyFill="1" applyFont="1">
      <alignment horizontal="center"/>
    </xf>
    <xf borderId="9" fillId="0" fontId="84" numFmtId="0" xfId="0" applyAlignment="1" applyBorder="1" applyFont="1">
      <alignment horizontal="center" shrinkToFit="0" vertical="center" wrapText="1"/>
    </xf>
    <xf borderId="9" fillId="0" fontId="15" numFmtId="0" xfId="0" applyAlignment="1" applyBorder="1" applyFont="1">
      <alignment horizontal="center" shrinkToFit="0" vertical="center" wrapText="1"/>
    </xf>
    <xf borderId="0" fillId="12" fontId="30" numFmtId="0" xfId="0" applyAlignment="1" applyFill="1" applyFont="1">
      <alignment horizontal="center" vertical="center"/>
    </xf>
    <xf borderId="9" fillId="12" fontId="30" numFmtId="0" xfId="0" applyAlignment="1" applyBorder="1" applyFill="1" applyFont="1">
      <alignment horizontal="center" vertical="center"/>
    </xf>
    <xf borderId="9" fillId="17" fontId="1" numFmtId="0" xfId="0" applyBorder="1" applyFill="1" applyFont="1"/>
    <xf borderId="9" fillId="12" fontId="30" numFmtId="0" xfId="0" applyAlignment="1" applyBorder="1" applyFill="1" applyFont="1">
      <alignment horizontal="center"/>
    </xf>
    <xf borderId="9" fillId="0" fontId="30" numFmtId="0" xfId="0" applyAlignment="1" applyBorder="1" applyFont="1">
      <alignment horizontal="center" shrinkToFit="0" vertical="center" wrapText="1"/>
    </xf>
    <xf borderId="0" fillId="0" fontId="77" numFmtId="0" xfId="0" applyAlignment="1" applyFont="1">
      <alignment horizontal="center" shrinkToFit="0" vertical="center" wrapText="1"/>
    </xf>
    <xf borderId="9" fillId="0" fontId="85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12" fillId="14" fontId="86" numFmtId="0" xfId="0" applyAlignment="1" applyBorder="1" applyFill="1" applyFont="1">
      <alignment horizontal="center"/>
    </xf>
    <xf borderId="7" fillId="18" fontId="20" numFmtId="164" xfId="0" applyAlignment="1" applyBorder="1" applyFill="1" applyFont="1" applyNumberFormat="1">
      <alignment horizontal="left" shrinkToFit="0" vertical="center" wrapText="1"/>
    </xf>
    <xf borderId="7" fillId="19" fontId="20" numFmtId="164" xfId="0" applyAlignment="1" applyBorder="1" applyFill="1" applyFont="1" applyNumberFormat="1">
      <alignment horizontal="left" shrinkToFit="0" vertical="center" wrapText="1"/>
    </xf>
    <xf borderId="9" fillId="18" fontId="5" numFmtId="0" xfId="0" applyAlignment="1" applyBorder="1" applyFill="1" applyFont="1">
      <alignment horizontal="center" shrinkToFit="0" vertical="center" wrapText="1"/>
    </xf>
    <xf borderId="9" fillId="19" fontId="5" numFmtId="0" xfId="0" applyAlignment="1" applyBorder="1" applyFill="1" applyFont="1">
      <alignment horizontal="center" shrinkToFit="0" vertical="center" wrapText="1"/>
    </xf>
    <xf borderId="9" fillId="18" fontId="87" numFmtId="0" xfId="0" applyAlignment="1" applyBorder="1" applyFill="1" applyFont="1">
      <alignment horizontal="center" shrinkToFit="0" vertical="center" wrapText="1"/>
    </xf>
    <xf borderId="9" fillId="19" fontId="88" numFmtId="0" xfId="0" applyAlignment="1" applyBorder="1" applyFill="1" applyFont="1">
      <alignment horizontal="center" shrinkToFit="0" vertical="center" wrapText="1"/>
    </xf>
    <xf borderId="9" fillId="18" fontId="20" numFmtId="0" xfId="0" applyAlignment="1" applyBorder="1" applyFill="1" applyFont="1">
      <alignment horizontal="center" shrinkToFit="0" vertical="center" wrapText="1"/>
    </xf>
    <xf borderId="9" fillId="19" fontId="20" numFmtId="0" xfId="0" applyAlignment="1" applyBorder="1" applyFill="1" applyFont="1">
      <alignment horizontal="center" shrinkToFit="0" vertical="center" wrapText="1"/>
    </xf>
    <xf borderId="9" fillId="18" fontId="44" numFmtId="0" xfId="0" applyAlignment="1" applyBorder="1" applyFill="1" applyFont="1">
      <alignment horizontal="center" shrinkToFit="0" vertical="center" wrapText="1"/>
    </xf>
    <xf borderId="9" fillId="19" fontId="44" numFmtId="0" xfId="0" applyAlignment="1" applyBorder="1" applyFill="1" applyFont="1">
      <alignment horizontal="center" shrinkToFit="0" vertical="center" wrapText="1"/>
    </xf>
    <xf borderId="19" fillId="0" fontId="89" numFmtId="0" xfId="0" applyAlignment="1" applyBorder="1" applyFont="1">
      <alignment horizontal="center" shrinkToFit="0" vertical="center" wrapText="1"/>
    </xf>
    <xf borderId="19" fillId="0" fontId="15" numFmtId="0" xfId="0" applyAlignment="1" applyBorder="1" applyFont="1">
      <alignment horizontal="center" shrinkToFit="0" vertical="center" wrapText="1"/>
    </xf>
    <xf borderId="9" fillId="18" fontId="90" numFmtId="0" xfId="0" applyAlignment="1" applyBorder="1" applyFill="1" applyFont="1">
      <alignment horizontal="center" shrinkToFit="0" vertical="center" wrapText="1"/>
    </xf>
    <xf borderId="9" fillId="19" fontId="91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6" fontId="30" numFmtId="0" xfId="0" applyAlignment="1" applyFill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12" fontId="15" numFmtId="0" xfId="0" applyFill="1" applyFont="1"/>
    <xf borderId="9" fillId="12" fontId="15" numFmtId="0" xfId="0" applyBorder="1" applyFill="1" applyFont="1"/>
    <xf borderId="0" fillId="12" fontId="15" numFmtId="0" xfId="0" applyAlignment="1" applyFill="1" applyFont="1">
      <alignment horizontal="center"/>
    </xf>
    <xf borderId="7" fillId="14" fontId="15" numFmtId="164" xfId="0" applyAlignment="1" applyBorder="1" applyFill="1" applyFont="1" applyNumberFormat="1">
      <alignment horizontal="left" shrinkToFit="0" vertical="center" wrapText="1"/>
    </xf>
    <xf borderId="9" fillId="14" fontId="15" numFmtId="0" xfId="0" applyAlignment="1" applyBorder="1" applyFill="1" applyFont="1">
      <alignment horizontal="center" shrinkToFit="0" vertical="center" wrapText="1"/>
    </xf>
    <xf borderId="0" fillId="14" fontId="30" numFmtId="0" xfId="0" applyAlignment="1" applyFill="1" applyFont="1">
      <alignment horizontal="center" shrinkToFit="0" vertical="center" wrapText="1"/>
    </xf>
    <xf borderId="0" fillId="14" fontId="52" numFmtId="0" xfId="0" applyAlignment="1" applyFill="1" applyFont="1">
      <alignment horizontal="center"/>
    </xf>
    <xf borderId="7" fillId="7" fontId="20" numFmtId="164" xfId="0" applyAlignment="1" applyBorder="1" applyFill="1" applyFont="1" applyNumberFormat="1">
      <alignment horizontal="left" shrinkToFit="0" vertical="center" wrapText="1"/>
    </xf>
    <xf borderId="9" fillId="7" fontId="5" numFmtId="0" xfId="0" applyAlignment="1" applyBorder="1" applyFill="1" applyFont="1">
      <alignment horizontal="center" shrinkToFit="0" vertical="center" wrapText="1"/>
    </xf>
    <xf borderId="9" fillId="7" fontId="92" numFmtId="0" xfId="0" applyAlignment="1" applyBorder="1" applyFill="1" applyFont="1">
      <alignment horizontal="center" shrinkToFit="0" vertical="center" wrapText="1"/>
    </xf>
    <xf borderId="9" fillId="7" fontId="20" numFmtId="0" xfId="0" applyAlignment="1" applyBorder="1" applyFill="1" applyFont="1">
      <alignment horizontal="center" shrinkToFit="0" vertical="center" wrapText="1"/>
    </xf>
    <xf borderId="9" fillId="7" fontId="44" numFmtId="0" xfId="0" applyAlignment="1" applyBorder="1" applyFill="1" applyFont="1">
      <alignment horizontal="center" shrinkToFit="0" vertical="center" wrapText="1"/>
    </xf>
    <xf borderId="9" fillId="7" fontId="93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0B5394"/>
          <bgColor rgb="FF0B539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</dxfs>
  <tableStyles count="1">
    <tableStyle count="3" pivot="0" name="Student Calenda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E9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Student Calenda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392" Type="http://schemas.openxmlformats.org/officeDocument/2006/relationships/hyperlink" Target="https://tnezki.github.io/physics/reviews/review2/review_2.html" TargetMode="External"/><Relationship Id="rId391" Type="http://schemas.openxmlformats.org/officeDocument/2006/relationships/hyperlink" Target="https://tnezki.github.io/physics/progress/unit_2_progress/unit_2_progress.html" TargetMode="External"/><Relationship Id="rId390" Type="http://schemas.openxmlformats.org/officeDocument/2006/relationships/hyperlink" Target="https://tnezki.github.io/physics/practice_sets/practice_sets_2_1/cyu_2_1.html" TargetMode="External"/><Relationship Id="rId1" Type="http://schemas.openxmlformats.org/officeDocument/2006/relationships/hyperlink" Target="https://tnezki.github.io/physics/misc/welcomes/slides/0_1_1_welcome.html" TargetMode="External"/><Relationship Id="rId2" Type="http://schemas.openxmlformats.org/officeDocument/2006/relationships/hyperlink" Target="https://tnezki.github.io/physics/misc/first_4_days/warmups/first_4_days_warmups.html" TargetMode="External"/><Relationship Id="rId3" Type="http://schemas.openxmlformats.org/officeDocument/2006/relationships/hyperlink" Target="https://tnezki.github.io/physics/misc/first_4_days/notes/first_4_days_notes.html" TargetMode="External"/><Relationship Id="rId4" Type="http://schemas.openxmlformats.org/officeDocument/2006/relationships/hyperlink" Target="https://tnezki.github.io/physics/misc/first_4_days/practice/first_4_days_practice.html" TargetMode="External"/><Relationship Id="rId2180" Type="http://schemas.openxmlformats.org/officeDocument/2006/relationships/hyperlink" Target="https://tnezki.github.io/physics/warmups/unit_7_warmups/unit_7_warmups.html" TargetMode="External"/><Relationship Id="rId2181" Type="http://schemas.openxmlformats.org/officeDocument/2006/relationships/hyperlink" Target="https://tnezki.github.io/physics/demo/u7_3_demo/u7_3_demo.html" TargetMode="External"/><Relationship Id="rId2182" Type="http://schemas.openxmlformats.org/officeDocument/2006/relationships/hyperlink" Target="https://tnezki.github.io/physics/notes/u7_3_notes/u7_3_notes.html" TargetMode="External"/><Relationship Id="rId2183" Type="http://schemas.openxmlformats.org/officeDocument/2006/relationships/hyperlink" Target="https://tnezki.github.io/physics/investigations/u7_3_investigation/u7_3_investigation.html" TargetMode="External"/><Relationship Id="rId9" Type="http://schemas.openxmlformats.org/officeDocument/2006/relationships/hyperlink" Target="https://tnezki.github.io/physics/misc/first_4_days/investigation/first_4_days_investigation.html" TargetMode="External"/><Relationship Id="rId385" Type="http://schemas.openxmlformats.org/officeDocument/2006/relationships/hyperlink" Target="https://tnezki.github.io/physics/notes/u2_1_notes/u2_1_notes.html" TargetMode="External"/><Relationship Id="rId2184" Type="http://schemas.openxmlformats.org/officeDocument/2006/relationships/hyperlink" Target="https://tnezki.github.io/physics/activities/u7_3_act1/u7_3_act1.html" TargetMode="External"/><Relationship Id="rId384" Type="http://schemas.openxmlformats.org/officeDocument/2006/relationships/hyperlink" Target="https://tnezki.github.io/physics/demo/u2_1_demo/u2_1_demo.html" TargetMode="External"/><Relationship Id="rId2185" Type="http://schemas.openxmlformats.org/officeDocument/2006/relationships/hyperlink" Target="https://tnezki.github.io/physics/practice_sets/practice_sets_7_3/practice_set_7_3.html" TargetMode="External"/><Relationship Id="rId383" Type="http://schemas.openxmlformats.org/officeDocument/2006/relationships/hyperlink" Target="https://tnezki.github.io/physics/warmups/unit_2_warmups/unit_2_warmups.html" TargetMode="External"/><Relationship Id="rId2186" Type="http://schemas.openxmlformats.org/officeDocument/2006/relationships/hyperlink" Target="https://tnezki.github.io/physics/practice_sets/practice_sets_7_3/extra_practice_7_3.html" TargetMode="External"/><Relationship Id="rId382" Type="http://schemas.openxmlformats.org/officeDocument/2006/relationships/hyperlink" Target="https://tnezki.github.io/physics/banks/unit2/unit2.html" TargetMode="External"/><Relationship Id="rId2187" Type="http://schemas.openxmlformats.org/officeDocument/2006/relationships/hyperlink" Target="https://tnezki.github.io/physics/practice_sets/practice_sets_7_3/cyu_7_3.html" TargetMode="External"/><Relationship Id="rId5" Type="http://schemas.openxmlformats.org/officeDocument/2006/relationships/hyperlink" Target="https://tnezki.github.io/physics/misc/first_4_days/notes/first_4_days_notes_teacher.html" TargetMode="External"/><Relationship Id="rId389" Type="http://schemas.openxmlformats.org/officeDocument/2006/relationships/hyperlink" Target="https://tnezki.github.io/physics/practice_sets/practice_sets_2_1/extra_practice_2_1.html" TargetMode="External"/><Relationship Id="rId2188" Type="http://schemas.openxmlformats.org/officeDocument/2006/relationships/hyperlink" Target="https://tnezki.github.io/physics/progress/unit_7_progress/unit_7_progress.html" TargetMode="External"/><Relationship Id="rId6" Type="http://schemas.openxmlformats.org/officeDocument/2006/relationships/hyperlink" Target="https://tnezki.github.io/physics/misc/first_4_days/exit/exit_1.html" TargetMode="External"/><Relationship Id="rId388" Type="http://schemas.openxmlformats.org/officeDocument/2006/relationships/hyperlink" Target="https://tnezki.github.io/physics/practice_sets/practice_sets_2_1/practice_set_2_1.html" TargetMode="External"/><Relationship Id="rId2189" Type="http://schemas.openxmlformats.org/officeDocument/2006/relationships/hyperlink" Target="https://tnezki.github.io/physics/reviews/review7/review_7.html" TargetMode="External"/><Relationship Id="rId7" Type="http://schemas.openxmlformats.org/officeDocument/2006/relationships/hyperlink" Target="https://tnezki.github.io/physics/misc/welcomes/slides/0_1_2_welcome.html" TargetMode="External"/><Relationship Id="rId387" Type="http://schemas.openxmlformats.org/officeDocument/2006/relationships/hyperlink" Target="https://tnezki.github.io/physics/activities/u2_1_act1/u2_1_act1.html" TargetMode="External"/><Relationship Id="rId8" Type="http://schemas.openxmlformats.org/officeDocument/2006/relationships/hyperlink" Target="https://tnezki.github.io/physics/misc/first_4_days/warmups/first_4_days_warmups.html" TargetMode="External"/><Relationship Id="rId386" Type="http://schemas.openxmlformats.org/officeDocument/2006/relationships/hyperlink" Target="https://tnezki.github.io/physics/investigations/u2_1_investigation/u2_1_investigation.html" TargetMode="External"/><Relationship Id="rId381" Type="http://schemas.openxmlformats.org/officeDocument/2006/relationships/hyperlink" Target="https://tnezki.github.io/physics/assessments_zxrtjp/unit2_summative/unit2_summative_assessment.html" TargetMode="External"/><Relationship Id="rId380" Type="http://schemas.openxmlformats.org/officeDocument/2006/relationships/hyperlink" Target="https://tnezki.github.io/physics/practice_sets/practice_sets_2_1/practice_set_2_1_3.html" TargetMode="External"/><Relationship Id="rId379" Type="http://schemas.openxmlformats.org/officeDocument/2006/relationships/hyperlink" Target="https://tnezki.github.io/physics/practice_sets/practice_sets_2_1/practice_set_2_1_2.html" TargetMode="External"/><Relationship Id="rId2170" Type="http://schemas.openxmlformats.org/officeDocument/2006/relationships/hyperlink" Target="https://tnezki.github.io/physics/investigations/u7_3_investigation/u7_3_investigation_teacher_guide.html" TargetMode="External"/><Relationship Id="rId2171" Type="http://schemas.openxmlformats.org/officeDocument/2006/relationships/hyperlink" Target="https://tnezki.github.io/physics/performance_task___5134zrt/u7_3_performance_task/u7_3_performance_task_teacher_guide.html" TargetMode="External"/><Relationship Id="rId2172" Type="http://schemas.openxmlformats.org/officeDocument/2006/relationships/hyperlink" Target="https://tnezki.github.io/physics/assessments_zxrtjp/unit7_assessment_plan/unit7_assessment_plan.html" TargetMode="External"/><Relationship Id="rId374" Type="http://schemas.openxmlformats.org/officeDocument/2006/relationships/hyperlink" Target="https://tnezki.github.io/physics/performance_task___5134zrt/u2_1_performance_task/u2_1_performance_task_teacher_guide.html" TargetMode="External"/><Relationship Id="rId2173" Type="http://schemas.openxmlformats.org/officeDocument/2006/relationships/hyperlink" Target="https://tnezki.github.io/physics/performance_task___5134zrt/u7_3_performance_task/u7_3_performance_task.html" TargetMode="External"/><Relationship Id="rId373" Type="http://schemas.openxmlformats.org/officeDocument/2006/relationships/hyperlink" Target="https://tnezki.github.io/physics/investigations/u2_1_investigation/u2_1_investigation_teacher_guide.html" TargetMode="External"/><Relationship Id="rId2174" Type="http://schemas.openxmlformats.org/officeDocument/2006/relationships/hyperlink" Target="https://tnezki.github.io/physics/quick_check____htq5855/u7_3_quick_check/u7_3_quick_check.html" TargetMode="External"/><Relationship Id="rId372" Type="http://schemas.openxmlformats.org/officeDocument/2006/relationships/hyperlink" Target="https://tnezki.github.io/physics/demo/u2_1_demo/u2_1_demo_teacher_guide.html" TargetMode="External"/><Relationship Id="rId2175" Type="http://schemas.openxmlformats.org/officeDocument/2006/relationships/hyperlink" Target="https://tnezki.github.io/physics/exit/exit7/exit_7.html" TargetMode="External"/><Relationship Id="rId371" Type="http://schemas.openxmlformats.org/officeDocument/2006/relationships/hyperlink" Target="https://tnezki.github.io/physics/notes/u2_1_notes/u2_1_notes_teacher.html" TargetMode="External"/><Relationship Id="rId2176" Type="http://schemas.openxmlformats.org/officeDocument/2006/relationships/hyperlink" Target="https://tnezki.github.io/physics/practice_sets/practice_sets_7_3/practice_set_7_3_2.html" TargetMode="External"/><Relationship Id="rId378" Type="http://schemas.openxmlformats.org/officeDocument/2006/relationships/hyperlink" Target="https://tnezki.github.io/physics/exit/exit2/exit_2.html" TargetMode="External"/><Relationship Id="rId2177" Type="http://schemas.openxmlformats.org/officeDocument/2006/relationships/hyperlink" Target="https://tnezki.github.io/physics/practice_sets/practice_sets_7_3/practice_set_7_3_3.html" TargetMode="External"/><Relationship Id="rId377" Type="http://schemas.openxmlformats.org/officeDocument/2006/relationships/hyperlink" Target="https://tnezki.github.io/physics/quick_check____htq5855/u2_1_quick_check/u2_1_quick_check.html" TargetMode="External"/><Relationship Id="rId2178" Type="http://schemas.openxmlformats.org/officeDocument/2006/relationships/hyperlink" Target="https://tnezki.github.io/physics/assessments_zxrtjp/unit7_summative/unit7_summative_assessment.html" TargetMode="External"/><Relationship Id="rId376" Type="http://schemas.openxmlformats.org/officeDocument/2006/relationships/hyperlink" Target="https://tnezki.github.io/physics/performance_task___5134zrt/u2_1_performance_task/u2_1_performance_task.html" TargetMode="External"/><Relationship Id="rId2179" Type="http://schemas.openxmlformats.org/officeDocument/2006/relationships/hyperlink" Target="https://tnezki.github.io/physics/banks/unit7/unit7.html" TargetMode="External"/><Relationship Id="rId375" Type="http://schemas.openxmlformats.org/officeDocument/2006/relationships/hyperlink" Target="https://tnezki.github.io/physics/assessments_zxrtjp/unit2_assessment_plan/unit2_assessment_plan.html" TargetMode="External"/><Relationship Id="rId2190" Type="http://schemas.openxmlformats.org/officeDocument/2006/relationships/hyperlink" Target="https://tnezki.github.io/physics/notes/u7_3_notes/u7_3_notes_teacher.html" TargetMode="External"/><Relationship Id="rId2191" Type="http://schemas.openxmlformats.org/officeDocument/2006/relationships/hyperlink" Target="https://tnezki.github.io/physics/demo/u7_3_demo/u7_3_demo_teacher_guide.html" TargetMode="External"/><Relationship Id="rId2192" Type="http://schemas.openxmlformats.org/officeDocument/2006/relationships/hyperlink" Target="https://tnezki.github.io/physics/investigations/u7_3_investigation/u7_3_investigation_teacher_guide.html" TargetMode="External"/><Relationship Id="rId2193" Type="http://schemas.openxmlformats.org/officeDocument/2006/relationships/hyperlink" Target="https://tnezki.github.io/physics/performance_task___5134zrt/u7_3_performance_task/u7_3_performance_task_teacher_guide.html" TargetMode="External"/><Relationship Id="rId2194" Type="http://schemas.openxmlformats.org/officeDocument/2006/relationships/hyperlink" Target="https://tnezki.github.io/physics/assessments_zxrtjp/unit7_assessment_plan/unit7_assessment_plan.html" TargetMode="External"/><Relationship Id="rId396" Type="http://schemas.openxmlformats.org/officeDocument/2006/relationships/hyperlink" Target="https://tnezki.github.io/physics/performance_task___5134zrt/u2_1_performance_task/u2_1_performance_task_teacher_guide.html" TargetMode="External"/><Relationship Id="rId2195" Type="http://schemas.openxmlformats.org/officeDocument/2006/relationships/hyperlink" Target="https://tnezki.github.io/physics/performance_task___5134zrt/u7_3_performance_task/u7_3_performance_task.html" TargetMode="External"/><Relationship Id="rId395" Type="http://schemas.openxmlformats.org/officeDocument/2006/relationships/hyperlink" Target="https://tnezki.github.io/physics/investigations/u2_1_investigation/u2_1_investigation_teacher_guide.html" TargetMode="External"/><Relationship Id="rId2196" Type="http://schemas.openxmlformats.org/officeDocument/2006/relationships/hyperlink" Target="https://tnezki.github.io/physics/quick_check____htq5855/u7_3_quick_check/u7_3_quick_check.html" TargetMode="External"/><Relationship Id="rId394" Type="http://schemas.openxmlformats.org/officeDocument/2006/relationships/hyperlink" Target="https://tnezki.github.io/physics/demo/u2_1_demo/u2_1_demo_teacher_guide.html" TargetMode="External"/><Relationship Id="rId2197" Type="http://schemas.openxmlformats.org/officeDocument/2006/relationships/hyperlink" Target="https://tnezki.github.io/physics/exit/exit7/exit_7.html" TargetMode="External"/><Relationship Id="rId393" Type="http://schemas.openxmlformats.org/officeDocument/2006/relationships/hyperlink" Target="https://tnezki.github.io/physics/notes/u2_1_notes/u2_1_notes_teacher.html" TargetMode="External"/><Relationship Id="rId2198" Type="http://schemas.openxmlformats.org/officeDocument/2006/relationships/hyperlink" Target="https://tnezki.github.io/physics/practice_sets/practice_sets_7_3/practice_set_7_3_2.html" TargetMode="External"/><Relationship Id="rId2199" Type="http://schemas.openxmlformats.org/officeDocument/2006/relationships/hyperlink" Target="https://tnezki.github.io/physics/practice_sets/practice_sets_7_3/practice_set_7_3_3.html" TargetMode="External"/><Relationship Id="rId399" Type="http://schemas.openxmlformats.org/officeDocument/2006/relationships/hyperlink" Target="https://tnezki.github.io/physics/quick_check____htq5855/u2_1_quick_check/u2_1_quick_check.html" TargetMode="External"/><Relationship Id="rId398" Type="http://schemas.openxmlformats.org/officeDocument/2006/relationships/hyperlink" Target="https://tnezki.github.io/physics/performance_task___5134zrt/u2_1_performance_task/u2_1_performance_task.html" TargetMode="External"/><Relationship Id="rId397" Type="http://schemas.openxmlformats.org/officeDocument/2006/relationships/hyperlink" Target="https://tnezki.github.io/physics/assessments_zxrtjp/unit2_assessment_plan/unit2_assessment_plan.html" TargetMode="External"/><Relationship Id="rId1730" Type="http://schemas.openxmlformats.org/officeDocument/2006/relationships/hyperlink" Target="https://tnezki.github.io/physics/performance_task___5134zrt/u6_1_performance_task/u6_1_performance_task.html" TargetMode="External"/><Relationship Id="rId1731" Type="http://schemas.openxmlformats.org/officeDocument/2006/relationships/hyperlink" Target="https://tnezki.github.io/physics/quick_check____htq5855/u6_1_quick_check/u6_1_quick_check.html" TargetMode="External"/><Relationship Id="rId1732" Type="http://schemas.openxmlformats.org/officeDocument/2006/relationships/hyperlink" Target="https://tnezki.github.io/physics/exit/exit6/exit_6.html" TargetMode="External"/><Relationship Id="rId1733" Type="http://schemas.openxmlformats.org/officeDocument/2006/relationships/hyperlink" Target="https://tnezki.github.io/physics/practice_sets/practice_sets_6_1/practice_set_6_1_2.html" TargetMode="External"/><Relationship Id="rId1734" Type="http://schemas.openxmlformats.org/officeDocument/2006/relationships/hyperlink" Target="https://tnezki.github.io/physics/practice_sets/practice_sets_6_1/practice_set_6_1_3.html" TargetMode="External"/><Relationship Id="rId1735" Type="http://schemas.openxmlformats.org/officeDocument/2006/relationships/hyperlink" Target="https://tnezki.github.io/physics/assessments_zxrtjp/unit6_summative/unit6_summative_assessment.html" TargetMode="External"/><Relationship Id="rId1736" Type="http://schemas.openxmlformats.org/officeDocument/2006/relationships/hyperlink" Target="https://tnezki.github.io/physics/banks/unit6/unit6.html" TargetMode="External"/><Relationship Id="rId1737" Type="http://schemas.openxmlformats.org/officeDocument/2006/relationships/hyperlink" Target="https://tnezki.github.io/physics/warmups/unit_6_warmups/unit_6_warmups.html" TargetMode="External"/><Relationship Id="rId1738" Type="http://schemas.openxmlformats.org/officeDocument/2006/relationships/hyperlink" Target="https://tnezki.github.io/physics/demo/u6_1_demo/u6_1_demo.html" TargetMode="External"/><Relationship Id="rId1739" Type="http://schemas.openxmlformats.org/officeDocument/2006/relationships/hyperlink" Target="https://tnezki.github.io/physics/notes/u6_1_notes/u6_1_notes.html" TargetMode="External"/><Relationship Id="rId1720" Type="http://schemas.openxmlformats.org/officeDocument/2006/relationships/hyperlink" Target="https://tnezki.github.io/physics/practice_sets/practice_sets_6_1/practice_set_6_1.html" TargetMode="External"/><Relationship Id="rId1721" Type="http://schemas.openxmlformats.org/officeDocument/2006/relationships/hyperlink" Target="https://tnezki.github.io/physics/practice_sets/practice_sets_6_1/extra_practice_6_1.html" TargetMode="External"/><Relationship Id="rId1722" Type="http://schemas.openxmlformats.org/officeDocument/2006/relationships/hyperlink" Target="https://tnezki.github.io/physics/practice_sets/practice_sets_6_1/cyu_6_1.html" TargetMode="External"/><Relationship Id="rId1723" Type="http://schemas.openxmlformats.org/officeDocument/2006/relationships/hyperlink" Target="https://tnezki.github.io/physics/progress/unit_6_progress/unit_6_progress.html" TargetMode="External"/><Relationship Id="rId1724" Type="http://schemas.openxmlformats.org/officeDocument/2006/relationships/hyperlink" Target="https://tnezki.github.io/physics/reviews/review6/review_6.html" TargetMode="External"/><Relationship Id="rId1725" Type="http://schemas.openxmlformats.org/officeDocument/2006/relationships/hyperlink" Target="https://tnezki.github.io/physics/notes/u6_1_notes/u6_1_notes_teacher.html" TargetMode="External"/><Relationship Id="rId1726" Type="http://schemas.openxmlformats.org/officeDocument/2006/relationships/hyperlink" Target="https://tnezki.github.io/physics/demo/u6_1_demo/u6_1_demo_teacher_guide.html" TargetMode="External"/><Relationship Id="rId1727" Type="http://schemas.openxmlformats.org/officeDocument/2006/relationships/hyperlink" Target="https://tnezki.github.io/physics/investigations/u6_1_investigation/u6_1_investigation_teacher_guide.html" TargetMode="External"/><Relationship Id="rId1728" Type="http://schemas.openxmlformats.org/officeDocument/2006/relationships/hyperlink" Target="https://tnezki.github.io/physics/performance_task___5134zrt/u6_1_performance_task/u6_1_performance_task_teacher_guide.html" TargetMode="External"/><Relationship Id="rId1729" Type="http://schemas.openxmlformats.org/officeDocument/2006/relationships/hyperlink" Target="https://tnezki.github.io/physics/assessments_zxrtjp/unit6_assessment_plan/unit6_assessment_plan.html" TargetMode="External"/><Relationship Id="rId1752" Type="http://schemas.openxmlformats.org/officeDocument/2006/relationships/hyperlink" Target="https://tnezki.github.io/physics/performance_task___5134zrt/u6_1_performance_task/u6_1_performance_task.html" TargetMode="External"/><Relationship Id="rId1753" Type="http://schemas.openxmlformats.org/officeDocument/2006/relationships/hyperlink" Target="https://tnezki.github.io/physics/quick_check____htq5855/u6_1_quick_check/u6_1_quick_check.html" TargetMode="External"/><Relationship Id="rId2600" Type="http://schemas.openxmlformats.org/officeDocument/2006/relationships/hyperlink" Target="https://tnezki.github.io/physics/banks/unit8/unit8.html" TargetMode="External"/><Relationship Id="rId1754" Type="http://schemas.openxmlformats.org/officeDocument/2006/relationships/hyperlink" Target="https://tnezki.github.io/physics/exit/exit6/exit_6.html" TargetMode="External"/><Relationship Id="rId2601" Type="http://schemas.openxmlformats.org/officeDocument/2006/relationships/hyperlink" Target="https://tnezki.github.io/physics/warmups/unit_8_warmups/unit_8_warmups.html" TargetMode="External"/><Relationship Id="rId1755" Type="http://schemas.openxmlformats.org/officeDocument/2006/relationships/hyperlink" Target="https://tnezki.github.io/physics/practice_sets/practice_sets_6_1/practice_set_6_1_2.html" TargetMode="External"/><Relationship Id="rId2602" Type="http://schemas.openxmlformats.org/officeDocument/2006/relationships/hyperlink" Target="https://tnezki.github.io/physics/demo/u8_4_demo/u8_4_demo.html" TargetMode="External"/><Relationship Id="rId1756" Type="http://schemas.openxmlformats.org/officeDocument/2006/relationships/hyperlink" Target="https://tnezki.github.io/physics/practice_sets/practice_sets_6_1/practice_set_6_1_3.html" TargetMode="External"/><Relationship Id="rId2603" Type="http://schemas.openxmlformats.org/officeDocument/2006/relationships/hyperlink" Target="https://tnezki.github.io/physics/notes/u8_4_notes/u8_4_notes.html" TargetMode="External"/><Relationship Id="rId1757" Type="http://schemas.openxmlformats.org/officeDocument/2006/relationships/hyperlink" Target="https://tnezki.github.io/physics/assessments_zxrtjp/unit6_summative/unit6_summative_assessment.html" TargetMode="External"/><Relationship Id="rId2604" Type="http://schemas.openxmlformats.org/officeDocument/2006/relationships/hyperlink" Target="https://tnezki.github.io/physics/investigations/u8_4_investigation/u8_4_investigation.html" TargetMode="External"/><Relationship Id="rId1758" Type="http://schemas.openxmlformats.org/officeDocument/2006/relationships/hyperlink" Target="https://tnezki.github.io/physics/banks/unit6/unit6.html" TargetMode="External"/><Relationship Id="rId2605" Type="http://schemas.openxmlformats.org/officeDocument/2006/relationships/hyperlink" Target="https://tnezki.github.io/physics/activities/u8_4_act1/u8_4_act1.html" TargetMode="External"/><Relationship Id="rId1759" Type="http://schemas.openxmlformats.org/officeDocument/2006/relationships/hyperlink" Target="https://tnezki.github.io/physics/warmups/unit_6_warmups/unit_6_warmups.html" TargetMode="External"/><Relationship Id="rId2606" Type="http://schemas.openxmlformats.org/officeDocument/2006/relationships/hyperlink" Target="https://tnezki.github.io/physics/practice_sets/practice_sets_8_4/practice_set_8_4.html" TargetMode="External"/><Relationship Id="rId808" Type="http://schemas.openxmlformats.org/officeDocument/2006/relationships/hyperlink" Target="https://tnezki.github.io/physics/activities/u3_2_act1/u3_2_act1.html" TargetMode="External"/><Relationship Id="rId2607" Type="http://schemas.openxmlformats.org/officeDocument/2006/relationships/hyperlink" Target="https://tnezki.github.io/physics/practice_sets/practice_sets_8_4/extra_practice_8_4.html" TargetMode="External"/><Relationship Id="rId807" Type="http://schemas.openxmlformats.org/officeDocument/2006/relationships/hyperlink" Target="https://tnezki.github.io/physics/investigations/u3_2_investigation/u3_2_investigation.html" TargetMode="External"/><Relationship Id="rId2608" Type="http://schemas.openxmlformats.org/officeDocument/2006/relationships/hyperlink" Target="https://tnezki.github.io/physics/practice_sets/practice_sets_8_4/cyu_8_4.html" TargetMode="External"/><Relationship Id="rId806" Type="http://schemas.openxmlformats.org/officeDocument/2006/relationships/hyperlink" Target="https://tnezki.github.io/physics/notes/u3_2_notes/u3_2_notes.html" TargetMode="External"/><Relationship Id="rId2609" Type="http://schemas.openxmlformats.org/officeDocument/2006/relationships/hyperlink" Target="https://tnezki.github.io/physics/progress/unit_8_progress/unit_8_progress.html" TargetMode="External"/><Relationship Id="rId805" Type="http://schemas.openxmlformats.org/officeDocument/2006/relationships/hyperlink" Target="https://tnezki.github.io/physics/demo/u3_2_demo/u3_2_demo.html" TargetMode="External"/><Relationship Id="rId809" Type="http://schemas.openxmlformats.org/officeDocument/2006/relationships/hyperlink" Target="https://tnezki.github.io/physics/practice_sets/practice_sets_3_2/practice_set_3_2.html" TargetMode="External"/><Relationship Id="rId800" Type="http://schemas.openxmlformats.org/officeDocument/2006/relationships/hyperlink" Target="https://tnezki.github.io/physics/practice_sets/practice_sets_3_2/practice_set_3_2_2.html" TargetMode="External"/><Relationship Id="rId804" Type="http://schemas.openxmlformats.org/officeDocument/2006/relationships/hyperlink" Target="https://tnezki.github.io/physics/warmups/unit_3_warmups/unit_3_warmups.html" TargetMode="External"/><Relationship Id="rId803" Type="http://schemas.openxmlformats.org/officeDocument/2006/relationships/hyperlink" Target="https://tnezki.github.io/physics/banks/unit3/unit3.html" TargetMode="External"/><Relationship Id="rId802" Type="http://schemas.openxmlformats.org/officeDocument/2006/relationships/hyperlink" Target="https://tnezki.github.io/physics/assessments_zxrtjp/unit3_summative/unit3_summative_assessment.html" TargetMode="External"/><Relationship Id="rId801" Type="http://schemas.openxmlformats.org/officeDocument/2006/relationships/hyperlink" Target="https://tnezki.github.io/physics/practice_sets/practice_sets_3_2/practice_set_3_2_3.html" TargetMode="External"/><Relationship Id="rId1750" Type="http://schemas.openxmlformats.org/officeDocument/2006/relationships/hyperlink" Target="https://tnezki.github.io/physics/performance_task___5134zrt/u6_1_performance_task/u6_1_performance_task_teacher_guide.html" TargetMode="External"/><Relationship Id="rId1751" Type="http://schemas.openxmlformats.org/officeDocument/2006/relationships/hyperlink" Target="https://tnezki.github.io/physics/assessments_zxrtjp/unit6_assessment_plan/unit6_assessment_plan.html" TargetMode="External"/><Relationship Id="rId1741" Type="http://schemas.openxmlformats.org/officeDocument/2006/relationships/hyperlink" Target="https://tnezki.github.io/physics/activities/u6_1_act1/u6_1_act1.html" TargetMode="External"/><Relationship Id="rId1742" Type="http://schemas.openxmlformats.org/officeDocument/2006/relationships/hyperlink" Target="https://tnezki.github.io/physics/practice_sets/practice_sets_6_1/practice_set_6_1.html" TargetMode="External"/><Relationship Id="rId1743" Type="http://schemas.openxmlformats.org/officeDocument/2006/relationships/hyperlink" Target="https://tnezki.github.io/physics/practice_sets/practice_sets_6_1/extra_practice_6_1.html" TargetMode="External"/><Relationship Id="rId1744" Type="http://schemas.openxmlformats.org/officeDocument/2006/relationships/hyperlink" Target="https://tnezki.github.io/physics/practice_sets/practice_sets_6_1/cyu_6_1.html" TargetMode="External"/><Relationship Id="rId1745" Type="http://schemas.openxmlformats.org/officeDocument/2006/relationships/hyperlink" Target="https://tnezki.github.io/physics/progress/unit_6_progress/unit_6_progress.html" TargetMode="External"/><Relationship Id="rId1746" Type="http://schemas.openxmlformats.org/officeDocument/2006/relationships/hyperlink" Target="https://tnezki.github.io/physics/reviews/review6/review_6.html" TargetMode="External"/><Relationship Id="rId1747" Type="http://schemas.openxmlformats.org/officeDocument/2006/relationships/hyperlink" Target="https://tnezki.github.io/physics/notes/u6_1_notes/u6_1_notes_teacher.html" TargetMode="External"/><Relationship Id="rId1748" Type="http://schemas.openxmlformats.org/officeDocument/2006/relationships/hyperlink" Target="https://tnezki.github.io/physics/demo/u6_1_demo/u6_1_demo_teacher_guide.html" TargetMode="External"/><Relationship Id="rId1749" Type="http://schemas.openxmlformats.org/officeDocument/2006/relationships/hyperlink" Target="https://tnezki.github.io/physics/investigations/u6_1_investigation/u6_1_investigation_teacher_guide.html" TargetMode="External"/><Relationship Id="rId1740" Type="http://schemas.openxmlformats.org/officeDocument/2006/relationships/hyperlink" Target="https://tnezki.github.io/physics/investigations/u6_1_investigation/u6_1_investigation.html" TargetMode="External"/><Relationship Id="rId1710" Type="http://schemas.openxmlformats.org/officeDocument/2006/relationships/hyperlink" Target="https://tnezki.github.io/physics/exit/exit6/exit_6.html" TargetMode="External"/><Relationship Id="rId1711" Type="http://schemas.openxmlformats.org/officeDocument/2006/relationships/hyperlink" Target="https://tnezki.github.io/physics/practice_sets/practice_sets_6_1/practice_set_6_1_2.html" TargetMode="External"/><Relationship Id="rId1712" Type="http://schemas.openxmlformats.org/officeDocument/2006/relationships/hyperlink" Target="https://tnezki.github.io/physics/practice_sets/practice_sets_6_1/practice_set_6_1_3.html" TargetMode="External"/><Relationship Id="rId1713" Type="http://schemas.openxmlformats.org/officeDocument/2006/relationships/hyperlink" Target="https://tnezki.github.io/physics/assessments_zxrtjp/unit6_summative/unit6_summative_assessment.html" TargetMode="External"/><Relationship Id="rId1714" Type="http://schemas.openxmlformats.org/officeDocument/2006/relationships/hyperlink" Target="https://tnezki.github.io/physics/banks/unit6/unit6.html" TargetMode="External"/><Relationship Id="rId1715" Type="http://schemas.openxmlformats.org/officeDocument/2006/relationships/hyperlink" Target="https://tnezki.github.io/physics/warmups/unit_6_warmups/unit_6_warmups.html" TargetMode="External"/><Relationship Id="rId1716" Type="http://schemas.openxmlformats.org/officeDocument/2006/relationships/hyperlink" Target="https://tnezki.github.io/physics/demo/u6_1_demo/u6_1_demo.html" TargetMode="External"/><Relationship Id="rId1717" Type="http://schemas.openxmlformats.org/officeDocument/2006/relationships/hyperlink" Target="https://tnezki.github.io/physics/notes/u6_1_notes/u6_1_notes.html" TargetMode="External"/><Relationship Id="rId1718" Type="http://schemas.openxmlformats.org/officeDocument/2006/relationships/hyperlink" Target="https://tnezki.github.io/physics/investigations/u6_1_investigation/u6_1_investigation.html" TargetMode="External"/><Relationship Id="rId1719" Type="http://schemas.openxmlformats.org/officeDocument/2006/relationships/hyperlink" Target="https://tnezki.github.io/physics/activities/u6_1_act1/u6_1_act1.html" TargetMode="External"/><Relationship Id="rId1700" Type="http://schemas.openxmlformats.org/officeDocument/2006/relationships/hyperlink" Target="https://tnezki.github.io/physics/practice_sets/practice_sets_6_1/cyu_6_1.html" TargetMode="External"/><Relationship Id="rId1701" Type="http://schemas.openxmlformats.org/officeDocument/2006/relationships/hyperlink" Target="https://tnezki.github.io/physics/progress/unit_6_progress/unit_6_progress.html" TargetMode="External"/><Relationship Id="rId1702" Type="http://schemas.openxmlformats.org/officeDocument/2006/relationships/hyperlink" Target="https://tnezki.github.io/physics/reviews/review6/review_6.html" TargetMode="External"/><Relationship Id="rId1703" Type="http://schemas.openxmlformats.org/officeDocument/2006/relationships/hyperlink" Target="https://tnezki.github.io/physics/notes/u6_1_notes/u6_1_notes_teacher.html" TargetMode="External"/><Relationship Id="rId1704" Type="http://schemas.openxmlformats.org/officeDocument/2006/relationships/hyperlink" Target="https://tnezki.github.io/physics/demo/u6_1_demo/u6_1_demo_teacher_guide.html" TargetMode="External"/><Relationship Id="rId1705" Type="http://schemas.openxmlformats.org/officeDocument/2006/relationships/hyperlink" Target="https://tnezki.github.io/physics/investigations/u6_1_investigation/u6_1_investigation_teacher_guide.html" TargetMode="External"/><Relationship Id="rId1706" Type="http://schemas.openxmlformats.org/officeDocument/2006/relationships/hyperlink" Target="https://tnezki.github.io/physics/performance_task___5134zrt/u6_1_performance_task/u6_1_performance_task_teacher_guide.html" TargetMode="External"/><Relationship Id="rId1707" Type="http://schemas.openxmlformats.org/officeDocument/2006/relationships/hyperlink" Target="https://tnezki.github.io/physics/assessments_zxrtjp/unit6_assessment_plan/unit6_assessment_plan.html" TargetMode="External"/><Relationship Id="rId1708" Type="http://schemas.openxmlformats.org/officeDocument/2006/relationships/hyperlink" Target="https://tnezki.github.io/physics/performance_task___5134zrt/u6_1_performance_task/u6_1_performance_task.html" TargetMode="External"/><Relationship Id="rId1709" Type="http://schemas.openxmlformats.org/officeDocument/2006/relationships/hyperlink" Target="https://tnezki.github.io/physics/quick_check____htq5855/u6_1_quick_check/u6_1_quick_check.html" TargetMode="External"/><Relationship Id="rId40" Type="http://schemas.openxmlformats.org/officeDocument/2006/relationships/hyperlink" Target="https://tnezki.github.io/physics/performance_task___5134zrt/u1_1_performance_task/u1_1_performance_task_teacher_guide.html" TargetMode="External"/><Relationship Id="rId1334" Type="http://schemas.openxmlformats.org/officeDocument/2006/relationships/hyperlink" Target="https://tnezki.github.io/physics/banks/unit4/unit4.html" TargetMode="External"/><Relationship Id="rId2665" Type="http://schemas.openxmlformats.org/officeDocument/2006/relationships/hyperlink" Target="https://tnezki.github.io/physics/assessments_zxrtjp/unit8_summative/unit8_summative_assessment.html" TargetMode="External"/><Relationship Id="rId1335" Type="http://schemas.openxmlformats.org/officeDocument/2006/relationships/hyperlink" Target="https://tnezki.github.io/physics/warmups/unit_4_warmups/unit_4_warmups.html" TargetMode="External"/><Relationship Id="rId2666" Type="http://schemas.openxmlformats.org/officeDocument/2006/relationships/hyperlink" Target="https://tnezki.github.io/physics/banks/unit8/unit8.html" TargetMode="External"/><Relationship Id="rId42" Type="http://schemas.openxmlformats.org/officeDocument/2006/relationships/hyperlink" Target="https://tnezki.github.io/physics/performance_task___5134zrt/u1_1_performance_task/u1_1_performance_task.html" TargetMode="External"/><Relationship Id="rId1336" Type="http://schemas.openxmlformats.org/officeDocument/2006/relationships/hyperlink" Target="https://tnezki.github.io/physics/demo/u4_5_demo/u4_5_demo.html" TargetMode="External"/><Relationship Id="rId2667" Type="http://schemas.openxmlformats.org/officeDocument/2006/relationships/hyperlink" Target="https://tnezki.github.io/physics/warmups/unit_8_warmups/unit_8_warmups.html" TargetMode="External"/><Relationship Id="rId41" Type="http://schemas.openxmlformats.org/officeDocument/2006/relationships/hyperlink" Target="https://tnezki.github.io/physics/assessments_zxrtjp/unit1_assessment_plan/unit1_assessment_plan.html" TargetMode="External"/><Relationship Id="rId1337" Type="http://schemas.openxmlformats.org/officeDocument/2006/relationships/hyperlink" Target="https://tnezki.github.io/physics/notes/u4_5_notes/u4_5_notes.html" TargetMode="External"/><Relationship Id="rId2668" Type="http://schemas.openxmlformats.org/officeDocument/2006/relationships/hyperlink" Target="https://tnezki.github.io/physics/demo/u8_5_demo/u8_5_demo.html" TargetMode="External"/><Relationship Id="rId44" Type="http://schemas.openxmlformats.org/officeDocument/2006/relationships/hyperlink" Target="https://tnezki.github.io/physics/exit/exit1/exit_1.html" TargetMode="External"/><Relationship Id="rId1338" Type="http://schemas.openxmlformats.org/officeDocument/2006/relationships/hyperlink" Target="https://tnezki.github.io/physics/investigations/u4_5_investigation/u4_5_investigation.html" TargetMode="External"/><Relationship Id="rId2669" Type="http://schemas.openxmlformats.org/officeDocument/2006/relationships/hyperlink" Target="https://tnezki.github.io/physics/notes/u8_5_notes/u8_5_notes.html" TargetMode="External"/><Relationship Id="rId43" Type="http://schemas.openxmlformats.org/officeDocument/2006/relationships/hyperlink" Target="https://tnezki.github.io/physics/quick_check____htq5855/u1_1_quick_check/u1_1_quick_check.html" TargetMode="External"/><Relationship Id="rId1339" Type="http://schemas.openxmlformats.org/officeDocument/2006/relationships/hyperlink" Target="https://tnezki.github.io/physics/activities/u4_5_act1/u4_5_act1.html" TargetMode="External"/><Relationship Id="rId46" Type="http://schemas.openxmlformats.org/officeDocument/2006/relationships/hyperlink" Target="https://tnezki.github.io/physics/practice_sets/practice_sets_1_1/practice_set_1_1_3.html" TargetMode="External"/><Relationship Id="rId45" Type="http://schemas.openxmlformats.org/officeDocument/2006/relationships/hyperlink" Target="https://tnezki.github.io/physics/practice_sets/practice_sets_1_1/practice_set_1_1_2.html" TargetMode="External"/><Relationship Id="rId745" Type="http://schemas.openxmlformats.org/officeDocument/2006/relationships/hyperlink" Target="https://tnezki.github.io/physics/practice_sets/practice_sets_3_1/cyu_3_1.html" TargetMode="External"/><Relationship Id="rId744" Type="http://schemas.openxmlformats.org/officeDocument/2006/relationships/hyperlink" Target="https://tnezki.github.io/physics/practice_sets/practice_sets_3_1/extra_practice_3_1.html" TargetMode="External"/><Relationship Id="rId743" Type="http://schemas.openxmlformats.org/officeDocument/2006/relationships/hyperlink" Target="https://tnezki.github.io/physics/practice_sets/practice_sets_3_1/practice_set_3_1.html" TargetMode="External"/><Relationship Id="rId742" Type="http://schemas.openxmlformats.org/officeDocument/2006/relationships/hyperlink" Target="https://tnezki.github.io/physics/activities/u3_1_act1/u3_1_act1.html" TargetMode="External"/><Relationship Id="rId749" Type="http://schemas.openxmlformats.org/officeDocument/2006/relationships/hyperlink" Target="https://tnezki.github.io/physics/demo/u3_1_demo/u3_1_demo_teacher_guide.html" TargetMode="External"/><Relationship Id="rId748" Type="http://schemas.openxmlformats.org/officeDocument/2006/relationships/hyperlink" Target="https://tnezki.github.io/physics/notes/u3_1_notes/u3_1_notes_teacher.html" TargetMode="External"/><Relationship Id="rId747" Type="http://schemas.openxmlformats.org/officeDocument/2006/relationships/hyperlink" Target="https://tnezki.github.io/physics/reviews/review3/review_3.html" TargetMode="External"/><Relationship Id="rId746" Type="http://schemas.openxmlformats.org/officeDocument/2006/relationships/hyperlink" Target="https://tnezki.github.io/physics/progress/unit_3_progress/unit_3_progress.html" TargetMode="External"/><Relationship Id="rId48" Type="http://schemas.openxmlformats.org/officeDocument/2006/relationships/hyperlink" Target="https://tnezki.github.io/physics/banks/unit1/unit1.html" TargetMode="External"/><Relationship Id="rId47" Type="http://schemas.openxmlformats.org/officeDocument/2006/relationships/hyperlink" Target="https://tnezki.github.io/physics/assessments_zxrtjp/unit1_summative/unit1_summative_assessment.html" TargetMode="External"/><Relationship Id="rId49" Type="http://schemas.openxmlformats.org/officeDocument/2006/relationships/hyperlink" Target="https://tnezki.github.io/physics/misc/welcomes/slides/1_1_2_welcome.html" TargetMode="External"/><Relationship Id="rId2660" Type="http://schemas.openxmlformats.org/officeDocument/2006/relationships/hyperlink" Target="https://tnezki.github.io/physics/performance_task___5134zrt/u8_5_performance_task/u8_5_performance_task.html" TargetMode="External"/><Relationship Id="rId741" Type="http://schemas.openxmlformats.org/officeDocument/2006/relationships/hyperlink" Target="https://tnezki.github.io/physics/investigations/u3_1_investigation/u3_1_investigation.html" TargetMode="External"/><Relationship Id="rId1330" Type="http://schemas.openxmlformats.org/officeDocument/2006/relationships/hyperlink" Target="https://tnezki.github.io/physics/exit/exit4/exit_4.html" TargetMode="External"/><Relationship Id="rId2661" Type="http://schemas.openxmlformats.org/officeDocument/2006/relationships/hyperlink" Target="https://tnezki.github.io/physics/quick_check____htq5855/u8_5_quick_check/u8_5_quick_check.html" TargetMode="External"/><Relationship Id="rId740" Type="http://schemas.openxmlformats.org/officeDocument/2006/relationships/hyperlink" Target="https://tnezki.github.io/physics/notes/u3_1_notes/u3_1_notes.html" TargetMode="External"/><Relationship Id="rId1331" Type="http://schemas.openxmlformats.org/officeDocument/2006/relationships/hyperlink" Target="https://tnezki.github.io/physics/practice_sets/practice_sets_4_5/practice_set_4_5_2.html" TargetMode="External"/><Relationship Id="rId2662" Type="http://schemas.openxmlformats.org/officeDocument/2006/relationships/hyperlink" Target="https://tnezki.github.io/physics/exit/exit8/exit_8.html" TargetMode="External"/><Relationship Id="rId1332" Type="http://schemas.openxmlformats.org/officeDocument/2006/relationships/hyperlink" Target="https://tnezki.github.io/physics/practice_sets/practice_sets_4_5/practice_set_4_5_3.html" TargetMode="External"/><Relationship Id="rId2663" Type="http://schemas.openxmlformats.org/officeDocument/2006/relationships/hyperlink" Target="https://tnezki.github.io/physics/practice_sets/practice_sets_8_5/practice_set_8_5_2.html" TargetMode="External"/><Relationship Id="rId1333" Type="http://schemas.openxmlformats.org/officeDocument/2006/relationships/hyperlink" Target="https://tnezki.github.io/physics/assessments_zxrtjp/unit4_summative/unit4_summative_assessment.html" TargetMode="External"/><Relationship Id="rId2664" Type="http://schemas.openxmlformats.org/officeDocument/2006/relationships/hyperlink" Target="https://tnezki.github.io/physics/practice_sets/practice_sets_8_5/practice_set_8_5_3.html" TargetMode="External"/><Relationship Id="rId1323" Type="http://schemas.openxmlformats.org/officeDocument/2006/relationships/hyperlink" Target="https://tnezki.github.io/physics/notes/u4_5_notes/u4_5_notes_teacher.html" TargetMode="External"/><Relationship Id="rId2654" Type="http://schemas.openxmlformats.org/officeDocument/2006/relationships/hyperlink" Target="https://tnezki.github.io/physics/reviews/review8/review_8.html" TargetMode="External"/><Relationship Id="rId1324" Type="http://schemas.openxmlformats.org/officeDocument/2006/relationships/hyperlink" Target="https://tnezki.github.io/physics/demo/u4_5_demo/u4_5_demo_teacher_guide.html" TargetMode="External"/><Relationship Id="rId2655" Type="http://schemas.openxmlformats.org/officeDocument/2006/relationships/hyperlink" Target="https://tnezki.github.io/physics/notes/u8_5_notes/u8_5_notes_teacher.html" TargetMode="External"/><Relationship Id="rId31" Type="http://schemas.openxmlformats.org/officeDocument/2006/relationships/hyperlink" Target="https://tnezki.github.io/physics/activities/u1_1_act1/u1_1_act1.html" TargetMode="External"/><Relationship Id="rId1325" Type="http://schemas.openxmlformats.org/officeDocument/2006/relationships/hyperlink" Target="https://tnezki.github.io/physics/investigations/u4_5_investigation/u4_5_investigation_teacher_guide.html" TargetMode="External"/><Relationship Id="rId2656" Type="http://schemas.openxmlformats.org/officeDocument/2006/relationships/hyperlink" Target="https://tnezki.github.io/physics/demo/u8_5_demo/u8_5_demo_teacher_guide.html" TargetMode="External"/><Relationship Id="rId30" Type="http://schemas.openxmlformats.org/officeDocument/2006/relationships/hyperlink" Target="https://tnezki.github.io/physics/investigations/u1_1_investigation/u1_1_investigation.html" TargetMode="External"/><Relationship Id="rId1326" Type="http://schemas.openxmlformats.org/officeDocument/2006/relationships/hyperlink" Target="https://tnezki.github.io/physics/performance_task___5134zrt/u4_5_performance_task/u4_5_performance_task_teacher_guide.html" TargetMode="External"/><Relationship Id="rId2657" Type="http://schemas.openxmlformats.org/officeDocument/2006/relationships/hyperlink" Target="https://tnezki.github.io/physics/investigations/u8_5_investigation/u8_5_investigation_teacher_guide.html" TargetMode="External"/><Relationship Id="rId33" Type="http://schemas.openxmlformats.org/officeDocument/2006/relationships/hyperlink" Target="https://tnezki.github.io/physics/practice_sets/practice_sets_1_1/extra_practice_1_1.html" TargetMode="External"/><Relationship Id="rId1327" Type="http://schemas.openxmlformats.org/officeDocument/2006/relationships/hyperlink" Target="https://tnezki.github.io/physics/assessments_zxrtjp/unit4_assessment_plan/unit4_assessment_plan.html" TargetMode="External"/><Relationship Id="rId2658" Type="http://schemas.openxmlformats.org/officeDocument/2006/relationships/hyperlink" Target="https://tnezki.github.io/physics/performance_task___5134zrt/u8_5_performance_task/u8_5_performance_task_teacher_guide.html" TargetMode="External"/><Relationship Id="rId32" Type="http://schemas.openxmlformats.org/officeDocument/2006/relationships/hyperlink" Target="https://tnezki.github.io/physics/practice_sets/practice_sets_1_1/practice_set_1_1.html" TargetMode="External"/><Relationship Id="rId1328" Type="http://schemas.openxmlformats.org/officeDocument/2006/relationships/hyperlink" Target="https://tnezki.github.io/physics/performance_task___5134zrt/u4_5_performance_task/u4_5_performance_task.html" TargetMode="External"/><Relationship Id="rId2659" Type="http://schemas.openxmlformats.org/officeDocument/2006/relationships/hyperlink" Target="https://tnezki.github.io/physics/assessments_zxrtjp/unit8_assessment_plan/unit8_assessment_plan.html" TargetMode="External"/><Relationship Id="rId35" Type="http://schemas.openxmlformats.org/officeDocument/2006/relationships/hyperlink" Target="https://tnezki.github.io/physics/progress/unit_1_progress/unit_1_progress.html" TargetMode="External"/><Relationship Id="rId1329" Type="http://schemas.openxmlformats.org/officeDocument/2006/relationships/hyperlink" Target="https://tnezki.github.io/physics/quick_check____htq5855/u4_5_quick_check/u4_5_quick_check.html" TargetMode="External"/><Relationship Id="rId34" Type="http://schemas.openxmlformats.org/officeDocument/2006/relationships/hyperlink" Target="https://tnezki.github.io/physics/practice_sets/practice_sets_1_1/cyu_1_1.html" TargetMode="External"/><Relationship Id="rId739" Type="http://schemas.openxmlformats.org/officeDocument/2006/relationships/hyperlink" Target="https://tnezki.github.io/physics/demo/u3_1_demo/u3_1_demo.html" TargetMode="External"/><Relationship Id="rId734" Type="http://schemas.openxmlformats.org/officeDocument/2006/relationships/hyperlink" Target="https://tnezki.github.io/physics/practice_sets/practice_sets_3_1/practice_set_3_1_2.html" TargetMode="External"/><Relationship Id="rId733" Type="http://schemas.openxmlformats.org/officeDocument/2006/relationships/hyperlink" Target="https://tnezki.github.io/physics/exit/exit3/exit_3.html" TargetMode="External"/><Relationship Id="rId732" Type="http://schemas.openxmlformats.org/officeDocument/2006/relationships/hyperlink" Target="https://tnezki.github.io/physics/quick_check____htq5855/u3_1_quick_check/u3_1_quick_check.html" TargetMode="External"/><Relationship Id="rId731" Type="http://schemas.openxmlformats.org/officeDocument/2006/relationships/hyperlink" Target="https://tnezki.github.io/physics/performance_task___5134zrt/u3_1_performance_task/u3_1_performance_task.html" TargetMode="External"/><Relationship Id="rId738" Type="http://schemas.openxmlformats.org/officeDocument/2006/relationships/hyperlink" Target="https://tnezki.github.io/physics/warmups/unit_3_warmups/unit_3_warmups.html" TargetMode="External"/><Relationship Id="rId737" Type="http://schemas.openxmlformats.org/officeDocument/2006/relationships/hyperlink" Target="https://tnezki.github.io/physics/banks/unit3/unit3.html" TargetMode="External"/><Relationship Id="rId736" Type="http://schemas.openxmlformats.org/officeDocument/2006/relationships/hyperlink" Target="https://tnezki.github.io/physics/assessments_zxrtjp/unit3_summative/unit3_summative_assessment.html" TargetMode="External"/><Relationship Id="rId735" Type="http://schemas.openxmlformats.org/officeDocument/2006/relationships/hyperlink" Target="https://tnezki.github.io/physics/practice_sets/practice_sets_3_1/practice_set_3_1_3.html" TargetMode="External"/><Relationship Id="rId37" Type="http://schemas.openxmlformats.org/officeDocument/2006/relationships/hyperlink" Target="https://tnezki.github.io/physics/notes/u1_1_notes/u1_1_notes_teacher.html" TargetMode="External"/><Relationship Id="rId36" Type="http://schemas.openxmlformats.org/officeDocument/2006/relationships/hyperlink" Target="https://tnezki.github.io/physics/reviews/review1/review_1.html" TargetMode="External"/><Relationship Id="rId39" Type="http://schemas.openxmlformats.org/officeDocument/2006/relationships/hyperlink" Target="https://tnezki.github.io/physics/investigations/u1_1_investigation/u1_1_investigation_teacher_guide.html" TargetMode="External"/><Relationship Id="rId38" Type="http://schemas.openxmlformats.org/officeDocument/2006/relationships/hyperlink" Target="https://tnezki.github.io/physics/demo/u1_1_demo/u1_1_demo_teacher_guide.html" TargetMode="External"/><Relationship Id="rId730" Type="http://schemas.openxmlformats.org/officeDocument/2006/relationships/hyperlink" Target="https://tnezki.github.io/physics/assessments_zxrtjp/unit3_assessment_plan/unit3_assessment_plan.html" TargetMode="External"/><Relationship Id="rId2650" Type="http://schemas.openxmlformats.org/officeDocument/2006/relationships/hyperlink" Target="https://tnezki.github.io/physics/practice_sets/practice_sets_8_5/practice_set_8_5.html" TargetMode="External"/><Relationship Id="rId1320" Type="http://schemas.openxmlformats.org/officeDocument/2006/relationships/hyperlink" Target="https://tnezki.github.io/physics/practice_sets/practice_sets_4_5/cyu_4_5.html" TargetMode="External"/><Relationship Id="rId2651" Type="http://schemas.openxmlformats.org/officeDocument/2006/relationships/hyperlink" Target="https://tnezki.github.io/physics/practice_sets/practice_sets_8_5/extra_practice_8_5.html" TargetMode="External"/><Relationship Id="rId1321" Type="http://schemas.openxmlformats.org/officeDocument/2006/relationships/hyperlink" Target="https://tnezki.github.io/physics/progress/unit_4_progress/unit_4_progress.html" TargetMode="External"/><Relationship Id="rId2652" Type="http://schemas.openxmlformats.org/officeDocument/2006/relationships/hyperlink" Target="https://tnezki.github.io/physics/practice_sets/practice_sets_8_5/cyu_8_5.html" TargetMode="External"/><Relationship Id="rId1322" Type="http://schemas.openxmlformats.org/officeDocument/2006/relationships/hyperlink" Target="https://tnezki.github.io/physics/reviews/review4/review_4.html" TargetMode="External"/><Relationship Id="rId2653" Type="http://schemas.openxmlformats.org/officeDocument/2006/relationships/hyperlink" Target="https://tnezki.github.io/physics/progress/unit_8_progress/unit_8_progress.html" TargetMode="External"/><Relationship Id="rId1356" Type="http://schemas.openxmlformats.org/officeDocument/2006/relationships/hyperlink" Target="https://tnezki.github.io/physics/banks/unit4/unit4.html" TargetMode="External"/><Relationship Id="rId2203" Type="http://schemas.openxmlformats.org/officeDocument/2006/relationships/hyperlink" Target="https://tnezki.github.io/physics/demo/u7_3_demo/u7_3_demo.html" TargetMode="External"/><Relationship Id="rId2687" Type="http://schemas.openxmlformats.org/officeDocument/2006/relationships/hyperlink" Target="https://tnezki.github.io/physics/assessments_zxrtjp/unit8_summative/unit8_summative_assessment.html" TargetMode="External"/><Relationship Id="rId1357" Type="http://schemas.openxmlformats.org/officeDocument/2006/relationships/hyperlink" Target="https://tnezki.github.io/physics/assessments_zxrtjp/unit4_summative/unit4_summative_assessment.html" TargetMode="External"/><Relationship Id="rId2204" Type="http://schemas.openxmlformats.org/officeDocument/2006/relationships/hyperlink" Target="https://tnezki.github.io/physics/notes/u7_3_notes/u7_3_notes.html" TargetMode="External"/><Relationship Id="rId2688" Type="http://schemas.openxmlformats.org/officeDocument/2006/relationships/hyperlink" Target="https://tnezki.github.io/physics/banks/unit8/unit8.html" TargetMode="External"/><Relationship Id="rId20" Type="http://schemas.openxmlformats.org/officeDocument/2006/relationships/hyperlink" Target="https://tnezki.github.io/physics/misc/first_4_days/investigation/first_4_days_investigation_teacher_guide.html" TargetMode="External"/><Relationship Id="rId1358" Type="http://schemas.openxmlformats.org/officeDocument/2006/relationships/hyperlink" Target="https://tnezki.github.io/physics/banks/unit4/unit4.html" TargetMode="External"/><Relationship Id="rId2205" Type="http://schemas.openxmlformats.org/officeDocument/2006/relationships/hyperlink" Target="https://tnezki.github.io/physics/investigations/u7_3_investigation/u7_3_investigation.html" TargetMode="External"/><Relationship Id="rId2689" Type="http://schemas.openxmlformats.org/officeDocument/2006/relationships/hyperlink" Target="https://tnezki.github.io/physics/assessments_zxrtjp/unit8_summative/unit8_summative_assessment.html" TargetMode="External"/><Relationship Id="rId1359" Type="http://schemas.openxmlformats.org/officeDocument/2006/relationships/hyperlink" Target="https://tnezki.github.io/physics/assessments_zxrtjp/unit4_assessment_plan/unit4_assessment_plan.html" TargetMode="External"/><Relationship Id="rId2206" Type="http://schemas.openxmlformats.org/officeDocument/2006/relationships/hyperlink" Target="https://tnezki.github.io/physics/activities/u7_3_act1/u7_3_act1.html" TargetMode="External"/><Relationship Id="rId22" Type="http://schemas.openxmlformats.org/officeDocument/2006/relationships/hyperlink" Target="https://tnezki.github.io/physics/misc/welcomes/slides/0_1_4_welcome.html" TargetMode="External"/><Relationship Id="rId2207" Type="http://schemas.openxmlformats.org/officeDocument/2006/relationships/hyperlink" Target="https://tnezki.github.io/physics/practice_sets/practice_sets_7_3/practice_set_7_3.html" TargetMode="External"/><Relationship Id="rId21" Type="http://schemas.openxmlformats.org/officeDocument/2006/relationships/hyperlink" Target="https://tnezki.github.io/physics/misc/first_4_days/exit/exit_3.html" TargetMode="External"/><Relationship Id="rId2208" Type="http://schemas.openxmlformats.org/officeDocument/2006/relationships/hyperlink" Target="https://tnezki.github.io/physics/practice_sets/practice_sets_7_3/extra_practice_7_3.html" TargetMode="External"/><Relationship Id="rId24" Type="http://schemas.openxmlformats.org/officeDocument/2006/relationships/hyperlink" Target="https://tnezki.github.io/physics/misc/first_4_days/activities/0_1_act1/0_1_act1.html" TargetMode="External"/><Relationship Id="rId2209" Type="http://schemas.openxmlformats.org/officeDocument/2006/relationships/hyperlink" Target="https://tnezki.github.io/physics/practice_sets/practice_sets_7_3/cyu_7_3.html" TargetMode="External"/><Relationship Id="rId23" Type="http://schemas.openxmlformats.org/officeDocument/2006/relationships/hyperlink" Target="https://tnezki.github.io/physics/misc/first_4_days/warmups/first_4_days_warmups.html" TargetMode="External"/><Relationship Id="rId767" Type="http://schemas.openxmlformats.org/officeDocument/2006/relationships/hyperlink" Target="https://tnezki.github.io/physics/practice_sets/practice_sets_3_2/cyu_3_2.html" TargetMode="External"/><Relationship Id="rId766" Type="http://schemas.openxmlformats.org/officeDocument/2006/relationships/hyperlink" Target="https://tnezki.github.io/physics/practice_sets/practice_sets_3_2/extra_practice_3_2.html" TargetMode="External"/><Relationship Id="rId765" Type="http://schemas.openxmlformats.org/officeDocument/2006/relationships/hyperlink" Target="https://tnezki.github.io/physics/practice_sets/practice_sets_3_2/practice_set_3_2.html" TargetMode="External"/><Relationship Id="rId764" Type="http://schemas.openxmlformats.org/officeDocument/2006/relationships/hyperlink" Target="https://tnezki.github.io/physics/activities/u3_2_act1/u3_2_act1.html" TargetMode="External"/><Relationship Id="rId769" Type="http://schemas.openxmlformats.org/officeDocument/2006/relationships/hyperlink" Target="https://tnezki.github.io/physics/reviews/review3/review_3.html" TargetMode="External"/><Relationship Id="rId768" Type="http://schemas.openxmlformats.org/officeDocument/2006/relationships/hyperlink" Target="https://tnezki.github.io/physics/progress/unit_3_progress/unit_3_progress.html" TargetMode="External"/><Relationship Id="rId26" Type="http://schemas.openxmlformats.org/officeDocument/2006/relationships/hyperlink" Target="https://tnezki.github.io/physics/misc/welcomes/slides/1_1_1_welcome.html" TargetMode="External"/><Relationship Id="rId25" Type="http://schemas.openxmlformats.org/officeDocument/2006/relationships/hyperlink" Target="https://tnezki.github.io/physics/misc/first_4_days/overview/first_4_days_overview.html" TargetMode="External"/><Relationship Id="rId2680" Type="http://schemas.openxmlformats.org/officeDocument/2006/relationships/hyperlink" Target="https://tnezki.github.io/physics/performance_task___5134zrt/u8_5_performance_task/u8_5_performance_task_teacher_guide.html" TargetMode="External"/><Relationship Id="rId28" Type="http://schemas.openxmlformats.org/officeDocument/2006/relationships/hyperlink" Target="https://tnezki.github.io/physics/demo/u1_1_demo/u1_1_demo.html" TargetMode="External"/><Relationship Id="rId1350" Type="http://schemas.openxmlformats.org/officeDocument/2006/relationships/hyperlink" Target="https://tnezki.github.io/physics/performance_task___5134zrt/u4_5_performance_task/u4_5_performance_task.html" TargetMode="External"/><Relationship Id="rId2681" Type="http://schemas.openxmlformats.org/officeDocument/2006/relationships/hyperlink" Target="https://tnezki.github.io/physics/assessments_zxrtjp/unit8_assessment_plan/unit8_assessment_plan.html" TargetMode="External"/><Relationship Id="rId27" Type="http://schemas.openxmlformats.org/officeDocument/2006/relationships/hyperlink" Target="https://tnezki.github.io/physics/warmups/unit_1_warmups/unit_1_warmups.html" TargetMode="External"/><Relationship Id="rId1351" Type="http://schemas.openxmlformats.org/officeDocument/2006/relationships/hyperlink" Target="https://tnezki.github.io/physics/quick_check____htq5855/u4_5_quick_check/u4_5_quick_check.html" TargetMode="External"/><Relationship Id="rId2682" Type="http://schemas.openxmlformats.org/officeDocument/2006/relationships/hyperlink" Target="https://tnezki.github.io/physics/performance_task___5134zrt/u8_5_performance_task/u8_5_performance_task.html" TargetMode="External"/><Relationship Id="rId763" Type="http://schemas.openxmlformats.org/officeDocument/2006/relationships/hyperlink" Target="https://tnezki.github.io/physics/investigations/u3_2_investigation/u3_2_investigation.html" TargetMode="External"/><Relationship Id="rId1352" Type="http://schemas.openxmlformats.org/officeDocument/2006/relationships/hyperlink" Target="https://tnezki.github.io/physics/exit/exit4/exit_4.html" TargetMode="External"/><Relationship Id="rId2683" Type="http://schemas.openxmlformats.org/officeDocument/2006/relationships/hyperlink" Target="https://tnezki.github.io/physics/quick_check____htq5855/u8_5_quick_check/u8_5_quick_check.html" TargetMode="External"/><Relationship Id="rId29" Type="http://schemas.openxmlformats.org/officeDocument/2006/relationships/hyperlink" Target="https://tnezki.github.io/physics/notes/u1_1_notes/u1_1_notes.html" TargetMode="External"/><Relationship Id="rId762" Type="http://schemas.openxmlformats.org/officeDocument/2006/relationships/hyperlink" Target="https://tnezki.github.io/physics/notes/u3_2_notes/u3_2_notes.html" TargetMode="External"/><Relationship Id="rId1353" Type="http://schemas.openxmlformats.org/officeDocument/2006/relationships/hyperlink" Target="https://tnezki.github.io/physics/practice_sets/practice_sets_4_5/practice_set_4_5_2.html" TargetMode="External"/><Relationship Id="rId2200" Type="http://schemas.openxmlformats.org/officeDocument/2006/relationships/hyperlink" Target="https://tnezki.github.io/physics/assessments_zxrtjp/unit7_summative/unit7_summative_assessment.html" TargetMode="External"/><Relationship Id="rId2684" Type="http://schemas.openxmlformats.org/officeDocument/2006/relationships/hyperlink" Target="https://tnezki.github.io/physics/exit/exit8/exit_8.html" TargetMode="External"/><Relationship Id="rId761" Type="http://schemas.openxmlformats.org/officeDocument/2006/relationships/hyperlink" Target="https://tnezki.github.io/physics/demo/u3_2_demo/u3_2_demo.html" TargetMode="External"/><Relationship Id="rId1354" Type="http://schemas.openxmlformats.org/officeDocument/2006/relationships/hyperlink" Target="https://tnezki.github.io/physics/practice_sets/practice_sets_4_5/practice_set_4_5_3.html" TargetMode="External"/><Relationship Id="rId2201" Type="http://schemas.openxmlformats.org/officeDocument/2006/relationships/hyperlink" Target="https://tnezki.github.io/physics/banks/unit7/unit7.html" TargetMode="External"/><Relationship Id="rId2685" Type="http://schemas.openxmlformats.org/officeDocument/2006/relationships/hyperlink" Target="https://tnezki.github.io/physics/practice_sets/practice_sets_8_5/practice_set_8_5_2.html" TargetMode="External"/><Relationship Id="rId760" Type="http://schemas.openxmlformats.org/officeDocument/2006/relationships/hyperlink" Target="https://tnezki.github.io/physics/warmups/unit_3_warmups/unit_3_warmups.html" TargetMode="External"/><Relationship Id="rId1355" Type="http://schemas.openxmlformats.org/officeDocument/2006/relationships/hyperlink" Target="https://tnezki.github.io/physics/assessments_zxrtjp/unit4_summative/unit4_summative_assessment.html" TargetMode="External"/><Relationship Id="rId2202" Type="http://schemas.openxmlformats.org/officeDocument/2006/relationships/hyperlink" Target="https://tnezki.github.io/physics/warmups/unit_7_warmups/unit_7_warmups.html" TargetMode="External"/><Relationship Id="rId2686" Type="http://schemas.openxmlformats.org/officeDocument/2006/relationships/hyperlink" Target="https://tnezki.github.io/physics/practice_sets/practice_sets_8_5/practice_set_8_5_3.html" TargetMode="External"/><Relationship Id="rId1345" Type="http://schemas.openxmlformats.org/officeDocument/2006/relationships/hyperlink" Target="https://tnezki.github.io/physics/notes/u4_5_notes/u4_5_notes_teacher.html" TargetMode="External"/><Relationship Id="rId2676" Type="http://schemas.openxmlformats.org/officeDocument/2006/relationships/hyperlink" Target="https://tnezki.github.io/physics/reviews/review8/review_8.html" TargetMode="External"/><Relationship Id="rId1346" Type="http://schemas.openxmlformats.org/officeDocument/2006/relationships/hyperlink" Target="https://tnezki.github.io/physics/demo/u4_5_demo/u4_5_demo_teacher_guide.html" TargetMode="External"/><Relationship Id="rId2677" Type="http://schemas.openxmlformats.org/officeDocument/2006/relationships/hyperlink" Target="https://tnezki.github.io/physics/notes/u8_5_notes/u8_5_notes_teacher.html" TargetMode="External"/><Relationship Id="rId1347" Type="http://schemas.openxmlformats.org/officeDocument/2006/relationships/hyperlink" Target="https://tnezki.github.io/physics/investigations/u4_5_investigation/u4_5_investigation_teacher_guide.html" TargetMode="External"/><Relationship Id="rId2678" Type="http://schemas.openxmlformats.org/officeDocument/2006/relationships/hyperlink" Target="https://tnezki.github.io/physics/demo/u8_5_demo/u8_5_demo_teacher_guide.html" TargetMode="External"/><Relationship Id="rId1348" Type="http://schemas.openxmlformats.org/officeDocument/2006/relationships/hyperlink" Target="https://tnezki.github.io/physics/performance_task___5134zrt/u4_5_performance_task/u4_5_performance_task_teacher_guide.html" TargetMode="External"/><Relationship Id="rId2679" Type="http://schemas.openxmlformats.org/officeDocument/2006/relationships/hyperlink" Target="https://tnezki.github.io/physics/investigations/u8_5_investigation/u8_5_investigation_teacher_guide.html" TargetMode="External"/><Relationship Id="rId11" Type="http://schemas.openxmlformats.org/officeDocument/2006/relationships/hyperlink" Target="https://tnezki.github.io/physics/misc/first_4_days/practice/first_4_days_extra_practice.html" TargetMode="External"/><Relationship Id="rId1349" Type="http://schemas.openxmlformats.org/officeDocument/2006/relationships/hyperlink" Target="https://tnezki.github.io/physics/assessments_zxrtjp/unit4_assessment_plan/unit4_assessment_plan.html" TargetMode="External"/><Relationship Id="rId10" Type="http://schemas.openxmlformats.org/officeDocument/2006/relationships/hyperlink" Target="https://tnezki.github.io/physics/misc/first_4_days/practice/first_4_days_practice.html" TargetMode="External"/><Relationship Id="rId13" Type="http://schemas.openxmlformats.org/officeDocument/2006/relationships/hyperlink" Target="https://tnezki.github.io/physics/misc/first_4_days/exit/exit_2.html" TargetMode="External"/><Relationship Id="rId12" Type="http://schemas.openxmlformats.org/officeDocument/2006/relationships/hyperlink" Target="https://tnezki.github.io/physics/misc/first_4_days/investigation/first_4_days_investigation_teacher_guide.html" TargetMode="External"/><Relationship Id="rId756" Type="http://schemas.openxmlformats.org/officeDocument/2006/relationships/hyperlink" Target="https://tnezki.github.io/physics/practice_sets/practice_sets_3_1/practice_set_3_1_2.html" TargetMode="External"/><Relationship Id="rId755" Type="http://schemas.openxmlformats.org/officeDocument/2006/relationships/hyperlink" Target="https://tnezki.github.io/physics/exit/exit3/exit_3.html" TargetMode="External"/><Relationship Id="rId754" Type="http://schemas.openxmlformats.org/officeDocument/2006/relationships/hyperlink" Target="https://tnezki.github.io/physics/quick_check____htq5855/u3_1_quick_check/u3_1_quick_check.html" TargetMode="External"/><Relationship Id="rId753" Type="http://schemas.openxmlformats.org/officeDocument/2006/relationships/hyperlink" Target="https://tnezki.github.io/physics/performance_task___5134zrt/u3_1_performance_task/u3_1_performance_task.html" TargetMode="External"/><Relationship Id="rId759" Type="http://schemas.openxmlformats.org/officeDocument/2006/relationships/hyperlink" Target="https://tnezki.github.io/physics/banks/unit3/unit3.html" TargetMode="External"/><Relationship Id="rId758" Type="http://schemas.openxmlformats.org/officeDocument/2006/relationships/hyperlink" Target="https://tnezki.github.io/physics/assessments_zxrtjp/unit3_summative/unit3_summative_assessment.html" TargetMode="External"/><Relationship Id="rId757" Type="http://schemas.openxmlformats.org/officeDocument/2006/relationships/hyperlink" Target="https://tnezki.github.io/physics/practice_sets/practice_sets_3_1/practice_set_3_1_3.html" TargetMode="External"/><Relationship Id="rId15" Type="http://schemas.openxmlformats.org/officeDocument/2006/relationships/hyperlink" Target="https://tnezki.github.io/physics/misc/first_4_days/warmups/first_4_days_warmups.html" TargetMode="External"/><Relationship Id="rId14" Type="http://schemas.openxmlformats.org/officeDocument/2006/relationships/hyperlink" Target="https://tnezki.github.io/physics/misc/welcomes/slides/0_1_3_welcome.html" TargetMode="External"/><Relationship Id="rId17" Type="http://schemas.openxmlformats.org/officeDocument/2006/relationships/hyperlink" Target="https://tnezki.github.io/physics/misc/first_4_days/activities/0_1_act1/0_1_act1.html" TargetMode="External"/><Relationship Id="rId2670" Type="http://schemas.openxmlformats.org/officeDocument/2006/relationships/hyperlink" Target="https://tnezki.github.io/physics/investigations/u8_5_investigation/u8_5_investigation.html" TargetMode="External"/><Relationship Id="rId16" Type="http://schemas.openxmlformats.org/officeDocument/2006/relationships/hyperlink" Target="https://tnezki.github.io/physics/misc/first_4_days/investigation/first_4_days_investigation.html" TargetMode="External"/><Relationship Id="rId1340" Type="http://schemas.openxmlformats.org/officeDocument/2006/relationships/hyperlink" Target="https://tnezki.github.io/physics/practice_sets/practice_sets_4_5/practice_set_4_5.html" TargetMode="External"/><Relationship Id="rId2671" Type="http://schemas.openxmlformats.org/officeDocument/2006/relationships/hyperlink" Target="https://tnezki.github.io/physics/activities/u8_5_act1/u8_5_act1.html" TargetMode="External"/><Relationship Id="rId19" Type="http://schemas.openxmlformats.org/officeDocument/2006/relationships/hyperlink" Target="https://tnezki.github.io/physics/misc/first_4_days/practice/first_4_days_extra_practice.html" TargetMode="External"/><Relationship Id="rId752" Type="http://schemas.openxmlformats.org/officeDocument/2006/relationships/hyperlink" Target="https://tnezki.github.io/physics/assessments_zxrtjp/unit3_assessment_plan/unit3_assessment_plan.html" TargetMode="External"/><Relationship Id="rId1341" Type="http://schemas.openxmlformats.org/officeDocument/2006/relationships/hyperlink" Target="https://tnezki.github.io/physics/practice_sets/practice_sets_4_5/extra_practice_4_5.html" TargetMode="External"/><Relationship Id="rId2672" Type="http://schemas.openxmlformats.org/officeDocument/2006/relationships/hyperlink" Target="https://tnezki.github.io/physics/practice_sets/practice_sets_8_5/practice_set_8_5.html" TargetMode="External"/><Relationship Id="rId18" Type="http://schemas.openxmlformats.org/officeDocument/2006/relationships/hyperlink" Target="https://tnezki.github.io/physics/misc/first_4_days/practice/first_4_days_practice.html" TargetMode="External"/><Relationship Id="rId751" Type="http://schemas.openxmlformats.org/officeDocument/2006/relationships/hyperlink" Target="https://tnezki.github.io/physics/performance_task___5134zrt/u3_1_performance_task/u3_1_performance_task_teacher_guide.html" TargetMode="External"/><Relationship Id="rId1342" Type="http://schemas.openxmlformats.org/officeDocument/2006/relationships/hyperlink" Target="https://tnezki.github.io/physics/practice_sets/practice_sets_4_5/cyu_4_5.html" TargetMode="External"/><Relationship Id="rId2673" Type="http://schemas.openxmlformats.org/officeDocument/2006/relationships/hyperlink" Target="https://tnezki.github.io/physics/practice_sets/practice_sets_8_5/extra_practice_8_5.html" TargetMode="External"/><Relationship Id="rId750" Type="http://schemas.openxmlformats.org/officeDocument/2006/relationships/hyperlink" Target="https://tnezki.github.io/physics/investigations/u3_1_investigation/u3_1_investigation_teacher_guide.html" TargetMode="External"/><Relationship Id="rId1343" Type="http://schemas.openxmlformats.org/officeDocument/2006/relationships/hyperlink" Target="https://tnezki.github.io/physics/progress/unit_4_progress/unit_4_progress.html" TargetMode="External"/><Relationship Id="rId2674" Type="http://schemas.openxmlformats.org/officeDocument/2006/relationships/hyperlink" Target="https://tnezki.github.io/physics/practice_sets/practice_sets_8_5/cyu_8_5.html" TargetMode="External"/><Relationship Id="rId1344" Type="http://schemas.openxmlformats.org/officeDocument/2006/relationships/hyperlink" Target="https://tnezki.github.io/physics/reviews/review4/review_4.html" TargetMode="External"/><Relationship Id="rId2675" Type="http://schemas.openxmlformats.org/officeDocument/2006/relationships/hyperlink" Target="https://tnezki.github.io/physics/progress/unit_8_progress/unit_8_progress.html" TargetMode="External"/><Relationship Id="rId84" Type="http://schemas.openxmlformats.org/officeDocument/2006/relationships/hyperlink" Target="https://tnezki.github.io/physics/investigations/u1_1_investigation/u1_1_investigation_teacher_guide.html" TargetMode="External"/><Relationship Id="rId1774" Type="http://schemas.openxmlformats.org/officeDocument/2006/relationships/hyperlink" Target="https://tnezki.github.io/physics/performance_task___5134zrt/u6_2_performance_task/u6_2_performance_task.html" TargetMode="External"/><Relationship Id="rId2621" Type="http://schemas.openxmlformats.org/officeDocument/2006/relationships/hyperlink" Target="https://tnezki.github.io/physics/assessments_zxrtjp/unit8_summative/unit8_summative_assessment.html" TargetMode="External"/><Relationship Id="rId83" Type="http://schemas.openxmlformats.org/officeDocument/2006/relationships/hyperlink" Target="https://tnezki.github.io/physics/demo/u1_1_demo/u1_1_demo_teacher_guide.html" TargetMode="External"/><Relationship Id="rId1775" Type="http://schemas.openxmlformats.org/officeDocument/2006/relationships/hyperlink" Target="https://tnezki.github.io/physics/quick_check____htq5855/u6_2_quick_check/u6_2_quick_check.html" TargetMode="External"/><Relationship Id="rId2622" Type="http://schemas.openxmlformats.org/officeDocument/2006/relationships/hyperlink" Target="https://tnezki.github.io/physics/banks/unit8/unit8.html" TargetMode="External"/><Relationship Id="rId86" Type="http://schemas.openxmlformats.org/officeDocument/2006/relationships/hyperlink" Target="https://tnezki.github.io/physics/assessments_zxrtjp/unit1_assessment_plan/unit1_assessment_plan.html" TargetMode="External"/><Relationship Id="rId1776" Type="http://schemas.openxmlformats.org/officeDocument/2006/relationships/hyperlink" Target="https://tnezki.github.io/physics/exit/exit6/exit_6.html" TargetMode="External"/><Relationship Id="rId2623" Type="http://schemas.openxmlformats.org/officeDocument/2006/relationships/hyperlink" Target="https://tnezki.github.io/physics/warmups/unit_8_warmups/unit_8_warmups.html" TargetMode="External"/><Relationship Id="rId85" Type="http://schemas.openxmlformats.org/officeDocument/2006/relationships/hyperlink" Target="https://tnezki.github.io/physics/performance_task___5134zrt/u1_1_performance_task/u1_1_performance_task_teacher_guide.html" TargetMode="External"/><Relationship Id="rId1777" Type="http://schemas.openxmlformats.org/officeDocument/2006/relationships/hyperlink" Target="https://tnezki.github.io/physics/practice_sets/practice_sets_6_2/practice_set_6_2_2.html" TargetMode="External"/><Relationship Id="rId2624" Type="http://schemas.openxmlformats.org/officeDocument/2006/relationships/hyperlink" Target="https://tnezki.github.io/physics/demo/u8_5_demo/u8_5_demo.html" TargetMode="External"/><Relationship Id="rId88" Type="http://schemas.openxmlformats.org/officeDocument/2006/relationships/hyperlink" Target="https://tnezki.github.io/physics/quick_check____htq5855/u1_1_quick_check/u1_1_quick_check.html" TargetMode="External"/><Relationship Id="rId1778" Type="http://schemas.openxmlformats.org/officeDocument/2006/relationships/hyperlink" Target="https://tnezki.github.io/physics/practice_sets/practice_sets_6_2/practice_set_6_2_3.html" TargetMode="External"/><Relationship Id="rId2625" Type="http://schemas.openxmlformats.org/officeDocument/2006/relationships/hyperlink" Target="https://tnezki.github.io/physics/notes/u8_5_notes/u8_5_notes.html" TargetMode="External"/><Relationship Id="rId87" Type="http://schemas.openxmlformats.org/officeDocument/2006/relationships/hyperlink" Target="https://tnezki.github.io/physics/performance_task___5134zrt/u1_1_performance_task/u1_1_performance_task.html" TargetMode="External"/><Relationship Id="rId1779" Type="http://schemas.openxmlformats.org/officeDocument/2006/relationships/hyperlink" Target="https://tnezki.github.io/physics/assessments_zxrtjp/unit6_summative/unit6_summative_assessment.html" TargetMode="External"/><Relationship Id="rId2626" Type="http://schemas.openxmlformats.org/officeDocument/2006/relationships/hyperlink" Target="https://tnezki.github.io/physics/investigations/u8_5_investigation/u8_5_investigation.html" TargetMode="External"/><Relationship Id="rId2627" Type="http://schemas.openxmlformats.org/officeDocument/2006/relationships/hyperlink" Target="https://tnezki.github.io/physics/activities/u8_5_act1/u8_5_act1.html" TargetMode="External"/><Relationship Id="rId89" Type="http://schemas.openxmlformats.org/officeDocument/2006/relationships/hyperlink" Target="https://tnezki.github.io/physics/exit/exit1/exit_1.html" TargetMode="External"/><Relationship Id="rId2628" Type="http://schemas.openxmlformats.org/officeDocument/2006/relationships/hyperlink" Target="https://tnezki.github.io/physics/practice_sets/practice_sets_8_5/practice_set_8_5.html" TargetMode="External"/><Relationship Id="rId709" Type="http://schemas.openxmlformats.org/officeDocument/2006/relationships/hyperlink" Target="https://tnezki.github.io/physics/performance_task___5134zrt/u3_1_performance_task/u3_1_performance_task.html" TargetMode="External"/><Relationship Id="rId2629" Type="http://schemas.openxmlformats.org/officeDocument/2006/relationships/hyperlink" Target="https://tnezki.github.io/physics/practice_sets/practice_sets_8_5/extra_practice_8_5.html" TargetMode="External"/><Relationship Id="rId708" Type="http://schemas.openxmlformats.org/officeDocument/2006/relationships/hyperlink" Target="https://tnezki.github.io/physics/assessments_zxrtjp/unit3_assessment_plan/unit3_assessment_plan.html" TargetMode="External"/><Relationship Id="rId707" Type="http://schemas.openxmlformats.org/officeDocument/2006/relationships/hyperlink" Target="https://tnezki.github.io/physics/performance_task___5134zrt/u3_1_performance_task/u3_1_performance_task_teacher_guide.html" TargetMode="External"/><Relationship Id="rId706" Type="http://schemas.openxmlformats.org/officeDocument/2006/relationships/hyperlink" Target="https://tnezki.github.io/physics/investigations/u3_1_investigation/u3_1_investigation_teacher_guide.html" TargetMode="External"/><Relationship Id="rId80" Type="http://schemas.openxmlformats.org/officeDocument/2006/relationships/hyperlink" Target="https://tnezki.github.io/physics/progress/unit_1_progress/unit_1_progress.html" TargetMode="External"/><Relationship Id="rId82" Type="http://schemas.openxmlformats.org/officeDocument/2006/relationships/hyperlink" Target="https://tnezki.github.io/physics/notes/u1_1_notes/u1_1_notes_teacher.html" TargetMode="External"/><Relationship Id="rId81" Type="http://schemas.openxmlformats.org/officeDocument/2006/relationships/hyperlink" Target="https://tnezki.github.io/physics/reviews/review1/review_1.html" TargetMode="External"/><Relationship Id="rId701" Type="http://schemas.openxmlformats.org/officeDocument/2006/relationships/hyperlink" Target="https://tnezki.github.io/physics/practice_sets/practice_sets_3_1/cyu_3_1.html" TargetMode="External"/><Relationship Id="rId700" Type="http://schemas.openxmlformats.org/officeDocument/2006/relationships/hyperlink" Target="https://tnezki.github.io/physics/practice_sets/practice_sets_3_1/extra_practice_3_1.html" TargetMode="External"/><Relationship Id="rId705" Type="http://schemas.openxmlformats.org/officeDocument/2006/relationships/hyperlink" Target="https://tnezki.github.io/physics/demo/u3_1_demo/u3_1_demo_teacher_guide.html" TargetMode="External"/><Relationship Id="rId704" Type="http://schemas.openxmlformats.org/officeDocument/2006/relationships/hyperlink" Target="https://tnezki.github.io/physics/notes/u3_1_notes/u3_1_notes_teacher.html" TargetMode="External"/><Relationship Id="rId703" Type="http://schemas.openxmlformats.org/officeDocument/2006/relationships/hyperlink" Target="https://tnezki.github.io/physics/reviews/review3/review_3.html" TargetMode="External"/><Relationship Id="rId702" Type="http://schemas.openxmlformats.org/officeDocument/2006/relationships/hyperlink" Target="https://tnezki.github.io/physics/progress/unit_3_progress/unit_3_progress.html" TargetMode="External"/><Relationship Id="rId1770" Type="http://schemas.openxmlformats.org/officeDocument/2006/relationships/hyperlink" Target="https://tnezki.github.io/physics/demo/u6_2_demo/u6_2_demo_teacher_guide.html" TargetMode="External"/><Relationship Id="rId1771" Type="http://schemas.openxmlformats.org/officeDocument/2006/relationships/hyperlink" Target="https://tnezki.github.io/physics/investigations/u6_2_investigation/u6_2_investigation_teacher_guide.html" TargetMode="External"/><Relationship Id="rId1772" Type="http://schemas.openxmlformats.org/officeDocument/2006/relationships/hyperlink" Target="https://tnezki.github.io/physics/performance_task___5134zrt/u6_2_performance_task/u6_2_performance_task_teacher_guide.html" TargetMode="External"/><Relationship Id="rId1773" Type="http://schemas.openxmlformats.org/officeDocument/2006/relationships/hyperlink" Target="https://tnezki.github.io/physics/assessments_zxrtjp/unit6_assessment_plan/unit6_assessment_plan.html" TargetMode="External"/><Relationship Id="rId2620" Type="http://schemas.openxmlformats.org/officeDocument/2006/relationships/hyperlink" Target="https://tnezki.github.io/physics/practice_sets/practice_sets_8_4/practice_set_8_4_3.html" TargetMode="External"/><Relationship Id="rId73" Type="http://schemas.openxmlformats.org/officeDocument/2006/relationships/hyperlink" Target="https://tnezki.github.io/physics/demo/u1_1_demo/u1_1_demo.html" TargetMode="External"/><Relationship Id="rId1763" Type="http://schemas.openxmlformats.org/officeDocument/2006/relationships/hyperlink" Target="https://tnezki.github.io/physics/activities/u6_2_act1/u6_2_act1.html" TargetMode="External"/><Relationship Id="rId2610" Type="http://schemas.openxmlformats.org/officeDocument/2006/relationships/hyperlink" Target="https://tnezki.github.io/physics/reviews/review8/review_8.html" TargetMode="External"/><Relationship Id="rId72" Type="http://schemas.openxmlformats.org/officeDocument/2006/relationships/hyperlink" Target="https://tnezki.github.io/physics/warmups/unit_1_warmups/unit_1_warmups.html" TargetMode="External"/><Relationship Id="rId1764" Type="http://schemas.openxmlformats.org/officeDocument/2006/relationships/hyperlink" Target="https://tnezki.github.io/physics/practice_sets/practice_sets_6_2/practice_set_6_2.html" TargetMode="External"/><Relationship Id="rId2611" Type="http://schemas.openxmlformats.org/officeDocument/2006/relationships/hyperlink" Target="https://tnezki.github.io/physics/notes/u8_4_notes/u8_4_notes_teacher.html" TargetMode="External"/><Relationship Id="rId75" Type="http://schemas.openxmlformats.org/officeDocument/2006/relationships/hyperlink" Target="https://tnezki.github.io/physics/investigations/u1_1_investigation/u1_1_investigation.html" TargetMode="External"/><Relationship Id="rId1765" Type="http://schemas.openxmlformats.org/officeDocument/2006/relationships/hyperlink" Target="https://tnezki.github.io/physics/practice_sets/practice_sets_6_2/extra_practice_6_2.html" TargetMode="External"/><Relationship Id="rId2612" Type="http://schemas.openxmlformats.org/officeDocument/2006/relationships/hyperlink" Target="https://tnezki.github.io/physics/demo/u8_4_demo/u8_4_demo_teacher_guide.html" TargetMode="External"/><Relationship Id="rId74" Type="http://schemas.openxmlformats.org/officeDocument/2006/relationships/hyperlink" Target="https://tnezki.github.io/physics/notes/u1_1_notes/u1_1_notes.html" TargetMode="External"/><Relationship Id="rId1766" Type="http://schemas.openxmlformats.org/officeDocument/2006/relationships/hyperlink" Target="https://tnezki.github.io/physics/practice_sets/practice_sets_6_2/cyu_6_2.html" TargetMode="External"/><Relationship Id="rId2613" Type="http://schemas.openxmlformats.org/officeDocument/2006/relationships/hyperlink" Target="https://tnezki.github.io/physics/investigations/u8_4_investigation/u8_4_investigation_teacher_guide.html" TargetMode="External"/><Relationship Id="rId77" Type="http://schemas.openxmlformats.org/officeDocument/2006/relationships/hyperlink" Target="https://tnezki.github.io/physics/practice_sets/practice_sets_1_1/practice_set_1_1.html" TargetMode="External"/><Relationship Id="rId1767" Type="http://schemas.openxmlformats.org/officeDocument/2006/relationships/hyperlink" Target="https://tnezki.github.io/physics/progress/unit_6_progress/unit_6_progress.html" TargetMode="External"/><Relationship Id="rId2614" Type="http://schemas.openxmlformats.org/officeDocument/2006/relationships/hyperlink" Target="https://tnezki.github.io/physics/performance_task___5134zrt/u8_4_performance_task/u8_4_performance_task_teacher_guide.html" TargetMode="External"/><Relationship Id="rId76" Type="http://schemas.openxmlformats.org/officeDocument/2006/relationships/hyperlink" Target="https://tnezki.github.io/physics/activities/u1_1_act1/u1_1_act1.html" TargetMode="External"/><Relationship Id="rId1768" Type="http://schemas.openxmlformats.org/officeDocument/2006/relationships/hyperlink" Target="https://tnezki.github.io/physics/reviews/review6/review_6.html" TargetMode="External"/><Relationship Id="rId2615" Type="http://schemas.openxmlformats.org/officeDocument/2006/relationships/hyperlink" Target="https://tnezki.github.io/physics/assessments_zxrtjp/unit8_assessment_plan/unit8_assessment_plan.html" TargetMode="External"/><Relationship Id="rId79" Type="http://schemas.openxmlformats.org/officeDocument/2006/relationships/hyperlink" Target="https://tnezki.github.io/physics/practice_sets/practice_sets_1_1/cyu_1_1.html" TargetMode="External"/><Relationship Id="rId1769" Type="http://schemas.openxmlformats.org/officeDocument/2006/relationships/hyperlink" Target="https://tnezki.github.io/physics/notes/u6_2_notes/u6_2_notes_teacher.html" TargetMode="External"/><Relationship Id="rId2616" Type="http://schemas.openxmlformats.org/officeDocument/2006/relationships/hyperlink" Target="https://tnezki.github.io/physics/performance_task___5134zrt/u8_4_performance_task/u8_4_performance_task.html" TargetMode="External"/><Relationship Id="rId78" Type="http://schemas.openxmlformats.org/officeDocument/2006/relationships/hyperlink" Target="https://tnezki.github.io/physics/practice_sets/practice_sets_1_1/extra_practice_1_1.html" TargetMode="External"/><Relationship Id="rId2617" Type="http://schemas.openxmlformats.org/officeDocument/2006/relationships/hyperlink" Target="https://tnezki.github.io/physics/quick_check____htq5855/u8_4_quick_check/u8_4_quick_check.html" TargetMode="External"/><Relationship Id="rId2618" Type="http://schemas.openxmlformats.org/officeDocument/2006/relationships/hyperlink" Target="https://tnezki.github.io/physics/exit/exit8/exit_8.html" TargetMode="External"/><Relationship Id="rId2619" Type="http://schemas.openxmlformats.org/officeDocument/2006/relationships/hyperlink" Target="https://tnezki.github.io/physics/practice_sets/practice_sets_8_4/practice_set_8_4_2.html" TargetMode="External"/><Relationship Id="rId71" Type="http://schemas.openxmlformats.org/officeDocument/2006/relationships/hyperlink" Target="https://tnezki.github.io/physics/banks/unit1/unit1.html" TargetMode="External"/><Relationship Id="rId70" Type="http://schemas.openxmlformats.org/officeDocument/2006/relationships/hyperlink" Target="https://tnezki.github.io/physics/assessments_zxrtjp/unit1_summative/unit1_summative_assessment.html" TargetMode="External"/><Relationship Id="rId1760" Type="http://schemas.openxmlformats.org/officeDocument/2006/relationships/hyperlink" Target="https://tnezki.github.io/physics/demo/u6_2_demo/u6_2_demo.html" TargetMode="External"/><Relationship Id="rId1761" Type="http://schemas.openxmlformats.org/officeDocument/2006/relationships/hyperlink" Target="https://tnezki.github.io/physics/notes/u6_2_notes/u6_2_notes.html" TargetMode="External"/><Relationship Id="rId1762" Type="http://schemas.openxmlformats.org/officeDocument/2006/relationships/hyperlink" Target="https://tnezki.github.io/physics/investigations/u6_2_investigation/u6_2_investigation.html" TargetMode="External"/><Relationship Id="rId62" Type="http://schemas.openxmlformats.org/officeDocument/2006/relationships/hyperlink" Target="https://tnezki.github.io/physics/investigations/u1_1_investigation/u1_1_investigation_teacher_guide.html" TargetMode="External"/><Relationship Id="rId1312" Type="http://schemas.openxmlformats.org/officeDocument/2006/relationships/hyperlink" Target="https://tnezki.github.io/physics/banks/unit4/unit4.html" TargetMode="External"/><Relationship Id="rId1796" Type="http://schemas.openxmlformats.org/officeDocument/2006/relationships/hyperlink" Target="https://tnezki.github.io/physics/performance_task___5134zrt/u6_2_performance_task/u6_2_performance_task.html" TargetMode="External"/><Relationship Id="rId2643" Type="http://schemas.openxmlformats.org/officeDocument/2006/relationships/hyperlink" Target="https://tnezki.github.io/physics/assessments_zxrtjp/unit8_summative/unit8_summative_assessment.html" TargetMode="External"/><Relationship Id="rId61" Type="http://schemas.openxmlformats.org/officeDocument/2006/relationships/hyperlink" Target="https://tnezki.github.io/physics/demo/u1_1_demo/u1_1_demo_teacher_guide.html" TargetMode="External"/><Relationship Id="rId1313" Type="http://schemas.openxmlformats.org/officeDocument/2006/relationships/hyperlink" Target="https://tnezki.github.io/physics/warmups/unit_4_warmups/unit_4_warmups.html" TargetMode="External"/><Relationship Id="rId1797" Type="http://schemas.openxmlformats.org/officeDocument/2006/relationships/hyperlink" Target="https://tnezki.github.io/physics/quick_check____htq5855/u6_2_quick_check/u6_2_quick_check.html" TargetMode="External"/><Relationship Id="rId2644" Type="http://schemas.openxmlformats.org/officeDocument/2006/relationships/hyperlink" Target="https://tnezki.github.io/physics/banks/unit8/unit8.html" TargetMode="External"/><Relationship Id="rId64" Type="http://schemas.openxmlformats.org/officeDocument/2006/relationships/hyperlink" Target="https://tnezki.github.io/physics/assessments_zxrtjp/unit1_assessment_plan/unit1_assessment_plan.html" TargetMode="External"/><Relationship Id="rId1314" Type="http://schemas.openxmlformats.org/officeDocument/2006/relationships/hyperlink" Target="https://tnezki.github.io/physics/demo/u4_5_demo/u4_5_demo.html" TargetMode="External"/><Relationship Id="rId1798" Type="http://schemas.openxmlformats.org/officeDocument/2006/relationships/hyperlink" Target="https://tnezki.github.io/physics/exit/exit6/exit_6.html" TargetMode="External"/><Relationship Id="rId2645" Type="http://schemas.openxmlformats.org/officeDocument/2006/relationships/hyperlink" Target="https://tnezki.github.io/physics/warmups/unit_8_warmups/unit_8_warmups.html" TargetMode="External"/><Relationship Id="rId63" Type="http://schemas.openxmlformats.org/officeDocument/2006/relationships/hyperlink" Target="https://tnezki.github.io/physics/performance_task___5134zrt/u1_1_performance_task/u1_1_performance_task_teacher_guide.html" TargetMode="External"/><Relationship Id="rId1315" Type="http://schemas.openxmlformats.org/officeDocument/2006/relationships/hyperlink" Target="https://tnezki.github.io/physics/notes/u4_5_notes/u4_5_notes.html" TargetMode="External"/><Relationship Id="rId1799" Type="http://schemas.openxmlformats.org/officeDocument/2006/relationships/hyperlink" Target="https://tnezki.github.io/physics/practice_sets/practice_sets_6_2/practice_set_6_2_2.html" TargetMode="External"/><Relationship Id="rId2646" Type="http://schemas.openxmlformats.org/officeDocument/2006/relationships/hyperlink" Target="https://tnezki.github.io/physics/demo/u8_5_demo/u8_5_demo.html" TargetMode="External"/><Relationship Id="rId66" Type="http://schemas.openxmlformats.org/officeDocument/2006/relationships/hyperlink" Target="https://tnezki.github.io/physics/quick_check____htq5855/u1_1_quick_check/u1_1_quick_check.html" TargetMode="External"/><Relationship Id="rId1316" Type="http://schemas.openxmlformats.org/officeDocument/2006/relationships/hyperlink" Target="https://tnezki.github.io/physics/investigations/u4_5_investigation/u4_5_investigation.html" TargetMode="External"/><Relationship Id="rId2647" Type="http://schemas.openxmlformats.org/officeDocument/2006/relationships/hyperlink" Target="https://tnezki.github.io/physics/notes/u8_5_notes/u8_5_notes.html" TargetMode="External"/><Relationship Id="rId65" Type="http://schemas.openxmlformats.org/officeDocument/2006/relationships/hyperlink" Target="https://tnezki.github.io/physics/performance_task___5134zrt/u1_1_performance_task/u1_1_performance_task.html" TargetMode="External"/><Relationship Id="rId1317" Type="http://schemas.openxmlformats.org/officeDocument/2006/relationships/hyperlink" Target="https://tnezki.github.io/physics/activities/u4_5_act1/u4_5_act1.html" TargetMode="External"/><Relationship Id="rId2648" Type="http://schemas.openxmlformats.org/officeDocument/2006/relationships/hyperlink" Target="https://tnezki.github.io/physics/investigations/u8_5_investigation/u8_5_investigation.html" TargetMode="External"/><Relationship Id="rId68" Type="http://schemas.openxmlformats.org/officeDocument/2006/relationships/hyperlink" Target="https://tnezki.github.io/physics/practice_sets/practice_sets_1_1/practice_set_1_1_2.html" TargetMode="External"/><Relationship Id="rId1318" Type="http://schemas.openxmlformats.org/officeDocument/2006/relationships/hyperlink" Target="https://tnezki.github.io/physics/practice_sets/practice_sets_4_5/practice_set_4_5.html" TargetMode="External"/><Relationship Id="rId2649" Type="http://schemas.openxmlformats.org/officeDocument/2006/relationships/hyperlink" Target="https://tnezki.github.io/physics/activities/u8_5_act1/u8_5_act1.html" TargetMode="External"/><Relationship Id="rId67" Type="http://schemas.openxmlformats.org/officeDocument/2006/relationships/hyperlink" Target="https://tnezki.github.io/physics/exit/exit1/exit_1.html" TargetMode="External"/><Relationship Id="rId1319" Type="http://schemas.openxmlformats.org/officeDocument/2006/relationships/hyperlink" Target="https://tnezki.github.io/physics/practice_sets/practice_sets_4_5/extra_practice_4_5.html" TargetMode="External"/><Relationship Id="rId729" Type="http://schemas.openxmlformats.org/officeDocument/2006/relationships/hyperlink" Target="https://tnezki.github.io/physics/performance_task___5134zrt/u3_1_performance_task/u3_1_performance_task_teacher_guide.html" TargetMode="External"/><Relationship Id="rId728" Type="http://schemas.openxmlformats.org/officeDocument/2006/relationships/hyperlink" Target="https://tnezki.github.io/physics/investigations/u3_1_investigation/u3_1_investigation_teacher_guide.html" TargetMode="External"/><Relationship Id="rId60" Type="http://schemas.openxmlformats.org/officeDocument/2006/relationships/hyperlink" Target="https://tnezki.github.io/physics/notes/u1_1_notes/u1_1_notes_teacher.html" TargetMode="External"/><Relationship Id="rId723" Type="http://schemas.openxmlformats.org/officeDocument/2006/relationships/hyperlink" Target="https://tnezki.github.io/physics/practice_sets/practice_sets_3_1/cyu_3_1.html" TargetMode="External"/><Relationship Id="rId722" Type="http://schemas.openxmlformats.org/officeDocument/2006/relationships/hyperlink" Target="https://tnezki.github.io/physics/practice_sets/practice_sets_3_1/extra_practice_3_1.html" TargetMode="External"/><Relationship Id="rId721" Type="http://schemas.openxmlformats.org/officeDocument/2006/relationships/hyperlink" Target="https://tnezki.github.io/physics/practice_sets/practice_sets_3_1/practice_set_3_1.html" TargetMode="External"/><Relationship Id="rId720" Type="http://schemas.openxmlformats.org/officeDocument/2006/relationships/hyperlink" Target="https://tnezki.github.io/physics/activities/u3_1_act1/u3_1_act1.html" TargetMode="External"/><Relationship Id="rId727" Type="http://schemas.openxmlformats.org/officeDocument/2006/relationships/hyperlink" Target="https://tnezki.github.io/physics/demo/u3_1_demo/u3_1_demo_teacher_guide.html" TargetMode="External"/><Relationship Id="rId726" Type="http://schemas.openxmlformats.org/officeDocument/2006/relationships/hyperlink" Target="https://tnezki.github.io/physics/notes/u3_1_notes/u3_1_notes_teacher.html" TargetMode="External"/><Relationship Id="rId725" Type="http://schemas.openxmlformats.org/officeDocument/2006/relationships/hyperlink" Target="https://tnezki.github.io/physics/reviews/review3/review_3.html" TargetMode="External"/><Relationship Id="rId724" Type="http://schemas.openxmlformats.org/officeDocument/2006/relationships/hyperlink" Target="https://tnezki.github.io/physics/progress/unit_3_progress/unit_3_progress.html" TargetMode="External"/><Relationship Id="rId69" Type="http://schemas.openxmlformats.org/officeDocument/2006/relationships/hyperlink" Target="https://tnezki.github.io/physics/practice_sets/practice_sets_1_1/practice_set_1_1_3.html" TargetMode="External"/><Relationship Id="rId1790" Type="http://schemas.openxmlformats.org/officeDocument/2006/relationships/hyperlink" Target="https://tnezki.github.io/physics/reviews/review6/review_6.html" TargetMode="External"/><Relationship Id="rId1791" Type="http://schemas.openxmlformats.org/officeDocument/2006/relationships/hyperlink" Target="https://tnezki.github.io/physics/notes/u6_2_notes/u6_2_notes_teacher.html" TargetMode="External"/><Relationship Id="rId1792" Type="http://schemas.openxmlformats.org/officeDocument/2006/relationships/hyperlink" Target="https://tnezki.github.io/physics/demo/u6_2_demo/u6_2_demo_teacher_guide.html" TargetMode="External"/><Relationship Id="rId1793" Type="http://schemas.openxmlformats.org/officeDocument/2006/relationships/hyperlink" Target="https://tnezki.github.io/physics/investigations/u6_2_investigation/u6_2_investigation_teacher_guide.html" TargetMode="External"/><Relationship Id="rId2640" Type="http://schemas.openxmlformats.org/officeDocument/2006/relationships/hyperlink" Target="https://tnezki.github.io/physics/exit/exit8/exit_8.html" TargetMode="External"/><Relationship Id="rId1310" Type="http://schemas.openxmlformats.org/officeDocument/2006/relationships/hyperlink" Target="https://tnezki.github.io/physics/practice_sets/practice_sets_4_5/practice_set_4_5_3.html" TargetMode="External"/><Relationship Id="rId1794" Type="http://schemas.openxmlformats.org/officeDocument/2006/relationships/hyperlink" Target="https://tnezki.github.io/physics/performance_task___5134zrt/u6_2_performance_task/u6_2_performance_task_teacher_guide.html" TargetMode="External"/><Relationship Id="rId2641" Type="http://schemas.openxmlformats.org/officeDocument/2006/relationships/hyperlink" Target="https://tnezki.github.io/physics/practice_sets/practice_sets_8_5/practice_set_8_5_2.html" TargetMode="External"/><Relationship Id="rId1311" Type="http://schemas.openxmlformats.org/officeDocument/2006/relationships/hyperlink" Target="https://tnezki.github.io/physics/assessments_zxrtjp/unit4_summative/unit4_summative_assessment.html" TargetMode="External"/><Relationship Id="rId1795" Type="http://schemas.openxmlformats.org/officeDocument/2006/relationships/hyperlink" Target="https://tnezki.github.io/physics/assessments_zxrtjp/unit6_assessment_plan/unit6_assessment_plan.html" TargetMode="External"/><Relationship Id="rId2642" Type="http://schemas.openxmlformats.org/officeDocument/2006/relationships/hyperlink" Target="https://tnezki.github.io/physics/practice_sets/practice_sets_8_5/practice_set_8_5_3.html" TargetMode="External"/><Relationship Id="rId51" Type="http://schemas.openxmlformats.org/officeDocument/2006/relationships/hyperlink" Target="https://tnezki.github.io/physics/demo/u1_1_demo/u1_1_demo.html" TargetMode="External"/><Relationship Id="rId1301" Type="http://schemas.openxmlformats.org/officeDocument/2006/relationships/hyperlink" Target="https://tnezki.github.io/physics/notes/u4_5_notes/u4_5_notes_teacher.html" TargetMode="External"/><Relationship Id="rId1785" Type="http://schemas.openxmlformats.org/officeDocument/2006/relationships/hyperlink" Target="https://tnezki.github.io/physics/activities/u6_2_act1/u6_2_act1.html" TargetMode="External"/><Relationship Id="rId2632" Type="http://schemas.openxmlformats.org/officeDocument/2006/relationships/hyperlink" Target="https://tnezki.github.io/physics/reviews/review8/review_8.html" TargetMode="External"/><Relationship Id="rId50" Type="http://schemas.openxmlformats.org/officeDocument/2006/relationships/hyperlink" Target="https://tnezki.github.io/physics/warmups/unit_1_warmups/unit_1_warmups.html" TargetMode="External"/><Relationship Id="rId1302" Type="http://schemas.openxmlformats.org/officeDocument/2006/relationships/hyperlink" Target="https://tnezki.github.io/physics/demo/u4_5_demo/u4_5_demo_teacher_guide.html" TargetMode="External"/><Relationship Id="rId1786" Type="http://schemas.openxmlformats.org/officeDocument/2006/relationships/hyperlink" Target="https://tnezki.github.io/physics/practice_sets/practice_sets_6_2/practice_set_6_2.html" TargetMode="External"/><Relationship Id="rId2633" Type="http://schemas.openxmlformats.org/officeDocument/2006/relationships/hyperlink" Target="https://tnezki.github.io/physics/notes/u8_5_notes/u8_5_notes_teacher.html" TargetMode="External"/><Relationship Id="rId53" Type="http://schemas.openxmlformats.org/officeDocument/2006/relationships/hyperlink" Target="https://tnezki.github.io/physics/investigations/u1_1_investigation/u1_1_investigation.html" TargetMode="External"/><Relationship Id="rId1303" Type="http://schemas.openxmlformats.org/officeDocument/2006/relationships/hyperlink" Target="https://tnezki.github.io/physics/investigations/u4_5_investigation/u4_5_investigation_teacher_guide.html" TargetMode="External"/><Relationship Id="rId1787" Type="http://schemas.openxmlformats.org/officeDocument/2006/relationships/hyperlink" Target="https://tnezki.github.io/physics/practice_sets/practice_sets_6_2/extra_practice_6_2.html" TargetMode="External"/><Relationship Id="rId2634" Type="http://schemas.openxmlformats.org/officeDocument/2006/relationships/hyperlink" Target="https://tnezki.github.io/physics/demo/u8_5_demo/u8_5_demo_teacher_guide.html" TargetMode="External"/><Relationship Id="rId52" Type="http://schemas.openxmlformats.org/officeDocument/2006/relationships/hyperlink" Target="https://tnezki.github.io/physics/notes/u1_1_notes/u1_1_notes.html" TargetMode="External"/><Relationship Id="rId1304" Type="http://schemas.openxmlformats.org/officeDocument/2006/relationships/hyperlink" Target="https://tnezki.github.io/physics/performance_task___5134zrt/u4_5_performance_task/u4_5_performance_task_teacher_guide.html" TargetMode="External"/><Relationship Id="rId1788" Type="http://schemas.openxmlformats.org/officeDocument/2006/relationships/hyperlink" Target="https://tnezki.github.io/physics/practice_sets/practice_sets_6_2/cyu_6_2.html" TargetMode="External"/><Relationship Id="rId2635" Type="http://schemas.openxmlformats.org/officeDocument/2006/relationships/hyperlink" Target="https://tnezki.github.io/physics/investigations/u8_5_investigation/u8_5_investigation_teacher_guide.html" TargetMode="External"/><Relationship Id="rId55" Type="http://schemas.openxmlformats.org/officeDocument/2006/relationships/hyperlink" Target="https://tnezki.github.io/physics/practice_sets/practice_sets_1_1/practice_set_1_1.html" TargetMode="External"/><Relationship Id="rId1305" Type="http://schemas.openxmlformats.org/officeDocument/2006/relationships/hyperlink" Target="https://tnezki.github.io/physics/assessments_zxrtjp/unit4_assessment_plan/unit4_assessment_plan.html" TargetMode="External"/><Relationship Id="rId1789" Type="http://schemas.openxmlformats.org/officeDocument/2006/relationships/hyperlink" Target="https://tnezki.github.io/physics/progress/unit_6_progress/unit_6_progress.html" TargetMode="External"/><Relationship Id="rId2636" Type="http://schemas.openxmlformats.org/officeDocument/2006/relationships/hyperlink" Target="https://tnezki.github.io/physics/performance_task___5134zrt/u8_5_performance_task/u8_5_performance_task_teacher_guide.html" TargetMode="External"/><Relationship Id="rId54" Type="http://schemas.openxmlformats.org/officeDocument/2006/relationships/hyperlink" Target="https://tnezki.github.io/physics/activities/u1_1_act1/u1_1_act1.html" TargetMode="External"/><Relationship Id="rId1306" Type="http://schemas.openxmlformats.org/officeDocument/2006/relationships/hyperlink" Target="https://tnezki.github.io/physics/performance_task___5134zrt/u4_5_performance_task/u4_5_performance_task.html" TargetMode="External"/><Relationship Id="rId2637" Type="http://schemas.openxmlformats.org/officeDocument/2006/relationships/hyperlink" Target="https://tnezki.github.io/physics/assessments_zxrtjp/unit8_assessment_plan/unit8_assessment_plan.html" TargetMode="External"/><Relationship Id="rId57" Type="http://schemas.openxmlformats.org/officeDocument/2006/relationships/hyperlink" Target="https://tnezki.github.io/physics/practice_sets/practice_sets_1_1/cyu_1_1.html" TargetMode="External"/><Relationship Id="rId1307" Type="http://schemas.openxmlformats.org/officeDocument/2006/relationships/hyperlink" Target="https://tnezki.github.io/physics/quick_check____htq5855/u4_5_quick_check/u4_5_quick_check.html" TargetMode="External"/><Relationship Id="rId2638" Type="http://schemas.openxmlformats.org/officeDocument/2006/relationships/hyperlink" Target="https://tnezki.github.io/physics/performance_task___5134zrt/u8_5_performance_task/u8_5_performance_task.html" TargetMode="External"/><Relationship Id="rId56" Type="http://schemas.openxmlformats.org/officeDocument/2006/relationships/hyperlink" Target="https://tnezki.github.io/physics/practice_sets/practice_sets_1_1/extra_practice_1_1.html" TargetMode="External"/><Relationship Id="rId1308" Type="http://schemas.openxmlformats.org/officeDocument/2006/relationships/hyperlink" Target="https://tnezki.github.io/physics/exit/exit4/exit_4.html" TargetMode="External"/><Relationship Id="rId2639" Type="http://schemas.openxmlformats.org/officeDocument/2006/relationships/hyperlink" Target="https://tnezki.github.io/physics/quick_check____htq5855/u8_5_quick_check/u8_5_quick_check.html" TargetMode="External"/><Relationship Id="rId1309" Type="http://schemas.openxmlformats.org/officeDocument/2006/relationships/hyperlink" Target="https://tnezki.github.io/physics/practice_sets/practice_sets_4_5/practice_set_4_5_2.html" TargetMode="External"/><Relationship Id="rId719" Type="http://schemas.openxmlformats.org/officeDocument/2006/relationships/hyperlink" Target="https://tnezki.github.io/physics/investigations/u3_1_investigation/u3_1_investigation.html" TargetMode="External"/><Relationship Id="rId718" Type="http://schemas.openxmlformats.org/officeDocument/2006/relationships/hyperlink" Target="https://tnezki.github.io/physics/notes/u3_1_notes/u3_1_notes.html" TargetMode="External"/><Relationship Id="rId717" Type="http://schemas.openxmlformats.org/officeDocument/2006/relationships/hyperlink" Target="https://tnezki.github.io/physics/demo/u3_1_demo/u3_1_demo.html" TargetMode="External"/><Relationship Id="rId712" Type="http://schemas.openxmlformats.org/officeDocument/2006/relationships/hyperlink" Target="https://tnezki.github.io/physics/practice_sets/practice_sets_3_1/practice_set_3_1_2.html" TargetMode="External"/><Relationship Id="rId711" Type="http://schemas.openxmlformats.org/officeDocument/2006/relationships/hyperlink" Target="https://tnezki.github.io/physics/exit/exit3/exit_3.html" TargetMode="External"/><Relationship Id="rId710" Type="http://schemas.openxmlformats.org/officeDocument/2006/relationships/hyperlink" Target="https://tnezki.github.io/physics/quick_check____htq5855/u3_1_quick_check/u3_1_quick_check.html" TargetMode="External"/><Relationship Id="rId716" Type="http://schemas.openxmlformats.org/officeDocument/2006/relationships/hyperlink" Target="https://tnezki.github.io/physics/warmups/unit_3_warmups/unit_3_warmups.html" TargetMode="External"/><Relationship Id="rId715" Type="http://schemas.openxmlformats.org/officeDocument/2006/relationships/hyperlink" Target="https://tnezki.github.io/physics/banks/unit3/unit3.html" TargetMode="External"/><Relationship Id="rId714" Type="http://schemas.openxmlformats.org/officeDocument/2006/relationships/hyperlink" Target="https://tnezki.github.io/physics/assessments_zxrtjp/unit3_summative/unit3_summative_assessment.html" TargetMode="External"/><Relationship Id="rId713" Type="http://schemas.openxmlformats.org/officeDocument/2006/relationships/hyperlink" Target="https://tnezki.github.io/physics/practice_sets/practice_sets_3_1/practice_set_3_1_3.html" TargetMode="External"/><Relationship Id="rId59" Type="http://schemas.openxmlformats.org/officeDocument/2006/relationships/hyperlink" Target="https://tnezki.github.io/physics/reviews/review1/review_1.html" TargetMode="External"/><Relationship Id="rId58" Type="http://schemas.openxmlformats.org/officeDocument/2006/relationships/hyperlink" Target="https://tnezki.github.io/physics/progress/unit_1_progress/unit_1_progress.html" TargetMode="External"/><Relationship Id="rId1780" Type="http://schemas.openxmlformats.org/officeDocument/2006/relationships/hyperlink" Target="https://tnezki.github.io/physics/banks/unit6/unit6.html" TargetMode="External"/><Relationship Id="rId1781" Type="http://schemas.openxmlformats.org/officeDocument/2006/relationships/hyperlink" Target="https://tnezki.github.io/physics/warmups/unit_6_warmups/unit_6_warmups.html" TargetMode="External"/><Relationship Id="rId1782" Type="http://schemas.openxmlformats.org/officeDocument/2006/relationships/hyperlink" Target="https://tnezki.github.io/physics/demo/u6_2_demo/u6_2_demo.html" TargetMode="External"/><Relationship Id="rId1783" Type="http://schemas.openxmlformats.org/officeDocument/2006/relationships/hyperlink" Target="https://tnezki.github.io/physics/notes/u6_2_notes/u6_2_notes.html" TargetMode="External"/><Relationship Id="rId2630" Type="http://schemas.openxmlformats.org/officeDocument/2006/relationships/hyperlink" Target="https://tnezki.github.io/physics/practice_sets/practice_sets_8_5/cyu_8_5.html" TargetMode="External"/><Relationship Id="rId1300" Type="http://schemas.openxmlformats.org/officeDocument/2006/relationships/hyperlink" Target="https://tnezki.github.io/physics/reviews/review4/review_4.html" TargetMode="External"/><Relationship Id="rId1784" Type="http://schemas.openxmlformats.org/officeDocument/2006/relationships/hyperlink" Target="https://tnezki.github.io/physics/investigations/u6_2_investigation/u6_2_investigation.html" TargetMode="External"/><Relationship Id="rId2631" Type="http://schemas.openxmlformats.org/officeDocument/2006/relationships/hyperlink" Target="https://tnezki.github.io/physics/progress/unit_8_progress/unit_8_progress.html" TargetMode="External"/><Relationship Id="rId2269" Type="http://schemas.openxmlformats.org/officeDocument/2006/relationships/hyperlink" Target="https://tnezki.github.io/physics/demo/u7_4_demo/u7_4_demo.html" TargetMode="External"/><Relationship Id="rId349" Type="http://schemas.openxmlformats.org/officeDocument/2006/relationships/hyperlink" Target="https://tnezki.github.io/physics/performance_task___5134zrt/u1_5_performance_task/u1_5_performance_task_teacher_guide.html" TargetMode="External"/><Relationship Id="rId348" Type="http://schemas.openxmlformats.org/officeDocument/2006/relationships/hyperlink" Target="https://tnezki.github.io/physics/investigations/u1_5_investigation/u1_5_investigation_teacher_guide.html" TargetMode="External"/><Relationship Id="rId347" Type="http://schemas.openxmlformats.org/officeDocument/2006/relationships/hyperlink" Target="https://tnezki.github.io/physics/demo/u1_5_demo/u1_5_demo_teacher_guide.html" TargetMode="External"/><Relationship Id="rId346" Type="http://schemas.openxmlformats.org/officeDocument/2006/relationships/hyperlink" Target="https://tnezki.github.io/physics/notes/u1_5_notes/u1_5_notes_teacher.html" TargetMode="External"/><Relationship Id="rId2260" Type="http://schemas.openxmlformats.org/officeDocument/2006/relationships/hyperlink" Target="https://tnezki.github.io/physics/assessments_zxrtjp/unit7_assessment_plan/unit7_assessment_plan.html" TargetMode="External"/><Relationship Id="rId341" Type="http://schemas.openxmlformats.org/officeDocument/2006/relationships/hyperlink" Target="https://tnezki.github.io/physics/practice_sets/practice_sets_1_5/practice_set_1_5.html" TargetMode="External"/><Relationship Id="rId2261" Type="http://schemas.openxmlformats.org/officeDocument/2006/relationships/hyperlink" Target="https://tnezki.github.io/physics/performance_task___5134zrt/u7_4_performance_task/u7_4_performance_task.html" TargetMode="External"/><Relationship Id="rId340" Type="http://schemas.openxmlformats.org/officeDocument/2006/relationships/hyperlink" Target="https://tnezki.github.io/physics/activities/u1_5_act1/u1_5_act1.html" TargetMode="External"/><Relationship Id="rId2262" Type="http://schemas.openxmlformats.org/officeDocument/2006/relationships/hyperlink" Target="https://tnezki.github.io/physics/quick_check____htq5855/u7_4_quick_check/u7_4_quick_check.html" TargetMode="External"/><Relationship Id="rId2263" Type="http://schemas.openxmlformats.org/officeDocument/2006/relationships/hyperlink" Target="https://tnezki.github.io/physics/exit/exit7/exit_7.html" TargetMode="External"/><Relationship Id="rId2264" Type="http://schemas.openxmlformats.org/officeDocument/2006/relationships/hyperlink" Target="https://tnezki.github.io/physics/practice_sets/practice_sets_7_4/practice_set_7_4_2.html" TargetMode="External"/><Relationship Id="rId345" Type="http://schemas.openxmlformats.org/officeDocument/2006/relationships/hyperlink" Target="https://tnezki.github.io/physics/reviews/review1/review_1.html" TargetMode="External"/><Relationship Id="rId2265" Type="http://schemas.openxmlformats.org/officeDocument/2006/relationships/hyperlink" Target="https://tnezki.github.io/physics/practice_sets/practice_sets_7_4/practice_set_7_4_3.html" TargetMode="External"/><Relationship Id="rId344" Type="http://schemas.openxmlformats.org/officeDocument/2006/relationships/hyperlink" Target="https://tnezki.github.io/physics/progress/unit_1_progress/unit_1_progress.html" TargetMode="External"/><Relationship Id="rId2266" Type="http://schemas.openxmlformats.org/officeDocument/2006/relationships/hyperlink" Target="https://tnezki.github.io/physics/assessments_zxrtjp/unit7_summative/unit7_summative_assessment.html" TargetMode="External"/><Relationship Id="rId343" Type="http://schemas.openxmlformats.org/officeDocument/2006/relationships/hyperlink" Target="https://tnezki.github.io/physics/practice_sets/practice_sets_1_5/cyu_1_5.html" TargetMode="External"/><Relationship Id="rId2267" Type="http://schemas.openxmlformats.org/officeDocument/2006/relationships/hyperlink" Target="https://tnezki.github.io/physics/banks/unit7/unit7.html" TargetMode="External"/><Relationship Id="rId342" Type="http://schemas.openxmlformats.org/officeDocument/2006/relationships/hyperlink" Target="https://tnezki.github.io/physics/practice_sets/practice_sets_1_5/extra_practice_1_5.html" TargetMode="External"/><Relationship Id="rId2268" Type="http://schemas.openxmlformats.org/officeDocument/2006/relationships/hyperlink" Target="https://tnezki.github.io/physics/warmups/unit_7_warmups/unit_7_warmups.html" TargetMode="External"/><Relationship Id="rId2258" Type="http://schemas.openxmlformats.org/officeDocument/2006/relationships/hyperlink" Target="https://tnezki.github.io/physics/investigations/u7_4_investigation/u7_4_investigation_teacher_guide.html" TargetMode="External"/><Relationship Id="rId2259" Type="http://schemas.openxmlformats.org/officeDocument/2006/relationships/hyperlink" Target="https://tnezki.github.io/physics/performance_task___5134zrt/u7_4_performance_task/u7_4_performance_task_teacher_guide.html" TargetMode="External"/><Relationship Id="rId338" Type="http://schemas.openxmlformats.org/officeDocument/2006/relationships/hyperlink" Target="https://tnezki.github.io/physics/notes/u1_5_notes/u1_5_notes.html" TargetMode="External"/><Relationship Id="rId337" Type="http://schemas.openxmlformats.org/officeDocument/2006/relationships/hyperlink" Target="https://tnezki.github.io/physics/demo/u1_5_demo/u1_5_demo.html" TargetMode="External"/><Relationship Id="rId336" Type="http://schemas.openxmlformats.org/officeDocument/2006/relationships/hyperlink" Target="https://tnezki.github.io/physics/warmups/unit_1_warmups/unit_1_warmups.html" TargetMode="External"/><Relationship Id="rId335" Type="http://schemas.openxmlformats.org/officeDocument/2006/relationships/hyperlink" Target="https://tnezki.github.io/physics/banks/unit1/unit1.html" TargetMode="External"/><Relationship Id="rId339" Type="http://schemas.openxmlformats.org/officeDocument/2006/relationships/hyperlink" Target="https://tnezki.github.io/physics/investigations/u1_5_investigation/u1_5_investigation.html" TargetMode="External"/><Relationship Id="rId330" Type="http://schemas.openxmlformats.org/officeDocument/2006/relationships/hyperlink" Target="https://tnezki.github.io/physics/quick_check____htq5855/u1_5_quick_check/u1_5_quick_check.html" TargetMode="External"/><Relationship Id="rId2250" Type="http://schemas.openxmlformats.org/officeDocument/2006/relationships/hyperlink" Target="https://tnezki.github.io/physics/activities/u7_4_act1/u7_4_act1.html" TargetMode="External"/><Relationship Id="rId2251" Type="http://schemas.openxmlformats.org/officeDocument/2006/relationships/hyperlink" Target="https://tnezki.github.io/physics/practice_sets/practice_sets_7_4/practice_set_7_4.html" TargetMode="External"/><Relationship Id="rId2252" Type="http://schemas.openxmlformats.org/officeDocument/2006/relationships/hyperlink" Target="https://tnezki.github.io/physics/practice_sets/practice_sets_7_4/extra_practice_7_4.html" TargetMode="External"/><Relationship Id="rId2253" Type="http://schemas.openxmlformats.org/officeDocument/2006/relationships/hyperlink" Target="https://tnezki.github.io/physics/practice_sets/practice_sets_7_4/cyu_7_4.html" TargetMode="External"/><Relationship Id="rId334" Type="http://schemas.openxmlformats.org/officeDocument/2006/relationships/hyperlink" Target="https://tnezki.github.io/physics/assessments_zxrtjp/unit1_summative/unit1_summative_assessment.html" TargetMode="External"/><Relationship Id="rId2254" Type="http://schemas.openxmlformats.org/officeDocument/2006/relationships/hyperlink" Target="https://tnezki.github.io/physics/progress/unit_7_progress/unit_7_progress.html" TargetMode="External"/><Relationship Id="rId333" Type="http://schemas.openxmlformats.org/officeDocument/2006/relationships/hyperlink" Target="https://tnezki.github.io/physics/practice_sets/practice_sets_1_5/practice_set_1_5_3.html" TargetMode="External"/><Relationship Id="rId2255" Type="http://schemas.openxmlformats.org/officeDocument/2006/relationships/hyperlink" Target="https://tnezki.github.io/physics/reviews/review7/review_7.html" TargetMode="External"/><Relationship Id="rId332" Type="http://schemas.openxmlformats.org/officeDocument/2006/relationships/hyperlink" Target="https://tnezki.github.io/physics/practice_sets/practice_sets_1_5/practice_set_1_5_2.html" TargetMode="External"/><Relationship Id="rId2256" Type="http://schemas.openxmlformats.org/officeDocument/2006/relationships/hyperlink" Target="https://tnezki.github.io/physics/notes/u7_4_notes/u7_4_notes_teacher.html" TargetMode="External"/><Relationship Id="rId331" Type="http://schemas.openxmlformats.org/officeDocument/2006/relationships/hyperlink" Target="https://tnezki.github.io/physics/exit/exit1/exit_1.html" TargetMode="External"/><Relationship Id="rId2257" Type="http://schemas.openxmlformats.org/officeDocument/2006/relationships/hyperlink" Target="https://tnezki.github.io/physics/demo/u7_4_demo/u7_4_demo_teacher_guide.html" TargetMode="External"/><Relationship Id="rId370" Type="http://schemas.openxmlformats.org/officeDocument/2006/relationships/hyperlink" Target="https://tnezki.github.io/physics/reviews/review2/review_2.html" TargetMode="External"/><Relationship Id="rId369" Type="http://schemas.openxmlformats.org/officeDocument/2006/relationships/hyperlink" Target="https://tnezki.github.io/physics/progress/unit_2_progress/unit_2_progress.html" TargetMode="External"/><Relationship Id="rId368" Type="http://schemas.openxmlformats.org/officeDocument/2006/relationships/hyperlink" Target="https://tnezki.github.io/physics/practice_sets/practice_sets_2_1/cyu_2_1.html" TargetMode="External"/><Relationship Id="rId2280" Type="http://schemas.openxmlformats.org/officeDocument/2006/relationships/hyperlink" Target="https://tnezki.github.io/physics/investigations/u7_4_investigation/u7_4_investigation_teacher_guide.html" TargetMode="External"/><Relationship Id="rId2281" Type="http://schemas.openxmlformats.org/officeDocument/2006/relationships/hyperlink" Target="https://tnezki.github.io/physics/performance_task___5134zrt/u7_4_performance_task/u7_4_performance_task_teacher_guide.html" TargetMode="External"/><Relationship Id="rId2282" Type="http://schemas.openxmlformats.org/officeDocument/2006/relationships/hyperlink" Target="https://tnezki.github.io/physics/assessments_zxrtjp/unit7_assessment_plan/unit7_assessment_plan.html" TargetMode="External"/><Relationship Id="rId363" Type="http://schemas.openxmlformats.org/officeDocument/2006/relationships/hyperlink" Target="https://tnezki.github.io/physics/notes/u2_1_notes/u2_1_notes.html" TargetMode="External"/><Relationship Id="rId2283" Type="http://schemas.openxmlformats.org/officeDocument/2006/relationships/hyperlink" Target="https://tnezki.github.io/physics/performance_task___5134zrt/u7_4_performance_task/u7_4_performance_task.html" TargetMode="External"/><Relationship Id="rId362" Type="http://schemas.openxmlformats.org/officeDocument/2006/relationships/hyperlink" Target="https://tnezki.github.io/physics/demo/u2_1_demo/u2_1_demo.html" TargetMode="External"/><Relationship Id="rId2284" Type="http://schemas.openxmlformats.org/officeDocument/2006/relationships/hyperlink" Target="https://tnezki.github.io/physics/quick_check____htq5855/u7_4_quick_check/u7_4_quick_check.html" TargetMode="External"/><Relationship Id="rId361" Type="http://schemas.openxmlformats.org/officeDocument/2006/relationships/hyperlink" Target="https://tnezki.github.io/physics/warmups/unit_2_warmups/unit_2_warmups.html" TargetMode="External"/><Relationship Id="rId2285" Type="http://schemas.openxmlformats.org/officeDocument/2006/relationships/hyperlink" Target="https://tnezki.github.io/physics/exit/exit7/exit_7.html" TargetMode="External"/><Relationship Id="rId360" Type="http://schemas.openxmlformats.org/officeDocument/2006/relationships/hyperlink" Target="https://tnezki.github.io/physics/assessments_zxrtjp/unit1_assessment_plan/unit1_assessment_plan.html" TargetMode="External"/><Relationship Id="rId2286" Type="http://schemas.openxmlformats.org/officeDocument/2006/relationships/hyperlink" Target="https://tnezki.github.io/physics/practice_sets/practice_sets_7_4/practice_set_7_4_2.html" TargetMode="External"/><Relationship Id="rId367" Type="http://schemas.openxmlformats.org/officeDocument/2006/relationships/hyperlink" Target="https://tnezki.github.io/physics/practice_sets/practice_sets_2_1/extra_practice_2_1.html" TargetMode="External"/><Relationship Id="rId2287" Type="http://schemas.openxmlformats.org/officeDocument/2006/relationships/hyperlink" Target="https://tnezki.github.io/physics/practice_sets/practice_sets_7_4/practice_set_7_4_3.html" TargetMode="External"/><Relationship Id="rId366" Type="http://schemas.openxmlformats.org/officeDocument/2006/relationships/hyperlink" Target="https://tnezki.github.io/physics/practice_sets/practice_sets_2_1/practice_set_2_1.html" TargetMode="External"/><Relationship Id="rId2288" Type="http://schemas.openxmlformats.org/officeDocument/2006/relationships/hyperlink" Target="https://tnezki.github.io/physics/assessments_zxrtjp/unit7_summative/unit7_summative_assessment.html" TargetMode="External"/><Relationship Id="rId365" Type="http://schemas.openxmlformats.org/officeDocument/2006/relationships/hyperlink" Target="https://tnezki.github.io/physics/activities/u2_1_act1/u2_1_act1.html" TargetMode="External"/><Relationship Id="rId2289" Type="http://schemas.openxmlformats.org/officeDocument/2006/relationships/hyperlink" Target="https://tnezki.github.io/physics/banks/unit7/unit7.html" TargetMode="External"/><Relationship Id="rId364" Type="http://schemas.openxmlformats.org/officeDocument/2006/relationships/hyperlink" Target="https://tnezki.github.io/physics/investigations/u2_1_investigation/u2_1_investigation.html" TargetMode="External"/><Relationship Id="rId95" Type="http://schemas.openxmlformats.org/officeDocument/2006/relationships/hyperlink" Target="https://tnezki.github.io/physics/demo/u1_2_demo/u1_2_demo.html" TargetMode="External"/><Relationship Id="rId94" Type="http://schemas.openxmlformats.org/officeDocument/2006/relationships/hyperlink" Target="https://tnezki.github.io/physics/warmups/unit_1_warmups/unit_1_warmups.html" TargetMode="External"/><Relationship Id="rId97" Type="http://schemas.openxmlformats.org/officeDocument/2006/relationships/hyperlink" Target="https://tnezki.github.io/physics/investigations/u1_2_investigation/u1_2_investigation.html" TargetMode="External"/><Relationship Id="rId96" Type="http://schemas.openxmlformats.org/officeDocument/2006/relationships/hyperlink" Target="https://tnezki.github.io/physics/notes/u1_2_notes/u1_2_notes.html" TargetMode="External"/><Relationship Id="rId99" Type="http://schemas.openxmlformats.org/officeDocument/2006/relationships/hyperlink" Target="https://tnezki.github.io/physics/practice_sets/practice_sets_1_2/practice_set_1_2.html" TargetMode="External"/><Relationship Id="rId98" Type="http://schemas.openxmlformats.org/officeDocument/2006/relationships/hyperlink" Target="https://tnezki.github.io/physics/activities/u1_2_act1/u1_2_act1.html" TargetMode="External"/><Relationship Id="rId91" Type="http://schemas.openxmlformats.org/officeDocument/2006/relationships/hyperlink" Target="https://tnezki.github.io/physics/practice_sets/practice_sets_1_1/practice_set_1_1_3.html" TargetMode="External"/><Relationship Id="rId90" Type="http://schemas.openxmlformats.org/officeDocument/2006/relationships/hyperlink" Target="https://tnezki.github.io/physics/practice_sets/practice_sets_1_1/practice_set_1_1_2.html" TargetMode="External"/><Relationship Id="rId93" Type="http://schemas.openxmlformats.org/officeDocument/2006/relationships/hyperlink" Target="https://tnezki.github.io/physics/banks/unit1/unit1.html" TargetMode="External"/><Relationship Id="rId92" Type="http://schemas.openxmlformats.org/officeDocument/2006/relationships/hyperlink" Target="https://tnezki.github.io/physics/assessments_zxrtjp/unit1_summative/unit1_summative_assessment.html" TargetMode="External"/><Relationship Id="rId359" Type="http://schemas.openxmlformats.org/officeDocument/2006/relationships/hyperlink" Target="https://tnezki.github.io/physics/banks/unit1/unit1.html" TargetMode="External"/><Relationship Id="rId358" Type="http://schemas.openxmlformats.org/officeDocument/2006/relationships/hyperlink" Target="https://tnezki.github.io/physics/assessments_zxrtjp/unit1_summative/unit1_summative_assessment.html" TargetMode="External"/><Relationship Id="rId357" Type="http://schemas.openxmlformats.org/officeDocument/2006/relationships/hyperlink" Target="https://tnezki.github.io/physics/banks/unit1/unit1.html" TargetMode="External"/><Relationship Id="rId2270" Type="http://schemas.openxmlformats.org/officeDocument/2006/relationships/hyperlink" Target="https://tnezki.github.io/physics/notes/u7_4_notes/u7_4_notes.html" TargetMode="External"/><Relationship Id="rId2271" Type="http://schemas.openxmlformats.org/officeDocument/2006/relationships/hyperlink" Target="https://tnezki.github.io/physics/investigations/u7_4_investigation/u7_4_investigation.html" TargetMode="External"/><Relationship Id="rId352" Type="http://schemas.openxmlformats.org/officeDocument/2006/relationships/hyperlink" Target="https://tnezki.github.io/physics/quick_check____htq5855/u1_5_quick_check/u1_5_quick_check.html" TargetMode="External"/><Relationship Id="rId2272" Type="http://schemas.openxmlformats.org/officeDocument/2006/relationships/hyperlink" Target="https://tnezki.github.io/physics/activities/u7_4_act1/u7_4_act1.html" TargetMode="External"/><Relationship Id="rId351" Type="http://schemas.openxmlformats.org/officeDocument/2006/relationships/hyperlink" Target="https://tnezki.github.io/physics/performance_task___5134zrt/u1_5_performance_task/u1_5_performance_task.html" TargetMode="External"/><Relationship Id="rId2273" Type="http://schemas.openxmlformats.org/officeDocument/2006/relationships/hyperlink" Target="https://tnezki.github.io/physics/practice_sets/practice_sets_7_4/practice_set_7_4.html" TargetMode="External"/><Relationship Id="rId350" Type="http://schemas.openxmlformats.org/officeDocument/2006/relationships/hyperlink" Target="https://tnezki.github.io/physics/assessments_zxrtjp/unit1_assessment_plan/unit1_assessment_plan.html" TargetMode="External"/><Relationship Id="rId2274" Type="http://schemas.openxmlformats.org/officeDocument/2006/relationships/hyperlink" Target="https://tnezki.github.io/physics/practice_sets/practice_sets_7_4/extra_practice_7_4.html" TargetMode="External"/><Relationship Id="rId2275" Type="http://schemas.openxmlformats.org/officeDocument/2006/relationships/hyperlink" Target="https://tnezki.github.io/physics/practice_sets/practice_sets_7_4/cyu_7_4.html" TargetMode="External"/><Relationship Id="rId356" Type="http://schemas.openxmlformats.org/officeDocument/2006/relationships/hyperlink" Target="https://tnezki.github.io/physics/assessments_zxrtjp/unit1_summative/unit1_summative_assessment.html" TargetMode="External"/><Relationship Id="rId2276" Type="http://schemas.openxmlformats.org/officeDocument/2006/relationships/hyperlink" Target="https://tnezki.github.io/physics/progress/unit_7_progress/unit_7_progress.html" TargetMode="External"/><Relationship Id="rId355" Type="http://schemas.openxmlformats.org/officeDocument/2006/relationships/hyperlink" Target="https://tnezki.github.io/physics/practice_sets/practice_sets_1_5/practice_set_1_5_3.html" TargetMode="External"/><Relationship Id="rId2277" Type="http://schemas.openxmlformats.org/officeDocument/2006/relationships/hyperlink" Target="https://tnezki.github.io/physics/reviews/review7/review_7.html" TargetMode="External"/><Relationship Id="rId354" Type="http://schemas.openxmlformats.org/officeDocument/2006/relationships/hyperlink" Target="https://tnezki.github.io/physics/practice_sets/practice_sets_1_5/practice_set_1_5_2.html" TargetMode="External"/><Relationship Id="rId2278" Type="http://schemas.openxmlformats.org/officeDocument/2006/relationships/hyperlink" Target="https://tnezki.github.io/physics/notes/u7_4_notes/u7_4_notes_teacher.html" TargetMode="External"/><Relationship Id="rId353" Type="http://schemas.openxmlformats.org/officeDocument/2006/relationships/hyperlink" Target="https://tnezki.github.io/physics/exit/exit1/exit_1.html" TargetMode="External"/><Relationship Id="rId2279" Type="http://schemas.openxmlformats.org/officeDocument/2006/relationships/hyperlink" Target="https://tnezki.github.io/physics/demo/u7_4_demo/u7_4_demo_teacher_guide.html" TargetMode="External"/><Relationship Id="rId1378" Type="http://schemas.openxmlformats.org/officeDocument/2006/relationships/hyperlink" Target="https://tnezki.github.io/physics/practice_sets/practice_sets_5_1/practice_set_5_1_2.html" TargetMode="External"/><Relationship Id="rId2225" Type="http://schemas.openxmlformats.org/officeDocument/2006/relationships/hyperlink" Target="https://tnezki.github.io/physics/demo/u7_4_demo/u7_4_demo.html" TargetMode="External"/><Relationship Id="rId1379" Type="http://schemas.openxmlformats.org/officeDocument/2006/relationships/hyperlink" Target="https://tnezki.github.io/physics/practice_sets/practice_sets_5_1/practice_set_5_1_3.html" TargetMode="External"/><Relationship Id="rId2226" Type="http://schemas.openxmlformats.org/officeDocument/2006/relationships/hyperlink" Target="https://tnezki.github.io/physics/notes/u7_4_notes/u7_4_notes.html" TargetMode="External"/><Relationship Id="rId2227" Type="http://schemas.openxmlformats.org/officeDocument/2006/relationships/hyperlink" Target="https://tnezki.github.io/physics/investigations/u7_4_investigation/u7_4_investigation.html" TargetMode="External"/><Relationship Id="rId2228" Type="http://schemas.openxmlformats.org/officeDocument/2006/relationships/hyperlink" Target="https://tnezki.github.io/physics/activities/u7_4_act1/u7_4_act1.html" TargetMode="External"/><Relationship Id="rId2229" Type="http://schemas.openxmlformats.org/officeDocument/2006/relationships/hyperlink" Target="https://tnezki.github.io/physics/practice_sets/practice_sets_7_4/practice_set_7_4.html" TargetMode="External"/><Relationship Id="rId305" Type="http://schemas.openxmlformats.org/officeDocument/2006/relationships/hyperlink" Target="https://tnezki.github.io/physics/performance_task___5134zrt/u1_5_performance_task/u1_5_performance_task_teacher_guide.html" TargetMode="External"/><Relationship Id="rId789" Type="http://schemas.openxmlformats.org/officeDocument/2006/relationships/hyperlink" Target="https://tnezki.github.io/physics/practice_sets/practice_sets_3_2/cyu_3_2.html" TargetMode="External"/><Relationship Id="rId304" Type="http://schemas.openxmlformats.org/officeDocument/2006/relationships/hyperlink" Target="https://tnezki.github.io/physics/investigations/u1_5_investigation/u1_5_investigation_teacher_guide.html" TargetMode="External"/><Relationship Id="rId788" Type="http://schemas.openxmlformats.org/officeDocument/2006/relationships/hyperlink" Target="https://tnezki.github.io/physics/practice_sets/practice_sets_3_2/extra_practice_3_2.html" TargetMode="External"/><Relationship Id="rId303" Type="http://schemas.openxmlformats.org/officeDocument/2006/relationships/hyperlink" Target="https://tnezki.github.io/physics/demo/u1_5_demo/u1_5_demo_teacher_guide.html" TargetMode="External"/><Relationship Id="rId787" Type="http://schemas.openxmlformats.org/officeDocument/2006/relationships/hyperlink" Target="https://tnezki.github.io/physics/practice_sets/practice_sets_3_2/practice_set_3_2.html" TargetMode="External"/><Relationship Id="rId302" Type="http://schemas.openxmlformats.org/officeDocument/2006/relationships/hyperlink" Target="https://tnezki.github.io/physics/notes/u1_5_notes/u1_5_notes_teacher.html" TargetMode="External"/><Relationship Id="rId786" Type="http://schemas.openxmlformats.org/officeDocument/2006/relationships/hyperlink" Target="https://tnezki.github.io/physics/activities/u3_2_act1/u3_2_act1.html" TargetMode="External"/><Relationship Id="rId309" Type="http://schemas.openxmlformats.org/officeDocument/2006/relationships/hyperlink" Target="https://tnezki.github.io/physics/exit/exit1/exit_1.html" TargetMode="External"/><Relationship Id="rId308" Type="http://schemas.openxmlformats.org/officeDocument/2006/relationships/hyperlink" Target="https://tnezki.github.io/physics/quick_check____htq5855/u1_5_quick_check/u1_5_quick_check.html" TargetMode="External"/><Relationship Id="rId307" Type="http://schemas.openxmlformats.org/officeDocument/2006/relationships/hyperlink" Target="https://tnezki.github.io/physics/performance_task___5134zrt/u1_5_performance_task/u1_5_performance_task.html" TargetMode="External"/><Relationship Id="rId306" Type="http://schemas.openxmlformats.org/officeDocument/2006/relationships/hyperlink" Target="https://tnezki.github.io/physics/assessments_zxrtjp/unit1_assessment_plan/unit1_assessment_plan.html" TargetMode="External"/><Relationship Id="rId781" Type="http://schemas.openxmlformats.org/officeDocument/2006/relationships/hyperlink" Target="https://tnezki.github.io/physics/banks/unit3/unit3.html" TargetMode="External"/><Relationship Id="rId1370" Type="http://schemas.openxmlformats.org/officeDocument/2006/relationships/hyperlink" Target="https://tnezki.github.io/physics/notes/u5_1_notes/u5_1_notes_teacher.html" TargetMode="External"/><Relationship Id="rId780" Type="http://schemas.openxmlformats.org/officeDocument/2006/relationships/hyperlink" Target="https://tnezki.github.io/physics/assessments_zxrtjp/unit3_summative/unit3_summative_assessment.html" TargetMode="External"/><Relationship Id="rId1371" Type="http://schemas.openxmlformats.org/officeDocument/2006/relationships/hyperlink" Target="https://tnezki.github.io/physics/demo/u5_1_demo/u5_1_demo_teacher_guide.html" TargetMode="External"/><Relationship Id="rId1372" Type="http://schemas.openxmlformats.org/officeDocument/2006/relationships/hyperlink" Target="https://tnezki.github.io/physics/investigations/u5_1_investigation/u5_1_investigation_teacher_guide.html" TargetMode="External"/><Relationship Id="rId1373" Type="http://schemas.openxmlformats.org/officeDocument/2006/relationships/hyperlink" Target="https://tnezki.github.io/physics/performance_task___5134zrt/u5_1_performance_task/u5_1_performance_task_teacher_guide.html" TargetMode="External"/><Relationship Id="rId2220" Type="http://schemas.openxmlformats.org/officeDocument/2006/relationships/hyperlink" Target="https://tnezki.github.io/physics/practice_sets/practice_sets_7_3/practice_set_7_3_2.html" TargetMode="External"/><Relationship Id="rId301" Type="http://schemas.openxmlformats.org/officeDocument/2006/relationships/hyperlink" Target="https://tnezki.github.io/physics/reviews/review1/review_1.html" TargetMode="External"/><Relationship Id="rId785" Type="http://schemas.openxmlformats.org/officeDocument/2006/relationships/hyperlink" Target="https://tnezki.github.io/physics/investigations/u3_2_investigation/u3_2_investigation.html" TargetMode="External"/><Relationship Id="rId1374" Type="http://schemas.openxmlformats.org/officeDocument/2006/relationships/hyperlink" Target="https://tnezki.github.io/physics/assessments_zxrtjp/unit5_assessment_plan/unit5_assessment_plan.html" TargetMode="External"/><Relationship Id="rId2221" Type="http://schemas.openxmlformats.org/officeDocument/2006/relationships/hyperlink" Target="https://tnezki.github.io/physics/practice_sets/practice_sets_7_3/practice_set_7_3_3.html" TargetMode="External"/><Relationship Id="rId300" Type="http://schemas.openxmlformats.org/officeDocument/2006/relationships/hyperlink" Target="https://tnezki.github.io/physics/progress/unit_1_progress/unit_1_progress.html" TargetMode="External"/><Relationship Id="rId784" Type="http://schemas.openxmlformats.org/officeDocument/2006/relationships/hyperlink" Target="https://tnezki.github.io/physics/notes/u3_2_notes/u3_2_notes.html" TargetMode="External"/><Relationship Id="rId1375" Type="http://schemas.openxmlformats.org/officeDocument/2006/relationships/hyperlink" Target="https://tnezki.github.io/physics/performance_task___5134zrt/u5_1_performance_task/u5_1_performance_task.html" TargetMode="External"/><Relationship Id="rId2222" Type="http://schemas.openxmlformats.org/officeDocument/2006/relationships/hyperlink" Target="https://tnezki.github.io/physics/assessments_zxrtjp/unit7_summative/unit7_summative_assessment.html" TargetMode="External"/><Relationship Id="rId783" Type="http://schemas.openxmlformats.org/officeDocument/2006/relationships/hyperlink" Target="https://tnezki.github.io/physics/demo/u3_2_demo/u3_2_demo.html" TargetMode="External"/><Relationship Id="rId1376" Type="http://schemas.openxmlformats.org/officeDocument/2006/relationships/hyperlink" Target="https://tnezki.github.io/physics/quick_check____htq5855/u5_1_quick_check/u5_1_quick_check.html" TargetMode="External"/><Relationship Id="rId2223" Type="http://schemas.openxmlformats.org/officeDocument/2006/relationships/hyperlink" Target="https://tnezki.github.io/physics/banks/unit7/unit7.html" TargetMode="External"/><Relationship Id="rId782" Type="http://schemas.openxmlformats.org/officeDocument/2006/relationships/hyperlink" Target="https://tnezki.github.io/physics/warmups/unit_3_warmups/unit_3_warmups.html" TargetMode="External"/><Relationship Id="rId1377" Type="http://schemas.openxmlformats.org/officeDocument/2006/relationships/hyperlink" Target="https://tnezki.github.io/physics/exit/exit5/exit_5.html" TargetMode="External"/><Relationship Id="rId2224" Type="http://schemas.openxmlformats.org/officeDocument/2006/relationships/hyperlink" Target="https://tnezki.github.io/physics/warmups/unit_7_warmups/unit_7_warmups.html" TargetMode="External"/><Relationship Id="rId1367" Type="http://schemas.openxmlformats.org/officeDocument/2006/relationships/hyperlink" Target="https://tnezki.github.io/physics/practice_sets/practice_sets_5_1/cyu_5_1.html" TargetMode="External"/><Relationship Id="rId2214" Type="http://schemas.openxmlformats.org/officeDocument/2006/relationships/hyperlink" Target="https://tnezki.github.io/physics/investigations/u7_3_investigation/u7_3_investigation_teacher_guide.html" TargetMode="External"/><Relationship Id="rId1368" Type="http://schemas.openxmlformats.org/officeDocument/2006/relationships/hyperlink" Target="https://tnezki.github.io/physics/progress/unit_5_progress/unit_5_progress.html" TargetMode="External"/><Relationship Id="rId2215" Type="http://schemas.openxmlformats.org/officeDocument/2006/relationships/hyperlink" Target="https://tnezki.github.io/physics/performance_task___5134zrt/u7_3_performance_task/u7_3_performance_task_teacher_guide.html" TargetMode="External"/><Relationship Id="rId1369" Type="http://schemas.openxmlformats.org/officeDocument/2006/relationships/hyperlink" Target="https://tnezki.github.io/physics/reviews/review5/review_5.html" TargetMode="External"/><Relationship Id="rId2216" Type="http://schemas.openxmlformats.org/officeDocument/2006/relationships/hyperlink" Target="https://tnezki.github.io/physics/assessments_zxrtjp/unit7_assessment_plan/unit7_assessment_plan.html" TargetMode="External"/><Relationship Id="rId2217" Type="http://schemas.openxmlformats.org/officeDocument/2006/relationships/hyperlink" Target="https://tnezki.github.io/physics/performance_task___5134zrt/u7_3_performance_task/u7_3_performance_task.html" TargetMode="External"/><Relationship Id="rId2218" Type="http://schemas.openxmlformats.org/officeDocument/2006/relationships/hyperlink" Target="https://tnezki.github.io/physics/quick_check____htq5855/u7_3_quick_check/u7_3_quick_check.html" TargetMode="External"/><Relationship Id="rId2219" Type="http://schemas.openxmlformats.org/officeDocument/2006/relationships/hyperlink" Target="https://tnezki.github.io/physics/exit/exit7/exit_7.html" TargetMode="External"/><Relationship Id="rId778" Type="http://schemas.openxmlformats.org/officeDocument/2006/relationships/hyperlink" Target="https://tnezki.github.io/physics/practice_sets/practice_sets_3_2/practice_set_3_2_2.html" TargetMode="External"/><Relationship Id="rId777" Type="http://schemas.openxmlformats.org/officeDocument/2006/relationships/hyperlink" Target="https://tnezki.github.io/physics/exit/exit3/exit_3.html" TargetMode="External"/><Relationship Id="rId776" Type="http://schemas.openxmlformats.org/officeDocument/2006/relationships/hyperlink" Target="https://tnezki.github.io/physics/quick_check____htq5855/u3_2_quick_check/u3_2_quick_check.html" TargetMode="External"/><Relationship Id="rId775" Type="http://schemas.openxmlformats.org/officeDocument/2006/relationships/hyperlink" Target="https://tnezki.github.io/physics/performance_task___5134zrt/u3_2_performance_task/u3_2_performance_task.html" TargetMode="External"/><Relationship Id="rId779" Type="http://schemas.openxmlformats.org/officeDocument/2006/relationships/hyperlink" Target="https://tnezki.github.io/physics/practice_sets/practice_sets_3_2/practice_set_3_2_3.html" TargetMode="External"/><Relationship Id="rId770" Type="http://schemas.openxmlformats.org/officeDocument/2006/relationships/hyperlink" Target="https://tnezki.github.io/physics/notes/u3_2_notes/u3_2_notes_teacher.html" TargetMode="External"/><Relationship Id="rId2690" Type="http://schemas.openxmlformats.org/officeDocument/2006/relationships/hyperlink" Target="https://tnezki.github.io/physics/banks/unit8/unit8.html" TargetMode="External"/><Relationship Id="rId1360" Type="http://schemas.openxmlformats.org/officeDocument/2006/relationships/hyperlink" Target="https://tnezki.github.io/physics/warmups/unit_5_warmups/unit_5_warmups.html" TargetMode="External"/><Relationship Id="rId2691" Type="http://schemas.openxmlformats.org/officeDocument/2006/relationships/hyperlink" Target="https://tnezki.github.io/physics/assessments_zxrtjp/unit8_assessment_plan/unit8_assessment_plan.html" TargetMode="External"/><Relationship Id="rId1361" Type="http://schemas.openxmlformats.org/officeDocument/2006/relationships/hyperlink" Target="https://tnezki.github.io/physics/demo/u5_1_demo/u5_1_demo.html" TargetMode="External"/><Relationship Id="rId2692" Type="http://schemas.openxmlformats.org/officeDocument/2006/relationships/drawing" Target="../drawings/drawing3.xml"/><Relationship Id="rId1362" Type="http://schemas.openxmlformats.org/officeDocument/2006/relationships/hyperlink" Target="https://tnezki.github.io/physics/notes/u5_1_notes/u5_1_notes.html" TargetMode="External"/><Relationship Id="rId774" Type="http://schemas.openxmlformats.org/officeDocument/2006/relationships/hyperlink" Target="https://tnezki.github.io/physics/assessments_zxrtjp/unit3_assessment_plan/unit3_assessment_plan.html" TargetMode="External"/><Relationship Id="rId1363" Type="http://schemas.openxmlformats.org/officeDocument/2006/relationships/hyperlink" Target="https://tnezki.github.io/physics/investigations/u5_1_investigation/u5_1_investigation.html" TargetMode="External"/><Relationship Id="rId2210" Type="http://schemas.openxmlformats.org/officeDocument/2006/relationships/hyperlink" Target="https://tnezki.github.io/physics/progress/unit_7_progress/unit_7_progress.html" TargetMode="External"/><Relationship Id="rId773" Type="http://schemas.openxmlformats.org/officeDocument/2006/relationships/hyperlink" Target="https://tnezki.github.io/physics/performance_task___5134zrt/u3_2_performance_task/u3_2_performance_task_teacher_guide.html" TargetMode="External"/><Relationship Id="rId1364" Type="http://schemas.openxmlformats.org/officeDocument/2006/relationships/hyperlink" Target="https://tnezki.github.io/physics/activities/u5_1_act1/u5_1_act1.html" TargetMode="External"/><Relationship Id="rId2211" Type="http://schemas.openxmlformats.org/officeDocument/2006/relationships/hyperlink" Target="https://tnezki.github.io/physics/reviews/review7/review_7.html" TargetMode="External"/><Relationship Id="rId772" Type="http://schemas.openxmlformats.org/officeDocument/2006/relationships/hyperlink" Target="https://tnezki.github.io/physics/investigations/u3_2_investigation/u3_2_investigation_teacher_guide.html" TargetMode="External"/><Relationship Id="rId1365" Type="http://schemas.openxmlformats.org/officeDocument/2006/relationships/hyperlink" Target="https://tnezki.github.io/physics/practice_sets/practice_sets_5_1/practice_set_5_1.html" TargetMode="External"/><Relationship Id="rId2212" Type="http://schemas.openxmlformats.org/officeDocument/2006/relationships/hyperlink" Target="https://tnezki.github.io/physics/notes/u7_3_notes/u7_3_notes_teacher.html" TargetMode="External"/><Relationship Id="rId771" Type="http://schemas.openxmlformats.org/officeDocument/2006/relationships/hyperlink" Target="https://tnezki.github.io/physics/demo/u3_2_demo/u3_2_demo_teacher_guide.html" TargetMode="External"/><Relationship Id="rId1366" Type="http://schemas.openxmlformats.org/officeDocument/2006/relationships/hyperlink" Target="https://tnezki.github.io/physics/practice_sets/practice_sets_5_1/extra_practice_5_1.html" TargetMode="External"/><Relationship Id="rId2213" Type="http://schemas.openxmlformats.org/officeDocument/2006/relationships/hyperlink" Target="https://tnezki.github.io/physics/demo/u7_3_demo/u7_3_demo_teacher_guide.html" TargetMode="External"/><Relationship Id="rId2247" Type="http://schemas.openxmlformats.org/officeDocument/2006/relationships/hyperlink" Target="https://tnezki.github.io/physics/demo/u7_4_demo/u7_4_demo.html" TargetMode="External"/><Relationship Id="rId2248" Type="http://schemas.openxmlformats.org/officeDocument/2006/relationships/hyperlink" Target="https://tnezki.github.io/physics/notes/u7_4_notes/u7_4_notes.html" TargetMode="External"/><Relationship Id="rId2249" Type="http://schemas.openxmlformats.org/officeDocument/2006/relationships/hyperlink" Target="https://tnezki.github.io/physics/investigations/u7_4_investigation/u7_4_investigation.html" TargetMode="External"/><Relationship Id="rId327" Type="http://schemas.openxmlformats.org/officeDocument/2006/relationships/hyperlink" Target="https://tnezki.github.io/physics/performance_task___5134zrt/u1_5_performance_task/u1_5_performance_task_teacher_guide.html" TargetMode="External"/><Relationship Id="rId326" Type="http://schemas.openxmlformats.org/officeDocument/2006/relationships/hyperlink" Target="https://tnezki.github.io/physics/investigations/u1_5_investigation/u1_5_investigation_teacher_guide.html" TargetMode="External"/><Relationship Id="rId325" Type="http://schemas.openxmlformats.org/officeDocument/2006/relationships/hyperlink" Target="https://tnezki.github.io/physics/demo/u1_5_demo/u1_5_demo_teacher_guide.html" TargetMode="External"/><Relationship Id="rId324" Type="http://schemas.openxmlformats.org/officeDocument/2006/relationships/hyperlink" Target="https://tnezki.github.io/physics/notes/u1_5_notes/u1_5_notes_teacher.html" TargetMode="External"/><Relationship Id="rId329" Type="http://schemas.openxmlformats.org/officeDocument/2006/relationships/hyperlink" Target="https://tnezki.github.io/physics/performance_task___5134zrt/u1_5_performance_task/u1_5_performance_task.html" TargetMode="External"/><Relationship Id="rId1390" Type="http://schemas.openxmlformats.org/officeDocument/2006/relationships/hyperlink" Target="https://tnezki.github.io/physics/progress/unit_5_progress/unit_5_progress.html" TargetMode="External"/><Relationship Id="rId328" Type="http://schemas.openxmlformats.org/officeDocument/2006/relationships/hyperlink" Target="https://tnezki.github.io/physics/assessments_zxrtjp/unit1_assessment_plan/unit1_assessment_plan.html" TargetMode="External"/><Relationship Id="rId1391" Type="http://schemas.openxmlformats.org/officeDocument/2006/relationships/hyperlink" Target="https://tnezki.github.io/physics/reviews/review5/review_5.html" TargetMode="External"/><Relationship Id="rId1392" Type="http://schemas.openxmlformats.org/officeDocument/2006/relationships/hyperlink" Target="https://tnezki.github.io/physics/notes/u5_1_notes/u5_1_notes_teacher.html" TargetMode="External"/><Relationship Id="rId1393" Type="http://schemas.openxmlformats.org/officeDocument/2006/relationships/hyperlink" Target="https://tnezki.github.io/physics/demo/u5_1_demo/u5_1_demo_teacher_guide.html" TargetMode="External"/><Relationship Id="rId2240" Type="http://schemas.openxmlformats.org/officeDocument/2006/relationships/hyperlink" Target="https://tnezki.github.io/physics/quick_check____htq5855/u7_4_quick_check/u7_4_quick_check.html" TargetMode="External"/><Relationship Id="rId1394" Type="http://schemas.openxmlformats.org/officeDocument/2006/relationships/hyperlink" Target="https://tnezki.github.io/physics/investigations/u5_1_investigation/u5_1_investigation_teacher_guide.html" TargetMode="External"/><Relationship Id="rId2241" Type="http://schemas.openxmlformats.org/officeDocument/2006/relationships/hyperlink" Target="https://tnezki.github.io/physics/exit/exit7/exit_7.html" TargetMode="External"/><Relationship Id="rId1395" Type="http://schemas.openxmlformats.org/officeDocument/2006/relationships/hyperlink" Target="https://tnezki.github.io/physics/performance_task___5134zrt/u5_1_performance_task/u5_1_performance_task_teacher_guide.html" TargetMode="External"/><Relationship Id="rId2242" Type="http://schemas.openxmlformats.org/officeDocument/2006/relationships/hyperlink" Target="https://tnezki.github.io/physics/practice_sets/practice_sets_7_4/practice_set_7_4_2.html" TargetMode="External"/><Relationship Id="rId323" Type="http://schemas.openxmlformats.org/officeDocument/2006/relationships/hyperlink" Target="https://tnezki.github.io/physics/reviews/review1/review_1.html" TargetMode="External"/><Relationship Id="rId1396" Type="http://schemas.openxmlformats.org/officeDocument/2006/relationships/hyperlink" Target="https://tnezki.github.io/physics/assessments_zxrtjp/unit5_assessment_plan/unit5_assessment_plan.html" TargetMode="External"/><Relationship Id="rId2243" Type="http://schemas.openxmlformats.org/officeDocument/2006/relationships/hyperlink" Target="https://tnezki.github.io/physics/practice_sets/practice_sets_7_4/practice_set_7_4_3.html" TargetMode="External"/><Relationship Id="rId322" Type="http://schemas.openxmlformats.org/officeDocument/2006/relationships/hyperlink" Target="https://tnezki.github.io/physics/progress/unit_1_progress/unit_1_progress.html" TargetMode="External"/><Relationship Id="rId1397" Type="http://schemas.openxmlformats.org/officeDocument/2006/relationships/hyperlink" Target="https://tnezki.github.io/physics/performance_task___5134zrt/u5_1_performance_task/u5_1_performance_task.html" TargetMode="External"/><Relationship Id="rId2244" Type="http://schemas.openxmlformats.org/officeDocument/2006/relationships/hyperlink" Target="https://tnezki.github.io/physics/assessments_zxrtjp/unit7_summative/unit7_summative_assessment.html" TargetMode="External"/><Relationship Id="rId321" Type="http://schemas.openxmlformats.org/officeDocument/2006/relationships/hyperlink" Target="https://tnezki.github.io/physics/practice_sets/practice_sets_1_5/cyu_1_5.html" TargetMode="External"/><Relationship Id="rId1398" Type="http://schemas.openxmlformats.org/officeDocument/2006/relationships/hyperlink" Target="https://tnezki.github.io/physics/quick_check____htq5855/u5_1_quick_check/u5_1_quick_check.html" TargetMode="External"/><Relationship Id="rId2245" Type="http://schemas.openxmlformats.org/officeDocument/2006/relationships/hyperlink" Target="https://tnezki.github.io/physics/banks/unit7/unit7.html" TargetMode="External"/><Relationship Id="rId320" Type="http://schemas.openxmlformats.org/officeDocument/2006/relationships/hyperlink" Target="https://tnezki.github.io/physics/practice_sets/practice_sets_1_5/extra_practice_1_5.html" TargetMode="External"/><Relationship Id="rId1399" Type="http://schemas.openxmlformats.org/officeDocument/2006/relationships/hyperlink" Target="https://tnezki.github.io/physics/exit/exit5/exit_5.html" TargetMode="External"/><Relationship Id="rId2246" Type="http://schemas.openxmlformats.org/officeDocument/2006/relationships/hyperlink" Target="https://tnezki.github.io/physics/warmups/unit_7_warmups/unit_7_warmups.html" TargetMode="External"/><Relationship Id="rId1389" Type="http://schemas.openxmlformats.org/officeDocument/2006/relationships/hyperlink" Target="https://tnezki.github.io/physics/practice_sets/practice_sets_5_1/cyu_5_1.html" TargetMode="External"/><Relationship Id="rId2236" Type="http://schemas.openxmlformats.org/officeDocument/2006/relationships/hyperlink" Target="https://tnezki.github.io/physics/investigations/u7_4_investigation/u7_4_investigation_teacher_guide.html" TargetMode="External"/><Relationship Id="rId2237" Type="http://schemas.openxmlformats.org/officeDocument/2006/relationships/hyperlink" Target="https://tnezki.github.io/physics/performance_task___5134zrt/u7_4_performance_task/u7_4_performance_task_teacher_guide.html" TargetMode="External"/><Relationship Id="rId2238" Type="http://schemas.openxmlformats.org/officeDocument/2006/relationships/hyperlink" Target="https://tnezki.github.io/physics/assessments_zxrtjp/unit7_assessment_plan/unit7_assessment_plan.html" TargetMode="External"/><Relationship Id="rId2239" Type="http://schemas.openxmlformats.org/officeDocument/2006/relationships/hyperlink" Target="https://tnezki.github.io/physics/performance_task___5134zrt/u7_4_performance_task/u7_4_performance_task.html" TargetMode="External"/><Relationship Id="rId316" Type="http://schemas.openxmlformats.org/officeDocument/2006/relationships/hyperlink" Target="https://tnezki.github.io/physics/notes/u1_5_notes/u1_5_notes.html" TargetMode="External"/><Relationship Id="rId315" Type="http://schemas.openxmlformats.org/officeDocument/2006/relationships/hyperlink" Target="https://tnezki.github.io/physics/demo/u1_5_demo/u1_5_demo.html" TargetMode="External"/><Relationship Id="rId799" Type="http://schemas.openxmlformats.org/officeDocument/2006/relationships/hyperlink" Target="https://tnezki.github.io/physics/exit/exit3/exit_3.html" TargetMode="External"/><Relationship Id="rId314" Type="http://schemas.openxmlformats.org/officeDocument/2006/relationships/hyperlink" Target="https://tnezki.github.io/physics/warmups/unit_1_warmups/unit_1_warmups.html" TargetMode="External"/><Relationship Id="rId798" Type="http://schemas.openxmlformats.org/officeDocument/2006/relationships/hyperlink" Target="https://tnezki.github.io/physics/quick_check____htq5855/u3_2_quick_check/u3_2_quick_check.html" TargetMode="External"/><Relationship Id="rId313" Type="http://schemas.openxmlformats.org/officeDocument/2006/relationships/hyperlink" Target="https://tnezki.github.io/physics/banks/unit1/unit1.html" TargetMode="External"/><Relationship Id="rId797" Type="http://schemas.openxmlformats.org/officeDocument/2006/relationships/hyperlink" Target="https://tnezki.github.io/physics/performance_task___5134zrt/u3_2_performance_task/u3_2_performance_task.html" TargetMode="External"/><Relationship Id="rId319" Type="http://schemas.openxmlformats.org/officeDocument/2006/relationships/hyperlink" Target="https://tnezki.github.io/physics/practice_sets/practice_sets_1_5/practice_set_1_5.html" TargetMode="External"/><Relationship Id="rId318" Type="http://schemas.openxmlformats.org/officeDocument/2006/relationships/hyperlink" Target="https://tnezki.github.io/physics/activities/u1_5_act1/u1_5_act1.html" TargetMode="External"/><Relationship Id="rId317" Type="http://schemas.openxmlformats.org/officeDocument/2006/relationships/hyperlink" Target="https://tnezki.github.io/physics/investigations/u1_5_investigation/u1_5_investigation.html" TargetMode="External"/><Relationship Id="rId1380" Type="http://schemas.openxmlformats.org/officeDocument/2006/relationships/hyperlink" Target="https://tnezki.github.io/physics/assessments_zxrtjp/unit5_summative/unit5_summative_assessment.html" TargetMode="External"/><Relationship Id="rId792" Type="http://schemas.openxmlformats.org/officeDocument/2006/relationships/hyperlink" Target="https://tnezki.github.io/physics/notes/u3_2_notes/u3_2_notes_teacher.html" TargetMode="External"/><Relationship Id="rId1381" Type="http://schemas.openxmlformats.org/officeDocument/2006/relationships/hyperlink" Target="https://tnezki.github.io/physics/banks/unit5/unit5.html" TargetMode="External"/><Relationship Id="rId791" Type="http://schemas.openxmlformats.org/officeDocument/2006/relationships/hyperlink" Target="https://tnezki.github.io/physics/reviews/review3/review_3.html" TargetMode="External"/><Relationship Id="rId1382" Type="http://schemas.openxmlformats.org/officeDocument/2006/relationships/hyperlink" Target="https://tnezki.github.io/physics/warmups/unit_5_warmups/unit_5_warmups.html" TargetMode="External"/><Relationship Id="rId790" Type="http://schemas.openxmlformats.org/officeDocument/2006/relationships/hyperlink" Target="https://tnezki.github.io/physics/progress/unit_3_progress/unit_3_progress.html" TargetMode="External"/><Relationship Id="rId1383" Type="http://schemas.openxmlformats.org/officeDocument/2006/relationships/hyperlink" Target="https://tnezki.github.io/physics/demo/u5_1_demo/u5_1_demo.html" TargetMode="External"/><Relationship Id="rId2230" Type="http://schemas.openxmlformats.org/officeDocument/2006/relationships/hyperlink" Target="https://tnezki.github.io/physics/practice_sets/practice_sets_7_4/extra_practice_7_4.html" TargetMode="External"/><Relationship Id="rId1384" Type="http://schemas.openxmlformats.org/officeDocument/2006/relationships/hyperlink" Target="https://tnezki.github.io/physics/notes/u5_1_notes/u5_1_notes.html" TargetMode="External"/><Relationship Id="rId2231" Type="http://schemas.openxmlformats.org/officeDocument/2006/relationships/hyperlink" Target="https://tnezki.github.io/physics/practice_sets/practice_sets_7_4/cyu_7_4.html" TargetMode="External"/><Relationship Id="rId312" Type="http://schemas.openxmlformats.org/officeDocument/2006/relationships/hyperlink" Target="https://tnezki.github.io/physics/assessments_zxrtjp/unit1_summative/unit1_summative_assessment.html" TargetMode="External"/><Relationship Id="rId796" Type="http://schemas.openxmlformats.org/officeDocument/2006/relationships/hyperlink" Target="https://tnezki.github.io/physics/assessments_zxrtjp/unit3_assessment_plan/unit3_assessment_plan.html" TargetMode="External"/><Relationship Id="rId1385" Type="http://schemas.openxmlformats.org/officeDocument/2006/relationships/hyperlink" Target="https://tnezki.github.io/physics/investigations/u5_1_investigation/u5_1_investigation.html" TargetMode="External"/><Relationship Id="rId2232" Type="http://schemas.openxmlformats.org/officeDocument/2006/relationships/hyperlink" Target="https://tnezki.github.io/physics/progress/unit_7_progress/unit_7_progress.html" TargetMode="External"/><Relationship Id="rId311" Type="http://schemas.openxmlformats.org/officeDocument/2006/relationships/hyperlink" Target="https://tnezki.github.io/physics/practice_sets/practice_sets_1_5/practice_set_1_5_3.html" TargetMode="External"/><Relationship Id="rId795" Type="http://schemas.openxmlformats.org/officeDocument/2006/relationships/hyperlink" Target="https://tnezki.github.io/physics/performance_task___5134zrt/u3_2_performance_task/u3_2_performance_task_teacher_guide.html" TargetMode="External"/><Relationship Id="rId1386" Type="http://schemas.openxmlformats.org/officeDocument/2006/relationships/hyperlink" Target="https://tnezki.github.io/physics/activities/u5_1_act1/u5_1_act1.html" TargetMode="External"/><Relationship Id="rId2233" Type="http://schemas.openxmlformats.org/officeDocument/2006/relationships/hyperlink" Target="https://tnezki.github.io/physics/reviews/review7/review_7.html" TargetMode="External"/><Relationship Id="rId310" Type="http://schemas.openxmlformats.org/officeDocument/2006/relationships/hyperlink" Target="https://tnezki.github.io/physics/practice_sets/practice_sets_1_5/practice_set_1_5_2.html" TargetMode="External"/><Relationship Id="rId794" Type="http://schemas.openxmlformats.org/officeDocument/2006/relationships/hyperlink" Target="https://tnezki.github.io/physics/investigations/u3_2_investigation/u3_2_investigation_teacher_guide.html" TargetMode="External"/><Relationship Id="rId1387" Type="http://schemas.openxmlformats.org/officeDocument/2006/relationships/hyperlink" Target="https://tnezki.github.io/physics/practice_sets/practice_sets_5_1/practice_set_5_1.html" TargetMode="External"/><Relationship Id="rId2234" Type="http://schemas.openxmlformats.org/officeDocument/2006/relationships/hyperlink" Target="https://tnezki.github.io/physics/notes/u7_4_notes/u7_4_notes_teacher.html" TargetMode="External"/><Relationship Id="rId793" Type="http://schemas.openxmlformats.org/officeDocument/2006/relationships/hyperlink" Target="https://tnezki.github.io/physics/demo/u3_2_demo/u3_2_demo_teacher_guide.html" TargetMode="External"/><Relationship Id="rId1388" Type="http://schemas.openxmlformats.org/officeDocument/2006/relationships/hyperlink" Target="https://tnezki.github.io/physics/practice_sets/practice_sets_5_1/extra_practice_5_1.html" TargetMode="External"/><Relationship Id="rId2235" Type="http://schemas.openxmlformats.org/officeDocument/2006/relationships/hyperlink" Target="https://tnezki.github.io/physics/demo/u7_4_demo/u7_4_demo_teacher_guide.html" TargetMode="External"/><Relationship Id="rId297" Type="http://schemas.openxmlformats.org/officeDocument/2006/relationships/hyperlink" Target="https://tnezki.github.io/physics/practice_sets/practice_sets_1_5/practice_set_1_5.html" TargetMode="External"/><Relationship Id="rId296" Type="http://schemas.openxmlformats.org/officeDocument/2006/relationships/hyperlink" Target="https://tnezki.github.io/physics/activities/u1_5_act1/u1_5_act1.html" TargetMode="External"/><Relationship Id="rId295" Type="http://schemas.openxmlformats.org/officeDocument/2006/relationships/hyperlink" Target="https://tnezki.github.io/physics/investigations/u1_5_investigation/u1_5_investigation.html" TargetMode="External"/><Relationship Id="rId294" Type="http://schemas.openxmlformats.org/officeDocument/2006/relationships/hyperlink" Target="https://tnezki.github.io/physics/notes/u1_5_notes/u1_5_notes.html" TargetMode="External"/><Relationship Id="rId299" Type="http://schemas.openxmlformats.org/officeDocument/2006/relationships/hyperlink" Target="https://tnezki.github.io/physics/practice_sets/practice_sets_1_5/cyu_1_5.html" TargetMode="External"/><Relationship Id="rId298" Type="http://schemas.openxmlformats.org/officeDocument/2006/relationships/hyperlink" Target="https://tnezki.github.io/physics/practice_sets/practice_sets_1_5/extra_practice_1_5.html" TargetMode="External"/><Relationship Id="rId271" Type="http://schemas.openxmlformats.org/officeDocument/2006/relationships/hyperlink" Target="https://tnezki.github.io/physics/demo/u1_4_demo/u1_4_demo.html" TargetMode="External"/><Relationship Id="rId270" Type="http://schemas.openxmlformats.org/officeDocument/2006/relationships/hyperlink" Target="https://tnezki.github.io/physics/warmups/unit_1_warmups/unit_1_warmups.html" TargetMode="External"/><Relationship Id="rId269" Type="http://schemas.openxmlformats.org/officeDocument/2006/relationships/hyperlink" Target="https://tnezki.github.io/physics/banks/unit1/unit1.html" TargetMode="External"/><Relationship Id="rId264" Type="http://schemas.openxmlformats.org/officeDocument/2006/relationships/hyperlink" Target="https://tnezki.github.io/physics/quick_check____htq5855/u1_4_quick_check/u1_4_quick_check.html" TargetMode="External"/><Relationship Id="rId263" Type="http://schemas.openxmlformats.org/officeDocument/2006/relationships/hyperlink" Target="https://tnezki.github.io/physics/performance_task___5134zrt/u1_4_performance_task/u1_4_performance_task.html" TargetMode="External"/><Relationship Id="rId262" Type="http://schemas.openxmlformats.org/officeDocument/2006/relationships/hyperlink" Target="https://tnezki.github.io/physics/assessments_zxrtjp/unit1_assessment_plan/unit1_assessment_plan.html" TargetMode="External"/><Relationship Id="rId261" Type="http://schemas.openxmlformats.org/officeDocument/2006/relationships/hyperlink" Target="https://tnezki.github.io/physics/performance_task___5134zrt/u1_4_performance_task/u1_4_performance_task_teacher_guide.html" TargetMode="External"/><Relationship Id="rId268" Type="http://schemas.openxmlformats.org/officeDocument/2006/relationships/hyperlink" Target="https://tnezki.github.io/physics/assessments_zxrtjp/unit1_summative/unit1_summative_assessment.html" TargetMode="External"/><Relationship Id="rId267" Type="http://schemas.openxmlformats.org/officeDocument/2006/relationships/hyperlink" Target="https://tnezki.github.io/physics/practice_sets/practice_sets_1_4/practice_set_1_4_3.html" TargetMode="External"/><Relationship Id="rId266" Type="http://schemas.openxmlformats.org/officeDocument/2006/relationships/hyperlink" Target="https://tnezki.github.io/physics/practice_sets/practice_sets_1_4/practice_set_1_4_2.html" TargetMode="External"/><Relationship Id="rId265" Type="http://schemas.openxmlformats.org/officeDocument/2006/relationships/hyperlink" Target="https://tnezki.github.io/physics/exit/exit1/exit_1.html" TargetMode="External"/><Relationship Id="rId260" Type="http://schemas.openxmlformats.org/officeDocument/2006/relationships/hyperlink" Target="https://tnezki.github.io/physics/investigations/u1_4_investigation/u1_4_investigation_teacher_guide.html" TargetMode="External"/><Relationship Id="rId259" Type="http://schemas.openxmlformats.org/officeDocument/2006/relationships/hyperlink" Target="https://tnezki.github.io/physics/demo/u1_4_demo/u1_4_demo_teacher_guide.html" TargetMode="External"/><Relationship Id="rId258" Type="http://schemas.openxmlformats.org/officeDocument/2006/relationships/hyperlink" Target="https://tnezki.github.io/physics/notes/u1_4_notes/u1_4_notes_teacher.html" TargetMode="External"/><Relationship Id="rId2290" Type="http://schemas.openxmlformats.org/officeDocument/2006/relationships/hyperlink" Target="https://tnezki.github.io/physics/warmups/unit_7_warmups/unit_7_warmups.html" TargetMode="External"/><Relationship Id="rId2291" Type="http://schemas.openxmlformats.org/officeDocument/2006/relationships/hyperlink" Target="https://tnezki.github.io/physics/demo/u7_5_demo/u7_5_demo.html" TargetMode="External"/><Relationship Id="rId2292" Type="http://schemas.openxmlformats.org/officeDocument/2006/relationships/hyperlink" Target="https://tnezki.github.io/physics/notes/u7_5_notes/u7_5_notes.html" TargetMode="External"/><Relationship Id="rId2293" Type="http://schemas.openxmlformats.org/officeDocument/2006/relationships/hyperlink" Target="https://tnezki.github.io/physics/investigations/u7_5_investigation/u7_5_investigation.html" TargetMode="External"/><Relationship Id="rId253" Type="http://schemas.openxmlformats.org/officeDocument/2006/relationships/hyperlink" Target="https://tnezki.github.io/physics/practice_sets/practice_sets_1_4/practice_set_1_4.html" TargetMode="External"/><Relationship Id="rId2294" Type="http://schemas.openxmlformats.org/officeDocument/2006/relationships/hyperlink" Target="https://tnezki.github.io/physics/activities/u7_5_act1/u7_5_act1.html" TargetMode="External"/><Relationship Id="rId252" Type="http://schemas.openxmlformats.org/officeDocument/2006/relationships/hyperlink" Target="https://tnezki.github.io/physics/activities/u1_4_act1/u1_4_act1.html" TargetMode="External"/><Relationship Id="rId2295" Type="http://schemas.openxmlformats.org/officeDocument/2006/relationships/hyperlink" Target="https://tnezki.github.io/physics/practice_sets/practice_sets_7_5/practice_set_7_5.html" TargetMode="External"/><Relationship Id="rId251" Type="http://schemas.openxmlformats.org/officeDocument/2006/relationships/hyperlink" Target="https://tnezki.github.io/physics/investigations/u1_4_investigation/u1_4_investigation.html" TargetMode="External"/><Relationship Id="rId2296" Type="http://schemas.openxmlformats.org/officeDocument/2006/relationships/hyperlink" Target="https://tnezki.github.io/physics/practice_sets/practice_sets_7_5/extra_practice_7_5.html" TargetMode="External"/><Relationship Id="rId250" Type="http://schemas.openxmlformats.org/officeDocument/2006/relationships/hyperlink" Target="https://tnezki.github.io/physics/notes/u1_4_notes/u1_4_notes.html" TargetMode="External"/><Relationship Id="rId2297" Type="http://schemas.openxmlformats.org/officeDocument/2006/relationships/hyperlink" Target="https://tnezki.github.io/physics/practice_sets/practice_sets_7_5/cyu_7_5.html" TargetMode="External"/><Relationship Id="rId257" Type="http://schemas.openxmlformats.org/officeDocument/2006/relationships/hyperlink" Target="https://tnezki.github.io/physics/reviews/review1/review_1.html" TargetMode="External"/><Relationship Id="rId2298" Type="http://schemas.openxmlformats.org/officeDocument/2006/relationships/hyperlink" Target="https://tnezki.github.io/physics/progress/unit_7_progress/unit_7_progress.html" TargetMode="External"/><Relationship Id="rId256" Type="http://schemas.openxmlformats.org/officeDocument/2006/relationships/hyperlink" Target="https://tnezki.github.io/physics/progress/unit_1_progress/unit_1_progress.html" TargetMode="External"/><Relationship Id="rId2299" Type="http://schemas.openxmlformats.org/officeDocument/2006/relationships/hyperlink" Target="https://tnezki.github.io/physics/reviews/review7/review_7.html" TargetMode="External"/><Relationship Id="rId255" Type="http://schemas.openxmlformats.org/officeDocument/2006/relationships/hyperlink" Target="https://tnezki.github.io/physics/practice_sets/practice_sets_1_4/cyu_1_4.html" TargetMode="External"/><Relationship Id="rId254" Type="http://schemas.openxmlformats.org/officeDocument/2006/relationships/hyperlink" Target="https://tnezki.github.io/physics/practice_sets/practice_sets_1_4/extra_practice_1_4.html" TargetMode="External"/><Relationship Id="rId293" Type="http://schemas.openxmlformats.org/officeDocument/2006/relationships/hyperlink" Target="https://tnezki.github.io/physics/demo/u1_5_demo/u1_5_demo.html" TargetMode="External"/><Relationship Id="rId292" Type="http://schemas.openxmlformats.org/officeDocument/2006/relationships/hyperlink" Target="https://tnezki.github.io/physics/warmups/unit_1_warmups/unit_1_warmups.html" TargetMode="External"/><Relationship Id="rId291" Type="http://schemas.openxmlformats.org/officeDocument/2006/relationships/hyperlink" Target="https://tnezki.github.io/physics/banks/unit1/unit1.html" TargetMode="External"/><Relationship Id="rId290" Type="http://schemas.openxmlformats.org/officeDocument/2006/relationships/hyperlink" Target="https://tnezki.github.io/physics/assessments_zxrtjp/unit1_summative/unit1_summative_assessment.html" TargetMode="External"/><Relationship Id="rId286" Type="http://schemas.openxmlformats.org/officeDocument/2006/relationships/hyperlink" Target="https://tnezki.github.io/physics/quick_check____htq5855/u1_4_quick_check/u1_4_quick_check.html" TargetMode="External"/><Relationship Id="rId285" Type="http://schemas.openxmlformats.org/officeDocument/2006/relationships/hyperlink" Target="https://tnezki.github.io/physics/performance_task___5134zrt/u1_4_performance_task/u1_4_performance_task.html" TargetMode="External"/><Relationship Id="rId284" Type="http://schemas.openxmlformats.org/officeDocument/2006/relationships/hyperlink" Target="https://tnezki.github.io/physics/assessments_zxrtjp/unit1_assessment_plan/unit1_assessment_plan.html" TargetMode="External"/><Relationship Id="rId283" Type="http://schemas.openxmlformats.org/officeDocument/2006/relationships/hyperlink" Target="https://tnezki.github.io/physics/performance_task___5134zrt/u1_4_performance_task/u1_4_performance_task_teacher_guide.html" TargetMode="External"/><Relationship Id="rId289" Type="http://schemas.openxmlformats.org/officeDocument/2006/relationships/hyperlink" Target="https://tnezki.github.io/physics/practice_sets/practice_sets_1_4/practice_set_1_4_3.html" TargetMode="External"/><Relationship Id="rId288" Type="http://schemas.openxmlformats.org/officeDocument/2006/relationships/hyperlink" Target="https://tnezki.github.io/physics/practice_sets/practice_sets_1_4/practice_set_1_4_2.html" TargetMode="External"/><Relationship Id="rId287" Type="http://schemas.openxmlformats.org/officeDocument/2006/relationships/hyperlink" Target="https://tnezki.github.io/physics/exit/exit1/exit_1.html" TargetMode="External"/><Relationship Id="rId282" Type="http://schemas.openxmlformats.org/officeDocument/2006/relationships/hyperlink" Target="https://tnezki.github.io/physics/investigations/u1_4_investigation/u1_4_investigation_teacher_guide.html" TargetMode="External"/><Relationship Id="rId281" Type="http://schemas.openxmlformats.org/officeDocument/2006/relationships/hyperlink" Target="https://tnezki.github.io/physics/demo/u1_4_demo/u1_4_demo_teacher_guide.html" TargetMode="External"/><Relationship Id="rId280" Type="http://schemas.openxmlformats.org/officeDocument/2006/relationships/hyperlink" Target="https://tnezki.github.io/physics/notes/u1_4_notes/u1_4_notes_teacher.html" TargetMode="External"/><Relationship Id="rId275" Type="http://schemas.openxmlformats.org/officeDocument/2006/relationships/hyperlink" Target="https://tnezki.github.io/physics/practice_sets/practice_sets_1_4/practice_set_1_4.html" TargetMode="External"/><Relationship Id="rId274" Type="http://schemas.openxmlformats.org/officeDocument/2006/relationships/hyperlink" Target="https://tnezki.github.io/physics/activities/u1_4_act1/u1_4_act1.html" TargetMode="External"/><Relationship Id="rId273" Type="http://schemas.openxmlformats.org/officeDocument/2006/relationships/hyperlink" Target="https://tnezki.github.io/physics/investigations/u1_4_investigation/u1_4_investigation.html" TargetMode="External"/><Relationship Id="rId272" Type="http://schemas.openxmlformats.org/officeDocument/2006/relationships/hyperlink" Target="https://tnezki.github.io/physics/notes/u1_4_notes/u1_4_notes.html" TargetMode="External"/><Relationship Id="rId279" Type="http://schemas.openxmlformats.org/officeDocument/2006/relationships/hyperlink" Target="https://tnezki.github.io/physics/reviews/review1/review_1.html" TargetMode="External"/><Relationship Id="rId278" Type="http://schemas.openxmlformats.org/officeDocument/2006/relationships/hyperlink" Target="https://tnezki.github.io/physics/progress/unit_1_progress/unit_1_progress.html" TargetMode="External"/><Relationship Id="rId277" Type="http://schemas.openxmlformats.org/officeDocument/2006/relationships/hyperlink" Target="https://tnezki.github.io/physics/practice_sets/practice_sets_1_4/cyu_1_4.html" TargetMode="External"/><Relationship Id="rId276" Type="http://schemas.openxmlformats.org/officeDocument/2006/relationships/hyperlink" Target="https://tnezki.github.io/physics/practice_sets/practice_sets_1_4/extra_practice_1_4.html" TargetMode="External"/><Relationship Id="rId1851" Type="http://schemas.openxmlformats.org/officeDocument/2006/relationships/hyperlink" Target="https://tnezki.github.io/physics/activities/u6_3_act1/u6_3_act1.html" TargetMode="External"/><Relationship Id="rId1852" Type="http://schemas.openxmlformats.org/officeDocument/2006/relationships/hyperlink" Target="https://tnezki.github.io/physics/practice_sets/practice_sets_6_3/practice_set_6_3.html" TargetMode="External"/><Relationship Id="rId1853" Type="http://schemas.openxmlformats.org/officeDocument/2006/relationships/hyperlink" Target="https://tnezki.github.io/physics/practice_sets/practice_sets_6_3/extra_practice_6_3.html" TargetMode="External"/><Relationship Id="rId1854" Type="http://schemas.openxmlformats.org/officeDocument/2006/relationships/hyperlink" Target="https://tnezki.github.io/physics/practice_sets/practice_sets_6_3/cyu_6_3.html" TargetMode="External"/><Relationship Id="rId1855" Type="http://schemas.openxmlformats.org/officeDocument/2006/relationships/hyperlink" Target="https://tnezki.github.io/physics/progress/unit_6_progress/unit_6_progress.html" TargetMode="External"/><Relationship Id="rId1856" Type="http://schemas.openxmlformats.org/officeDocument/2006/relationships/hyperlink" Target="https://tnezki.github.io/physics/reviews/review6/review_6.html" TargetMode="External"/><Relationship Id="rId1857" Type="http://schemas.openxmlformats.org/officeDocument/2006/relationships/hyperlink" Target="https://tnezki.github.io/physics/notes/u6_3_notes/u6_3_notes_teacher.html" TargetMode="External"/><Relationship Id="rId1858" Type="http://schemas.openxmlformats.org/officeDocument/2006/relationships/hyperlink" Target="https://tnezki.github.io/physics/demo/u6_3_demo/u6_3_demo_teacher_guide.html" TargetMode="External"/><Relationship Id="rId1859" Type="http://schemas.openxmlformats.org/officeDocument/2006/relationships/hyperlink" Target="https://tnezki.github.io/physics/investigations/u6_3_investigation/u6_3_investigation_teacher_guide.html" TargetMode="External"/><Relationship Id="rId1850" Type="http://schemas.openxmlformats.org/officeDocument/2006/relationships/hyperlink" Target="https://tnezki.github.io/physics/investigations/u6_3_investigation/u6_3_investigation.html" TargetMode="External"/><Relationship Id="rId1840" Type="http://schemas.openxmlformats.org/officeDocument/2006/relationships/hyperlink" Target="https://tnezki.github.io/physics/performance_task___5134zrt/u6_3_performance_task/u6_3_performance_task.html" TargetMode="External"/><Relationship Id="rId1841" Type="http://schemas.openxmlformats.org/officeDocument/2006/relationships/hyperlink" Target="https://tnezki.github.io/physics/quick_check____htq5855/u6_3_quick_check/u6_3_quick_check.html" TargetMode="External"/><Relationship Id="rId1842" Type="http://schemas.openxmlformats.org/officeDocument/2006/relationships/hyperlink" Target="https://tnezki.github.io/physics/exit/exit6/exit_6.html" TargetMode="External"/><Relationship Id="rId1843" Type="http://schemas.openxmlformats.org/officeDocument/2006/relationships/hyperlink" Target="https://tnezki.github.io/physics/practice_sets/practice_sets_6_3/practice_set_6_3_2.html" TargetMode="External"/><Relationship Id="rId1844" Type="http://schemas.openxmlformats.org/officeDocument/2006/relationships/hyperlink" Target="https://tnezki.github.io/physics/practice_sets/practice_sets_6_3/practice_set_6_3_3.html" TargetMode="External"/><Relationship Id="rId1845" Type="http://schemas.openxmlformats.org/officeDocument/2006/relationships/hyperlink" Target="https://tnezki.github.io/physics/assessments_zxrtjp/unit6_summative/unit6_summative_assessment.html" TargetMode="External"/><Relationship Id="rId1846" Type="http://schemas.openxmlformats.org/officeDocument/2006/relationships/hyperlink" Target="https://tnezki.github.io/physics/banks/unit6/unit6.html" TargetMode="External"/><Relationship Id="rId1847" Type="http://schemas.openxmlformats.org/officeDocument/2006/relationships/hyperlink" Target="https://tnezki.github.io/physics/warmups/unit_6_warmups/unit_6_warmups.html" TargetMode="External"/><Relationship Id="rId1848" Type="http://schemas.openxmlformats.org/officeDocument/2006/relationships/hyperlink" Target="https://tnezki.github.io/physics/demo/u6_3_demo/u6_3_demo.html" TargetMode="External"/><Relationship Id="rId1849" Type="http://schemas.openxmlformats.org/officeDocument/2006/relationships/hyperlink" Target="https://tnezki.github.io/physics/notes/u6_3_notes/u6_3_notes.html" TargetMode="External"/><Relationship Id="rId1873" Type="http://schemas.openxmlformats.org/officeDocument/2006/relationships/hyperlink" Target="https://tnezki.github.io/physics/activities/u6_3_act1/u6_3_act1.html" TargetMode="External"/><Relationship Id="rId1874" Type="http://schemas.openxmlformats.org/officeDocument/2006/relationships/hyperlink" Target="https://tnezki.github.io/physics/practice_sets/practice_sets_6_3/practice_set_6_3.html" TargetMode="External"/><Relationship Id="rId1875" Type="http://schemas.openxmlformats.org/officeDocument/2006/relationships/hyperlink" Target="https://tnezki.github.io/physics/practice_sets/practice_sets_6_3/extra_practice_6_3.html" TargetMode="External"/><Relationship Id="rId1876" Type="http://schemas.openxmlformats.org/officeDocument/2006/relationships/hyperlink" Target="https://tnezki.github.io/physics/practice_sets/practice_sets_6_3/cyu_6_3.html" TargetMode="External"/><Relationship Id="rId1877" Type="http://schemas.openxmlformats.org/officeDocument/2006/relationships/hyperlink" Target="https://tnezki.github.io/physics/progress/unit_6_progress/unit_6_progress.html" TargetMode="External"/><Relationship Id="rId1878" Type="http://schemas.openxmlformats.org/officeDocument/2006/relationships/hyperlink" Target="https://tnezki.github.io/physics/reviews/review6/review_6.html" TargetMode="External"/><Relationship Id="rId1879" Type="http://schemas.openxmlformats.org/officeDocument/2006/relationships/hyperlink" Target="https://tnezki.github.io/physics/notes/u6_3_notes/u6_3_notes_teacher.html" TargetMode="External"/><Relationship Id="rId1870" Type="http://schemas.openxmlformats.org/officeDocument/2006/relationships/hyperlink" Target="https://tnezki.github.io/physics/demo/u6_3_demo/u6_3_demo.html" TargetMode="External"/><Relationship Id="rId1871" Type="http://schemas.openxmlformats.org/officeDocument/2006/relationships/hyperlink" Target="https://tnezki.github.io/physics/notes/u6_3_notes/u6_3_notes.html" TargetMode="External"/><Relationship Id="rId1872" Type="http://schemas.openxmlformats.org/officeDocument/2006/relationships/hyperlink" Target="https://tnezki.github.io/physics/investigations/u6_3_investigation/u6_3_investigation.html" TargetMode="External"/><Relationship Id="rId1862" Type="http://schemas.openxmlformats.org/officeDocument/2006/relationships/hyperlink" Target="https://tnezki.github.io/physics/performance_task___5134zrt/u6_3_performance_task/u6_3_performance_task.html" TargetMode="External"/><Relationship Id="rId1863" Type="http://schemas.openxmlformats.org/officeDocument/2006/relationships/hyperlink" Target="https://tnezki.github.io/physics/quick_check____htq5855/u6_3_quick_check/u6_3_quick_check.html" TargetMode="External"/><Relationship Id="rId1864" Type="http://schemas.openxmlformats.org/officeDocument/2006/relationships/hyperlink" Target="https://tnezki.github.io/physics/exit/exit6/exit_6.html" TargetMode="External"/><Relationship Id="rId1865" Type="http://schemas.openxmlformats.org/officeDocument/2006/relationships/hyperlink" Target="https://tnezki.github.io/physics/practice_sets/practice_sets_6_3/practice_set_6_3_2.html" TargetMode="External"/><Relationship Id="rId1866" Type="http://schemas.openxmlformats.org/officeDocument/2006/relationships/hyperlink" Target="https://tnezki.github.io/physics/practice_sets/practice_sets_6_3/practice_set_6_3_3.html" TargetMode="External"/><Relationship Id="rId1867" Type="http://schemas.openxmlformats.org/officeDocument/2006/relationships/hyperlink" Target="https://tnezki.github.io/physics/assessments_zxrtjp/unit6_summative/unit6_summative_assessment.html" TargetMode="External"/><Relationship Id="rId1868" Type="http://schemas.openxmlformats.org/officeDocument/2006/relationships/hyperlink" Target="https://tnezki.github.io/physics/banks/unit6/unit6.html" TargetMode="External"/><Relationship Id="rId1869" Type="http://schemas.openxmlformats.org/officeDocument/2006/relationships/hyperlink" Target="https://tnezki.github.io/physics/warmups/unit_6_warmups/unit_6_warmups.html" TargetMode="External"/><Relationship Id="rId1860" Type="http://schemas.openxmlformats.org/officeDocument/2006/relationships/hyperlink" Target="https://tnezki.github.io/physics/performance_task___5134zrt/u6_3_performance_task/u6_3_performance_task_teacher_guide.html" TargetMode="External"/><Relationship Id="rId1861" Type="http://schemas.openxmlformats.org/officeDocument/2006/relationships/hyperlink" Target="https://tnezki.github.io/physics/assessments_zxrtjp/unit6_assessment_plan/unit6_assessment_plan.html" TargetMode="External"/><Relationship Id="rId1810" Type="http://schemas.openxmlformats.org/officeDocument/2006/relationships/hyperlink" Target="https://tnezki.github.io/physics/practice_sets/practice_sets_6_2/cyu_6_2.html" TargetMode="External"/><Relationship Id="rId1811" Type="http://schemas.openxmlformats.org/officeDocument/2006/relationships/hyperlink" Target="https://tnezki.github.io/physics/progress/unit_6_progress/unit_6_progress.html" TargetMode="External"/><Relationship Id="rId1812" Type="http://schemas.openxmlformats.org/officeDocument/2006/relationships/hyperlink" Target="https://tnezki.github.io/physics/reviews/review6/review_6.html" TargetMode="External"/><Relationship Id="rId1813" Type="http://schemas.openxmlformats.org/officeDocument/2006/relationships/hyperlink" Target="https://tnezki.github.io/physics/notes/u6_2_notes/u6_2_notes_teacher.html" TargetMode="External"/><Relationship Id="rId1814" Type="http://schemas.openxmlformats.org/officeDocument/2006/relationships/hyperlink" Target="https://tnezki.github.io/physics/demo/u6_2_demo/u6_2_demo_teacher_guide.html" TargetMode="External"/><Relationship Id="rId1815" Type="http://schemas.openxmlformats.org/officeDocument/2006/relationships/hyperlink" Target="https://tnezki.github.io/physics/investigations/u6_2_investigation/u6_2_investigation_teacher_guide.html" TargetMode="External"/><Relationship Id="rId1816" Type="http://schemas.openxmlformats.org/officeDocument/2006/relationships/hyperlink" Target="https://tnezki.github.io/physics/performance_task___5134zrt/u6_2_performance_task/u6_2_performance_task_teacher_guide.html" TargetMode="External"/><Relationship Id="rId1817" Type="http://schemas.openxmlformats.org/officeDocument/2006/relationships/hyperlink" Target="https://tnezki.github.io/physics/assessments_zxrtjp/unit6_assessment_plan/unit6_assessment_plan.html" TargetMode="External"/><Relationship Id="rId1818" Type="http://schemas.openxmlformats.org/officeDocument/2006/relationships/hyperlink" Target="https://tnezki.github.io/physics/performance_task___5134zrt/u6_2_performance_task/u6_2_performance_task.html" TargetMode="External"/><Relationship Id="rId1819" Type="http://schemas.openxmlformats.org/officeDocument/2006/relationships/hyperlink" Target="https://tnezki.github.io/physics/quick_check____htq5855/u6_2_quick_check/u6_2_quick_check.html" TargetMode="External"/><Relationship Id="rId1800" Type="http://schemas.openxmlformats.org/officeDocument/2006/relationships/hyperlink" Target="https://tnezki.github.io/physics/practice_sets/practice_sets_6_2/practice_set_6_2_3.html" TargetMode="External"/><Relationship Id="rId1801" Type="http://schemas.openxmlformats.org/officeDocument/2006/relationships/hyperlink" Target="https://tnezki.github.io/physics/assessments_zxrtjp/unit6_summative/unit6_summative_assessment.html" TargetMode="External"/><Relationship Id="rId1802" Type="http://schemas.openxmlformats.org/officeDocument/2006/relationships/hyperlink" Target="https://tnezki.github.io/physics/banks/unit6/unit6.html" TargetMode="External"/><Relationship Id="rId1803" Type="http://schemas.openxmlformats.org/officeDocument/2006/relationships/hyperlink" Target="https://tnezki.github.io/physics/warmups/unit_6_warmups/unit_6_warmups.html" TargetMode="External"/><Relationship Id="rId1804" Type="http://schemas.openxmlformats.org/officeDocument/2006/relationships/hyperlink" Target="https://tnezki.github.io/physics/demo/u6_2_demo/u6_2_demo.html" TargetMode="External"/><Relationship Id="rId1805" Type="http://schemas.openxmlformats.org/officeDocument/2006/relationships/hyperlink" Target="https://tnezki.github.io/physics/notes/u6_2_notes/u6_2_notes.html" TargetMode="External"/><Relationship Id="rId1806" Type="http://schemas.openxmlformats.org/officeDocument/2006/relationships/hyperlink" Target="https://tnezki.github.io/physics/investigations/u6_2_investigation/u6_2_investigation.html" TargetMode="External"/><Relationship Id="rId1807" Type="http://schemas.openxmlformats.org/officeDocument/2006/relationships/hyperlink" Target="https://tnezki.github.io/physics/activities/u6_2_act1/u6_2_act1.html" TargetMode="External"/><Relationship Id="rId1808" Type="http://schemas.openxmlformats.org/officeDocument/2006/relationships/hyperlink" Target="https://tnezki.github.io/physics/practice_sets/practice_sets_6_2/practice_set_6_2.html" TargetMode="External"/><Relationship Id="rId1809" Type="http://schemas.openxmlformats.org/officeDocument/2006/relationships/hyperlink" Target="https://tnezki.github.io/physics/practice_sets/practice_sets_6_2/extra_practice_6_2.html" TargetMode="External"/><Relationship Id="rId1830" Type="http://schemas.openxmlformats.org/officeDocument/2006/relationships/hyperlink" Target="https://tnezki.github.io/physics/practice_sets/practice_sets_6_3/practice_set_6_3.html" TargetMode="External"/><Relationship Id="rId1831" Type="http://schemas.openxmlformats.org/officeDocument/2006/relationships/hyperlink" Target="https://tnezki.github.io/physics/practice_sets/practice_sets_6_3/extra_practice_6_3.html" TargetMode="External"/><Relationship Id="rId1832" Type="http://schemas.openxmlformats.org/officeDocument/2006/relationships/hyperlink" Target="https://tnezki.github.io/physics/practice_sets/practice_sets_6_3/cyu_6_3.html" TargetMode="External"/><Relationship Id="rId1833" Type="http://schemas.openxmlformats.org/officeDocument/2006/relationships/hyperlink" Target="https://tnezki.github.io/physics/progress/unit_6_progress/unit_6_progress.html" TargetMode="External"/><Relationship Id="rId1834" Type="http://schemas.openxmlformats.org/officeDocument/2006/relationships/hyperlink" Target="https://tnezki.github.io/physics/reviews/review6/review_6.html" TargetMode="External"/><Relationship Id="rId1835" Type="http://schemas.openxmlformats.org/officeDocument/2006/relationships/hyperlink" Target="https://tnezki.github.io/physics/notes/u6_3_notes/u6_3_notes_teacher.html" TargetMode="External"/><Relationship Id="rId1836" Type="http://schemas.openxmlformats.org/officeDocument/2006/relationships/hyperlink" Target="https://tnezki.github.io/physics/demo/u6_3_demo/u6_3_demo_teacher_guide.html" TargetMode="External"/><Relationship Id="rId1837" Type="http://schemas.openxmlformats.org/officeDocument/2006/relationships/hyperlink" Target="https://tnezki.github.io/physics/investigations/u6_3_investigation/u6_3_investigation_teacher_guide.html" TargetMode="External"/><Relationship Id="rId1838" Type="http://schemas.openxmlformats.org/officeDocument/2006/relationships/hyperlink" Target="https://tnezki.github.io/physics/performance_task___5134zrt/u6_3_performance_task/u6_3_performance_task_teacher_guide.html" TargetMode="External"/><Relationship Id="rId1839" Type="http://schemas.openxmlformats.org/officeDocument/2006/relationships/hyperlink" Target="https://tnezki.github.io/physics/assessments_zxrtjp/unit6_assessment_plan/unit6_assessment_plan.html" TargetMode="External"/><Relationship Id="rId1820" Type="http://schemas.openxmlformats.org/officeDocument/2006/relationships/hyperlink" Target="https://tnezki.github.io/physics/exit/exit6/exit_6.html" TargetMode="External"/><Relationship Id="rId1821" Type="http://schemas.openxmlformats.org/officeDocument/2006/relationships/hyperlink" Target="https://tnezki.github.io/physics/practice_sets/practice_sets_6_2/practice_set_6_2_2.html" TargetMode="External"/><Relationship Id="rId1822" Type="http://schemas.openxmlformats.org/officeDocument/2006/relationships/hyperlink" Target="https://tnezki.github.io/physics/practice_sets/practice_sets_6_2/practice_set_6_2_3.html" TargetMode="External"/><Relationship Id="rId1823" Type="http://schemas.openxmlformats.org/officeDocument/2006/relationships/hyperlink" Target="https://tnezki.github.io/physics/assessments_zxrtjp/unit6_summative/unit6_summative_assessment.html" TargetMode="External"/><Relationship Id="rId1824" Type="http://schemas.openxmlformats.org/officeDocument/2006/relationships/hyperlink" Target="https://tnezki.github.io/physics/banks/unit6/unit6.html" TargetMode="External"/><Relationship Id="rId1825" Type="http://schemas.openxmlformats.org/officeDocument/2006/relationships/hyperlink" Target="https://tnezki.github.io/physics/warmups/unit_6_warmups/unit_6_warmups.html" TargetMode="External"/><Relationship Id="rId1826" Type="http://schemas.openxmlformats.org/officeDocument/2006/relationships/hyperlink" Target="https://tnezki.github.io/physics/demo/u6_3_demo/u6_3_demo.html" TargetMode="External"/><Relationship Id="rId1827" Type="http://schemas.openxmlformats.org/officeDocument/2006/relationships/hyperlink" Target="https://tnezki.github.io/physics/notes/u6_3_notes/u6_3_notes.html" TargetMode="External"/><Relationship Id="rId1828" Type="http://schemas.openxmlformats.org/officeDocument/2006/relationships/hyperlink" Target="https://tnezki.github.io/physics/investigations/u6_3_investigation/u6_3_investigation.html" TargetMode="External"/><Relationship Id="rId1829" Type="http://schemas.openxmlformats.org/officeDocument/2006/relationships/hyperlink" Target="https://tnezki.github.io/physics/activities/u6_3_act1/u6_3_act1.html" TargetMode="External"/><Relationship Id="rId1455" Type="http://schemas.openxmlformats.org/officeDocument/2006/relationships/hyperlink" Target="https://tnezki.github.io/physics/practice_sets/practice_sets_5_2/cyu_5_2.html" TargetMode="External"/><Relationship Id="rId2302" Type="http://schemas.openxmlformats.org/officeDocument/2006/relationships/hyperlink" Target="https://tnezki.github.io/physics/investigations/u7_5_investigation/u7_5_investigation_teacher_guide.html" TargetMode="External"/><Relationship Id="rId1456" Type="http://schemas.openxmlformats.org/officeDocument/2006/relationships/hyperlink" Target="https://tnezki.github.io/physics/progress/unit_5_progress/unit_5_progress.html" TargetMode="External"/><Relationship Id="rId2303" Type="http://schemas.openxmlformats.org/officeDocument/2006/relationships/hyperlink" Target="https://tnezki.github.io/physics/performance_task___5134zrt/u7_5_performance_task/u7_5_performance_task_teacher_guide.html" TargetMode="External"/><Relationship Id="rId1457" Type="http://schemas.openxmlformats.org/officeDocument/2006/relationships/hyperlink" Target="https://tnezki.github.io/physics/reviews/review5/review_5.html" TargetMode="External"/><Relationship Id="rId2304" Type="http://schemas.openxmlformats.org/officeDocument/2006/relationships/hyperlink" Target="https://tnezki.github.io/physics/assessments_zxrtjp/unit7_assessment_plan/unit7_assessment_plan.html" TargetMode="External"/><Relationship Id="rId1458" Type="http://schemas.openxmlformats.org/officeDocument/2006/relationships/hyperlink" Target="https://tnezki.github.io/physics/notes/u5_2_notes/u5_2_notes_teacher.html" TargetMode="External"/><Relationship Id="rId2305" Type="http://schemas.openxmlformats.org/officeDocument/2006/relationships/hyperlink" Target="https://tnezki.github.io/physics/performance_task___5134zrt/u7_5_performance_task/u7_5_performance_task.html" TargetMode="External"/><Relationship Id="rId1459" Type="http://schemas.openxmlformats.org/officeDocument/2006/relationships/hyperlink" Target="https://tnezki.github.io/physics/demo/u5_2_demo/u5_2_demo_teacher_guide.html" TargetMode="External"/><Relationship Id="rId2306" Type="http://schemas.openxmlformats.org/officeDocument/2006/relationships/hyperlink" Target="https://tnezki.github.io/physics/quick_check____htq5855/u7_5_quick_check/u7_5_quick_check.html" TargetMode="External"/><Relationship Id="rId2307" Type="http://schemas.openxmlformats.org/officeDocument/2006/relationships/hyperlink" Target="https://tnezki.github.io/physics/exit/exit7/exit_7.html" TargetMode="External"/><Relationship Id="rId2308" Type="http://schemas.openxmlformats.org/officeDocument/2006/relationships/hyperlink" Target="https://tnezki.github.io/physics/practice_sets/practice_sets_7_5/practice_set_7_5_2.html" TargetMode="External"/><Relationship Id="rId2309" Type="http://schemas.openxmlformats.org/officeDocument/2006/relationships/hyperlink" Target="https://tnezki.github.io/physics/practice_sets/practice_sets_7_5/practice_set_7_5_3.html" TargetMode="External"/><Relationship Id="rId629" Type="http://schemas.openxmlformats.org/officeDocument/2006/relationships/hyperlink" Target="https://tnezki.github.io/physics/activities/u2_5_act1/u2_5_act1.html" TargetMode="External"/><Relationship Id="rId624" Type="http://schemas.openxmlformats.org/officeDocument/2006/relationships/hyperlink" Target="https://tnezki.github.io/physics/banks/unit2/unit2.html" TargetMode="External"/><Relationship Id="rId623" Type="http://schemas.openxmlformats.org/officeDocument/2006/relationships/hyperlink" Target="https://tnezki.github.io/physics/assessments_zxrtjp/unit2_summative/unit2_summative_assessment.html" TargetMode="External"/><Relationship Id="rId622" Type="http://schemas.openxmlformats.org/officeDocument/2006/relationships/hyperlink" Target="https://tnezki.github.io/physics/practice_sets/practice_sets_2_4/practice_set_2_4_3.html" TargetMode="External"/><Relationship Id="rId621" Type="http://schemas.openxmlformats.org/officeDocument/2006/relationships/hyperlink" Target="https://tnezki.github.io/physics/practice_sets/practice_sets_2_4/practice_set_2_4_2.html" TargetMode="External"/><Relationship Id="rId628" Type="http://schemas.openxmlformats.org/officeDocument/2006/relationships/hyperlink" Target="https://tnezki.github.io/physics/investigations/u2_5_investigation/u2_5_investigation.html" TargetMode="External"/><Relationship Id="rId627" Type="http://schemas.openxmlformats.org/officeDocument/2006/relationships/hyperlink" Target="https://tnezki.github.io/physics/notes/u2_5_notes/u2_5_notes.html" TargetMode="External"/><Relationship Id="rId626" Type="http://schemas.openxmlformats.org/officeDocument/2006/relationships/hyperlink" Target="https://tnezki.github.io/physics/demo/u2_5_demo/u2_5_demo.html" TargetMode="External"/><Relationship Id="rId625" Type="http://schemas.openxmlformats.org/officeDocument/2006/relationships/hyperlink" Target="https://tnezki.github.io/physics/warmups/unit_2_warmups/unit_2_warmups.html" TargetMode="External"/><Relationship Id="rId1450" Type="http://schemas.openxmlformats.org/officeDocument/2006/relationships/hyperlink" Target="https://tnezki.github.io/physics/notes/u5_2_notes/u5_2_notes.html" TargetMode="External"/><Relationship Id="rId620" Type="http://schemas.openxmlformats.org/officeDocument/2006/relationships/hyperlink" Target="https://tnezki.github.io/physics/exit/exit2/exit_2.html" TargetMode="External"/><Relationship Id="rId1451" Type="http://schemas.openxmlformats.org/officeDocument/2006/relationships/hyperlink" Target="https://tnezki.github.io/physics/investigations/u5_2_investigation/u5_2_investigation.html" TargetMode="External"/><Relationship Id="rId1452" Type="http://schemas.openxmlformats.org/officeDocument/2006/relationships/hyperlink" Target="https://tnezki.github.io/physics/activities/u5_2_act1/u5_2_act1.html" TargetMode="External"/><Relationship Id="rId1453" Type="http://schemas.openxmlformats.org/officeDocument/2006/relationships/hyperlink" Target="https://tnezki.github.io/physics/practice_sets/practice_sets_5_2/practice_set_5_2.html" TargetMode="External"/><Relationship Id="rId2300" Type="http://schemas.openxmlformats.org/officeDocument/2006/relationships/hyperlink" Target="https://tnezki.github.io/physics/notes/u7_5_notes/u7_5_notes_teacher.html" TargetMode="External"/><Relationship Id="rId1454" Type="http://schemas.openxmlformats.org/officeDocument/2006/relationships/hyperlink" Target="https://tnezki.github.io/physics/practice_sets/practice_sets_5_2/extra_practice_5_2.html" TargetMode="External"/><Relationship Id="rId2301" Type="http://schemas.openxmlformats.org/officeDocument/2006/relationships/hyperlink" Target="https://tnezki.github.io/physics/demo/u7_5_demo/u7_5_demo_teacher_guide.html" TargetMode="External"/><Relationship Id="rId1444" Type="http://schemas.openxmlformats.org/officeDocument/2006/relationships/hyperlink" Target="https://tnezki.github.io/physics/practice_sets/practice_sets_5_2/practice_set_5_2_2.html" TargetMode="External"/><Relationship Id="rId1445" Type="http://schemas.openxmlformats.org/officeDocument/2006/relationships/hyperlink" Target="https://tnezki.github.io/physics/practice_sets/practice_sets_5_2/practice_set_5_2_3.html" TargetMode="External"/><Relationship Id="rId1446" Type="http://schemas.openxmlformats.org/officeDocument/2006/relationships/hyperlink" Target="https://tnezki.github.io/physics/assessments_zxrtjp/unit5_summative/unit5_summative_assessment.html" TargetMode="External"/><Relationship Id="rId1447" Type="http://schemas.openxmlformats.org/officeDocument/2006/relationships/hyperlink" Target="https://tnezki.github.io/physics/banks/unit5/unit5.html" TargetMode="External"/><Relationship Id="rId1448" Type="http://schemas.openxmlformats.org/officeDocument/2006/relationships/hyperlink" Target="https://tnezki.github.io/physics/warmups/unit_5_warmups/unit_5_warmups.html" TargetMode="External"/><Relationship Id="rId1449" Type="http://schemas.openxmlformats.org/officeDocument/2006/relationships/hyperlink" Target="https://tnezki.github.io/physics/demo/u5_2_demo/u5_2_demo.html" TargetMode="External"/><Relationship Id="rId619" Type="http://schemas.openxmlformats.org/officeDocument/2006/relationships/hyperlink" Target="https://tnezki.github.io/physics/quick_check____htq5855/u2_4_quick_check/u2_4_quick_check.html" TargetMode="External"/><Relationship Id="rId618" Type="http://schemas.openxmlformats.org/officeDocument/2006/relationships/hyperlink" Target="https://tnezki.github.io/physics/performance_task___5134zrt/u2_4_performance_task/u2_4_performance_task.html" TargetMode="External"/><Relationship Id="rId613" Type="http://schemas.openxmlformats.org/officeDocument/2006/relationships/hyperlink" Target="https://tnezki.github.io/physics/notes/u2_4_notes/u2_4_notes_teacher.html" TargetMode="External"/><Relationship Id="rId612" Type="http://schemas.openxmlformats.org/officeDocument/2006/relationships/hyperlink" Target="https://tnezki.github.io/physics/reviews/review2/review_2.html" TargetMode="External"/><Relationship Id="rId611" Type="http://schemas.openxmlformats.org/officeDocument/2006/relationships/hyperlink" Target="https://tnezki.github.io/physics/progress/unit_2_progress/unit_2_progress.html" TargetMode="External"/><Relationship Id="rId610" Type="http://schemas.openxmlformats.org/officeDocument/2006/relationships/hyperlink" Target="https://tnezki.github.io/physics/practice_sets/practice_sets_2_4/cyu_2_4.html" TargetMode="External"/><Relationship Id="rId617" Type="http://schemas.openxmlformats.org/officeDocument/2006/relationships/hyperlink" Target="https://tnezki.github.io/physics/assessments_zxrtjp/unit2_assessment_plan/unit2_assessment_plan.html" TargetMode="External"/><Relationship Id="rId616" Type="http://schemas.openxmlformats.org/officeDocument/2006/relationships/hyperlink" Target="https://tnezki.github.io/physics/performance_task___5134zrt/u2_4_performance_task/u2_4_performance_task_teacher_guide.html" TargetMode="External"/><Relationship Id="rId615" Type="http://schemas.openxmlformats.org/officeDocument/2006/relationships/hyperlink" Target="https://tnezki.github.io/physics/investigations/u2_4_investigation/u2_4_investigation_teacher_guide.html" TargetMode="External"/><Relationship Id="rId614" Type="http://schemas.openxmlformats.org/officeDocument/2006/relationships/hyperlink" Target="https://tnezki.github.io/physics/demo/u2_4_demo/u2_4_demo_teacher_guide.html" TargetMode="External"/><Relationship Id="rId1440" Type="http://schemas.openxmlformats.org/officeDocument/2006/relationships/hyperlink" Target="https://tnezki.github.io/physics/assessments_zxrtjp/unit5_assessment_plan/unit5_assessment_plan.html" TargetMode="External"/><Relationship Id="rId1441" Type="http://schemas.openxmlformats.org/officeDocument/2006/relationships/hyperlink" Target="https://tnezki.github.io/physics/performance_task___5134zrt/u5_2_performance_task/u5_2_performance_task.html" TargetMode="External"/><Relationship Id="rId1442" Type="http://schemas.openxmlformats.org/officeDocument/2006/relationships/hyperlink" Target="https://tnezki.github.io/physics/quick_check____htq5855/u5_2_quick_check/u5_2_quick_check.html" TargetMode="External"/><Relationship Id="rId1443" Type="http://schemas.openxmlformats.org/officeDocument/2006/relationships/hyperlink" Target="https://tnezki.github.io/physics/exit/exit5/exit_5.html" TargetMode="External"/><Relationship Id="rId1477" Type="http://schemas.openxmlformats.org/officeDocument/2006/relationships/hyperlink" Target="https://tnezki.github.io/physics/practice_sets/practice_sets_5_2/cyu_5_2.html" TargetMode="External"/><Relationship Id="rId2324" Type="http://schemas.openxmlformats.org/officeDocument/2006/relationships/hyperlink" Target="https://tnezki.github.io/physics/investigations/u7_5_investigation/u7_5_investigation_teacher_guide.html" TargetMode="External"/><Relationship Id="rId1478" Type="http://schemas.openxmlformats.org/officeDocument/2006/relationships/hyperlink" Target="https://tnezki.github.io/physics/progress/unit_5_progress/unit_5_progress.html" TargetMode="External"/><Relationship Id="rId2325" Type="http://schemas.openxmlformats.org/officeDocument/2006/relationships/hyperlink" Target="https://tnezki.github.io/physics/performance_task___5134zrt/u7_5_performance_task/u7_5_performance_task_teacher_guide.html" TargetMode="External"/><Relationship Id="rId1479" Type="http://schemas.openxmlformats.org/officeDocument/2006/relationships/hyperlink" Target="https://tnezki.github.io/physics/reviews/review5/review_5.html" TargetMode="External"/><Relationship Id="rId2326" Type="http://schemas.openxmlformats.org/officeDocument/2006/relationships/hyperlink" Target="https://tnezki.github.io/physics/assessments_zxrtjp/unit7_assessment_plan/unit7_assessment_plan.html" TargetMode="External"/><Relationship Id="rId2327" Type="http://schemas.openxmlformats.org/officeDocument/2006/relationships/hyperlink" Target="https://tnezki.github.io/physics/performance_task___5134zrt/u7_5_performance_task/u7_5_performance_task.html" TargetMode="External"/><Relationship Id="rId2328" Type="http://schemas.openxmlformats.org/officeDocument/2006/relationships/hyperlink" Target="https://tnezki.github.io/physics/quick_check____htq5855/u7_5_quick_check/u7_5_quick_check.html" TargetMode="External"/><Relationship Id="rId2329" Type="http://schemas.openxmlformats.org/officeDocument/2006/relationships/hyperlink" Target="https://tnezki.github.io/physics/exit/exit7/exit_7.html" TargetMode="External"/><Relationship Id="rId646" Type="http://schemas.openxmlformats.org/officeDocument/2006/relationships/hyperlink" Target="https://tnezki.github.io/physics/banks/unit2/unit2.html" TargetMode="External"/><Relationship Id="rId645" Type="http://schemas.openxmlformats.org/officeDocument/2006/relationships/hyperlink" Target="https://tnezki.github.io/physics/assessments_zxrtjp/unit2_summative/unit2_summative_assessment.html" TargetMode="External"/><Relationship Id="rId644" Type="http://schemas.openxmlformats.org/officeDocument/2006/relationships/hyperlink" Target="https://tnezki.github.io/physics/practice_sets/practice_sets_2_5/practice_set_2_5_3.html" TargetMode="External"/><Relationship Id="rId643" Type="http://schemas.openxmlformats.org/officeDocument/2006/relationships/hyperlink" Target="https://tnezki.github.io/physics/practice_sets/practice_sets_2_5/practice_set_2_5_2.html" TargetMode="External"/><Relationship Id="rId649" Type="http://schemas.openxmlformats.org/officeDocument/2006/relationships/hyperlink" Target="https://tnezki.github.io/physics/notes/u2_5_notes/u2_5_notes.html" TargetMode="External"/><Relationship Id="rId648" Type="http://schemas.openxmlformats.org/officeDocument/2006/relationships/hyperlink" Target="https://tnezki.github.io/physics/demo/u2_5_demo/u2_5_demo.html" TargetMode="External"/><Relationship Id="rId647" Type="http://schemas.openxmlformats.org/officeDocument/2006/relationships/hyperlink" Target="https://tnezki.github.io/physics/warmups/unit_2_warmups/unit_2_warmups.html" TargetMode="External"/><Relationship Id="rId1470" Type="http://schemas.openxmlformats.org/officeDocument/2006/relationships/hyperlink" Target="https://tnezki.github.io/physics/warmups/unit_5_warmups/unit_5_warmups.html" TargetMode="External"/><Relationship Id="rId1471" Type="http://schemas.openxmlformats.org/officeDocument/2006/relationships/hyperlink" Target="https://tnezki.github.io/physics/demo/u5_2_demo/u5_2_demo.html" TargetMode="External"/><Relationship Id="rId1472" Type="http://schemas.openxmlformats.org/officeDocument/2006/relationships/hyperlink" Target="https://tnezki.github.io/physics/notes/u5_2_notes/u5_2_notes.html" TargetMode="External"/><Relationship Id="rId642" Type="http://schemas.openxmlformats.org/officeDocument/2006/relationships/hyperlink" Target="https://tnezki.github.io/physics/exit/exit2/exit_2.html" TargetMode="External"/><Relationship Id="rId1473" Type="http://schemas.openxmlformats.org/officeDocument/2006/relationships/hyperlink" Target="https://tnezki.github.io/physics/investigations/u5_2_investigation/u5_2_investigation.html" TargetMode="External"/><Relationship Id="rId2320" Type="http://schemas.openxmlformats.org/officeDocument/2006/relationships/hyperlink" Target="https://tnezki.github.io/physics/progress/unit_7_progress/unit_7_progress.html" TargetMode="External"/><Relationship Id="rId641" Type="http://schemas.openxmlformats.org/officeDocument/2006/relationships/hyperlink" Target="https://tnezki.github.io/physics/quick_check____htq5855/u2_5_quick_check/u2_5_quick_check.html" TargetMode="External"/><Relationship Id="rId1474" Type="http://schemas.openxmlformats.org/officeDocument/2006/relationships/hyperlink" Target="https://tnezki.github.io/physics/activities/u5_2_act1/u5_2_act1.html" TargetMode="External"/><Relationship Id="rId2321" Type="http://schemas.openxmlformats.org/officeDocument/2006/relationships/hyperlink" Target="https://tnezki.github.io/physics/reviews/review7/review_7.html" TargetMode="External"/><Relationship Id="rId640" Type="http://schemas.openxmlformats.org/officeDocument/2006/relationships/hyperlink" Target="https://tnezki.github.io/physics/performance_task___5134zrt/u2_5_performance_task/u2_5_performance_task.html" TargetMode="External"/><Relationship Id="rId1475" Type="http://schemas.openxmlformats.org/officeDocument/2006/relationships/hyperlink" Target="https://tnezki.github.io/physics/practice_sets/practice_sets_5_2/practice_set_5_2.html" TargetMode="External"/><Relationship Id="rId2322" Type="http://schemas.openxmlformats.org/officeDocument/2006/relationships/hyperlink" Target="https://tnezki.github.io/physics/notes/u7_5_notes/u7_5_notes_teacher.html" TargetMode="External"/><Relationship Id="rId1476" Type="http://schemas.openxmlformats.org/officeDocument/2006/relationships/hyperlink" Target="https://tnezki.github.io/physics/practice_sets/practice_sets_5_2/extra_practice_5_2.html" TargetMode="External"/><Relationship Id="rId2323" Type="http://schemas.openxmlformats.org/officeDocument/2006/relationships/hyperlink" Target="https://tnezki.github.io/physics/demo/u7_5_demo/u7_5_demo_teacher_guide.html" TargetMode="External"/><Relationship Id="rId1466" Type="http://schemas.openxmlformats.org/officeDocument/2006/relationships/hyperlink" Target="https://tnezki.github.io/physics/practice_sets/practice_sets_5_2/practice_set_5_2_2.html" TargetMode="External"/><Relationship Id="rId2313" Type="http://schemas.openxmlformats.org/officeDocument/2006/relationships/hyperlink" Target="https://tnezki.github.io/physics/demo/u7_5_demo/u7_5_demo.html" TargetMode="External"/><Relationship Id="rId1467" Type="http://schemas.openxmlformats.org/officeDocument/2006/relationships/hyperlink" Target="https://tnezki.github.io/physics/practice_sets/practice_sets_5_2/practice_set_5_2_3.html" TargetMode="External"/><Relationship Id="rId2314" Type="http://schemas.openxmlformats.org/officeDocument/2006/relationships/hyperlink" Target="https://tnezki.github.io/physics/notes/u7_5_notes/u7_5_notes.html" TargetMode="External"/><Relationship Id="rId1468" Type="http://schemas.openxmlformats.org/officeDocument/2006/relationships/hyperlink" Target="https://tnezki.github.io/physics/assessments_zxrtjp/unit5_summative/unit5_summative_assessment.html" TargetMode="External"/><Relationship Id="rId2315" Type="http://schemas.openxmlformats.org/officeDocument/2006/relationships/hyperlink" Target="https://tnezki.github.io/physics/investigations/u7_5_investigation/u7_5_investigation.html" TargetMode="External"/><Relationship Id="rId1469" Type="http://schemas.openxmlformats.org/officeDocument/2006/relationships/hyperlink" Target="https://tnezki.github.io/physics/banks/unit5/unit5.html" TargetMode="External"/><Relationship Id="rId2316" Type="http://schemas.openxmlformats.org/officeDocument/2006/relationships/hyperlink" Target="https://tnezki.github.io/physics/activities/u7_5_act1/u7_5_act1.html" TargetMode="External"/><Relationship Id="rId2317" Type="http://schemas.openxmlformats.org/officeDocument/2006/relationships/hyperlink" Target="https://tnezki.github.io/physics/practice_sets/practice_sets_7_5/practice_set_7_5.html" TargetMode="External"/><Relationship Id="rId2318" Type="http://schemas.openxmlformats.org/officeDocument/2006/relationships/hyperlink" Target="https://tnezki.github.io/physics/practice_sets/practice_sets_7_5/extra_practice_7_5.html" TargetMode="External"/><Relationship Id="rId2319" Type="http://schemas.openxmlformats.org/officeDocument/2006/relationships/hyperlink" Target="https://tnezki.github.io/physics/practice_sets/practice_sets_7_5/cyu_7_5.html" TargetMode="External"/><Relationship Id="rId635" Type="http://schemas.openxmlformats.org/officeDocument/2006/relationships/hyperlink" Target="https://tnezki.github.io/physics/notes/u2_5_notes/u2_5_notes_teacher.html" TargetMode="External"/><Relationship Id="rId634" Type="http://schemas.openxmlformats.org/officeDocument/2006/relationships/hyperlink" Target="https://tnezki.github.io/physics/reviews/review2/review_2.html" TargetMode="External"/><Relationship Id="rId633" Type="http://schemas.openxmlformats.org/officeDocument/2006/relationships/hyperlink" Target="https://tnezki.github.io/physics/progress/unit_2_progress/unit_2_progress.html" TargetMode="External"/><Relationship Id="rId632" Type="http://schemas.openxmlformats.org/officeDocument/2006/relationships/hyperlink" Target="https://tnezki.github.io/physics/practice_sets/practice_sets_2_5/cyu_2_5.html" TargetMode="External"/><Relationship Id="rId639" Type="http://schemas.openxmlformats.org/officeDocument/2006/relationships/hyperlink" Target="https://tnezki.github.io/physics/assessments_zxrtjp/unit2_assessment_plan/unit2_assessment_plan.html" TargetMode="External"/><Relationship Id="rId638" Type="http://schemas.openxmlformats.org/officeDocument/2006/relationships/hyperlink" Target="https://tnezki.github.io/physics/performance_task___5134zrt/u2_5_performance_task/u2_5_performance_task_teacher_guide.html" TargetMode="External"/><Relationship Id="rId637" Type="http://schemas.openxmlformats.org/officeDocument/2006/relationships/hyperlink" Target="https://tnezki.github.io/physics/investigations/u2_5_investigation/u2_5_investigation_teacher_guide.html" TargetMode="External"/><Relationship Id="rId636" Type="http://schemas.openxmlformats.org/officeDocument/2006/relationships/hyperlink" Target="https://tnezki.github.io/physics/demo/u2_5_demo/u2_5_demo_teacher_guide.html" TargetMode="External"/><Relationship Id="rId1460" Type="http://schemas.openxmlformats.org/officeDocument/2006/relationships/hyperlink" Target="https://tnezki.github.io/physics/investigations/u5_2_investigation/u5_2_investigation_teacher_guide.html" TargetMode="External"/><Relationship Id="rId1461" Type="http://schemas.openxmlformats.org/officeDocument/2006/relationships/hyperlink" Target="https://tnezki.github.io/physics/performance_task___5134zrt/u5_2_performance_task/u5_2_performance_task_teacher_guide.html" TargetMode="External"/><Relationship Id="rId631" Type="http://schemas.openxmlformats.org/officeDocument/2006/relationships/hyperlink" Target="https://tnezki.github.io/physics/practice_sets/practice_sets_2_5/extra_practice_2_5.html" TargetMode="External"/><Relationship Id="rId1462" Type="http://schemas.openxmlformats.org/officeDocument/2006/relationships/hyperlink" Target="https://tnezki.github.io/physics/assessments_zxrtjp/unit5_assessment_plan/unit5_assessment_plan.html" TargetMode="External"/><Relationship Id="rId630" Type="http://schemas.openxmlformats.org/officeDocument/2006/relationships/hyperlink" Target="https://tnezki.github.io/physics/practice_sets/practice_sets_2_5/practice_set_2_5.html" TargetMode="External"/><Relationship Id="rId1463" Type="http://schemas.openxmlformats.org/officeDocument/2006/relationships/hyperlink" Target="https://tnezki.github.io/physics/performance_task___5134zrt/u5_2_performance_task/u5_2_performance_task.html" TargetMode="External"/><Relationship Id="rId2310" Type="http://schemas.openxmlformats.org/officeDocument/2006/relationships/hyperlink" Target="https://tnezki.github.io/physics/assessments_zxrtjp/unit7_summative/unit7_summative_assessment.html" TargetMode="External"/><Relationship Id="rId1464" Type="http://schemas.openxmlformats.org/officeDocument/2006/relationships/hyperlink" Target="https://tnezki.github.io/physics/quick_check____htq5855/u5_2_quick_check/u5_2_quick_check.html" TargetMode="External"/><Relationship Id="rId2311" Type="http://schemas.openxmlformats.org/officeDocument/2006/relationships/hyperlink" Target="https://tnezki.github.io/physics/banks/unit7/unit7.html" TargetMode="External"/><Relationship Id="rId1465" Type="http://schemas.openxmlformats.org/officeDocument/2006/relationships/hyperlink" Target="https://tnezki.github.io/physics/exit/exit5/exit_5.html" TargetMode="External"/><Relationship Id="rId2312" Type="http://schemas.openxmlformats.org/officeDocument/2006/relationships/hyperlink" Target="https://tnezki.github.io/physics/warmups/unit_7_warmups/unit_7_warmups.html" TargetMode="External"/><Relationship Id="rId1411" Type="http://schemas.openxmlformats.org/officeDocument/2006/relationships/hyperlink" Target="https://tnezki.github.io/physics/practice_sets/practice_sets_5_1/cyu_5_1.html" TargetMode="External"/><Relationship Id="rId1895" Type="http://schemas.openxmlformats.org/officeDocument/2006/relationships/hyperlink" Target="https://tnezki.github.io/physics/activities/u6_4_act1/u6_4_act1.html" TargetMode="External"/><Relationship Id="rId1412" Type="http://schemas.openxmlformats.org/officeDocument/2006/relationships/hyperlink" Target="https://tnezki.github.io/physics/progress/unit_5_progress/unit_5_progress.html" TargetMode="External"/><Relationship Id="rId1896" Type="http://schemas.openxmlformats.org/officeDocument/2006/relationships/hyperlink" Target="https://tnezki.github.io/physics/practice_sets/practice_sets_6_4/practice_set_6_4.html" TargetMode="External"/><Relationship Id="rId1413" Type="http://schemas.openxmlformats.org/officeDocument/2006/relationships/hyperlink" Target="https://tnezki.github.io/physics/reviews/review5/review_5.html" TargetMode="External"/><Relationship Id="rId1897" Type="http://schemas.openxmlformats.org/officeDocument/2006/relationships/hyperlink" Target="https://tnezki.github.io/physics/practice_sets/practice_sets_6_4/extra_practice_6_4.html" TargetMode="External"/><Relationship Id="rId1414" Type="http://schemas.openxmlformats.org/officeDocument/2006/relationships/hyperlink" Target="https://tnezki.github.io/physics/notes/u5_1_notes/u5_1_notes_teacher.html" TargetMode="External"/><Relationship Id="rId1898" Type="http://schemas.openxmlformats.org/officeDocument/2006/relationships/hyperlink" Target="https://tnezki.github.io/physics/practice_sets/practice_sets_6_4/cyu_6_4.html" TargetMode="External"/><Relationship Id="rId1415" Type="http://schemas.openxmlformats.org/officeDocument/2006/relationships/hyperlink" Target="https://tnezki.github.io/physics/demo/u5_1_demo/u5_1_demo_teacher_guide.html" TargetMode="External"/><Relationship Id="rId1899" Type="http://schemas.openxmlformats.org/officeDocument/2006/relationships/hyperlink" Target="https://tnezki.github.io/physics/progress/unit_6_progress/unit_6_progress.html" TargetMode="External"/><Relationship Id="rId1416" Type="http://schemas.openxmlformats.org/officeDocument/2006/relationships/hyperlink" Target="https://tnezki.github.io/physics/investigations/u5_1_investigation/u5_1_investigation_teacher_guide.html" TargetMode="External"/><Relationship Id="rId1417" Type="http://schemas.openxmlformats.org/officeDocument/2006/relationships/hyperlink" Target="https://tnezki.github.io/physics/performance_task___5134zrt/u5_1_performance_task/u5_1_performance_task_teacher_guide.html" TargetMode="External"/><Relationship Id="rId1418" Type="http://schemas.openxmlformats.org/officeDocument/2006/relationships/hyperlink" Target="https://tnezki.github.io/physics/assessments_zxrtjp/unit5_assessment_plan/unit5_assessment_plan.html" TargetMode="External"/><Relationship Id="rId1419" Type="http://schemas.openxmlformats.org/officeDocument/2006/relationships/hyperlink" Target="https://tnezki.github.io/physics/performance_task___5134zrt/u5_1_performance_task/u5_1_performance_task.html" TargetMode="External"/><Relationship Id="rId1890" Type="http://schemas.openxmlformats.org/officeDocument/2006/relationships/hyperlink" Target="https://tnezki.github.io/physics/banks/unit6/unit6.html" TargetMode="External"/><Relationship Id="rId1891" Type="http://schemas.openxmlformats.org/officeDocument/2006/relationships/hyperlink" Target="https://tnezki.github.io/physics/warmups/unit_6_warmups/unit_6_warmups.html" TargetMode="External"/><Relationship Id="rId1892" Type="http://schemas.openxmlformats.org/officeDocument/2006/relationships/hyperlink" Target="https://tnezki.github.io/physics/demo/u6_4_demo/u6_4_demo.html" TargetMode="External"/><Relationship Id="rId1893" Type="http://schemas.openxmlformats.org/officeDocument/2006/relationships/hyperlink" Target="https://tnezki.github.io/physics/notes/u6_4_notes/u6_4_notes.html" TargetMode="External"/><Relationship Id="rId1410" Type="http://schemas.openxmlformats.org/officeDocument/2006/relationships/hyperlink" Target="https://tnezki.github.io/physics/practice_sets/practice_sets_5_1/extra_practice_5_1.html" TargetMode="External"/><Relationship Id="rId1894" Type="http://schemas.openxmlformats.org/officeDocument/2006/relationships/hyperlink" Target="https://tnezki.github.io/physics/investigations/u6_4_investigation/u6_4_investigation.html" TargetMode="External"/><Relationship Id="rId1400" Type="http://schemas.openxmlformats.org/officeDocument/2006/relationships/hyperlink" Target="https://tnezki.github.io/physics/practice_sets/practice_sets_5_1/practice_set_5_1_2.html" TargetMode="External"/><Relationship Id="rId1884" Type="http://schemas.openxmlformats.org/officeDocument/2006/relationships/hyperlink" Target="https://tnezki.github.io/physics/performance_task___5134zrt/u6_3_performance_task/u6_3_performance_task.html" TargetMode="External"/><Relationship Id="rId1401" Type="http://schemas.openxmlformats.org/officeDocument/2006/relationships/hyperlink" Target="https://tnezki.github.io/physics/practice_sets/practice_sets_5_1/practice_set_5_1_3.html" TargetMode="External"/><Relationship Id="rId1885" Type="http://schemas.openxmlformats.org/officeDocument/2006/relationships/hyperlink" Target="https://tnezki.github.io/physics/quick_check____htq5855/u6_3_quick_check/u6_3_quick_check.html" TargetMode="External"/><Relationship Id="rId1402" Type="http://schemas.openxmlformats.org/officeDocument/2006/relationships/hyperlink" Target="https://tnezki.github.io/physics/assessments_zxrtjp/unit5_summative/unit5_summative_assessment.html" TargetMode="External"/><Relationship Id="rId1886" Type="http://schemas.openxmlformats.org/officeDocument/2006/relationships/hyperlink" Target="https://tnezki.github.io/physics/exit/exit6/exit_6.html" TargetMode="External"/><Relationship Id="rId1403" Type="http://schemas.openxmlformats.org/officeDocument/2006/relationships/hyperlink" Target="https://tnezki.github.io/physics/banks/unit5/unit5.html" TargetMode="External"/><Relationship Id="rId1887" Type="http://schemas.openxmlformats.org/officeDocument/2006/relationships/hyperlink" Target="https://tnezki.github.io/physics/practice_sets/practice_sets_6_3/practice_set_6_3_2.html" TargetMode="External"/><Relationship Id="rId1404" Type="http://schemas.openxmlformats.org/officeDocument/2006/relationships/hyperlink" Target="https://tnezki.github.io/physics/warmups/unit_5_warmups/unit_5_warmups.html" TargetMode="External"/><Relationship Id="rId1888" Type="http://schemas.openxmlformats.org/officeDocument/2006/relationships/hyperlink" Target="https://tnezki.github.io/physics/practice_sets/practice_sets_6_3/practice_set_6_3_3.html" TargetMode="External"/><Relationship Id="rId1405" Type="http://schemas.openxmlformats.org/officeDocument/2006/relationships/hyperlink" Target="https://tnezki.github.io/physics/demo/u5_1_demo/u5_1_demo.html" TargetMode="External"/><Relationship Id="rId1889" Type="http://schemas.openxmlformats.org/officeDocument/2006/relationships/hyperlink" Target="https://tnezki.github.io/physics/assessments_zxrtjp/unit6_summative/unit6_summative_assessment.html" TargetMode="External"/><Relationship Id="rId1406" Type="http://schemas.openxmlformats.org/officeDocument/2006/relationships/hyperlink" Target="https://tnezki.github.io/physics/notes/u5_1_notes/u5_1_notes.html" TargetMode="External"/><Relationship Id="rId1407" Type="http://schemas.openxmlformats.org/officeDocument/2006/relationships/hyperlink" Target="https://tnezki.github.io/physics/investigations/u5_1_investigation/u5_1_investigation.html" TargetMode="External"/><Relationship Id="rId1408" Type="http://schemas.openxmlformats.org/officeDocument/2006/relationships/hyperlink" Target="https://tnezki.github.io/physics/activities/u5_1_act1/u5_1_act1.html" TargetMode="External"/><Relationship Id="rId1409" Type="http://schemas.openxmlformats.org/officeDocument/2006/relationships/hyperlink" Target="https://tnezki.github.io/physics/practice_sets/practice_sets_5_1/practice_set_5_1.html" TargetMode="External"/><Relationship Id="rId1880" Type="http://schemas.openxmlformats.org/officeDocument/2006/relationships/hyperlink" Target="https://tnezki.github.io/physics/demo/u6_3_demo/u6_3_demo_teacher_guide.html" TargetMode="External"/><Relationship Id="rId1881" Type="http://schemas.openxmlformats.org/officeDocument/2006/relationships/hyperlink" Target="https://tnezki.github.io/physics/investigations/u6_3_investigation/u6_3_investigation_teacher_guide.html" TargetMode="External"/><Relationship Id="rId1882" Type="http://schemas.openxmlformats.org/officeDocument/2006/relationships/hyperlink" Target="https://tnezki.github.io/physics/performance_task___5134zrt/u6_3_performance_task/u6_3_performance_task_teacher_guide.html" TargetMode="External"/><Relationship Id="rId1883" Type="http://schemas.openxmlformats.org/officeDocument/2006/relationships/hyperlink" Target="https://tnezki.github.io/physics/assessments_zxrtjp/unit6_assessment_plan/unit6_assessment_plan.html" TargetMode="External"/><Relationship Id="rId1433" Type="http://schemas.openxmlformats.org/officeDocument/2006/relationships/hyperlink" Target="https://tnezki.github.io/physics/practice_sets/practice_sets_5_2/cyu_5_2.html" TargetMode="External"/><Relationship Id="rId1434" Type="http://schemas.openxmlformats.org/officeDocument/2006/relationships/hyperlink" Target="https://tnezki.github.io/physics/progress/unit_5_progress/unit_5_progress.html" TargetMode="External"/><Relationship Id="rId1435" Type="http://schemas.openxmlformats.org/officeDocument/2006/relationships/hyperlink" Target="https://tnezki.github.io/physics/reviews/review5/review_5.html" TargetMode="External"/><Relationship Id="rId1436" Type="http://schemas.openxmlformats.org/officeDocument/2006/relationships/hyperlink" Target="https://tnezki.github.io/physics/notes/u5_2_notes/u5_2_notes_teacher.html" TargetMode="External"/><Relationship Id="rId1437" Type="http://schemas.openxmlformats.org/officeDocument/2006/relationships/hyperlink" Target="https://tnezki.github.io/physics/demo/u5_2_demo/u5_2_demo_teacher_guide.html" TargetMode="External"/><Relationship Id="rId1438" Type="http://schemas.openxmlformats.org/officeDocument/2006/relationships/hyperlink" Target="https://tnezki.github.io/physics/investigations/u5_2_investigation/u5_2_investigation_teacher_guide.html" TargetMode="External"/><Relationship Id="rId1439" Type="http://schemas.openxmlformats.org/officeDocument/2006/relationships/hyperlink" Target="https://tnezki.github.io/physics/performance_task___5134zrt/u5_2_performance_task/u5_2_performance_task_teacher_guide.html" TargetMode="External"/><Relationship Id="rId609" Type="http://schemas.openxmlformats.org/officeDocument/2006/relationships/hyperlink" Target="https://tnezki.github.io/physics/practice_sets/practice_sets_2_4/extra_practice_2_4.html" TargetMode="External"/><Relationship Id="rId608" Type="http://schemas.openxmlformats.org/officeDocument/2006/relationships/hyperlink" Target="https://tnezki.github.io/physics/practice_sets/practice_sets_2_4/practice_set_2_4.html" TargetMode="External"/><Relationship Id="rId607" Type="http://schemas.openxmlformats.org/officeDocument/2006/relationships/hyperlink" Target="https://tnezki.github.io/physics/activities/u2_4_act1/u2_4_act1.html" TargetMode="External"/><Relationship Id="rId602" Type="http://schemas.openxmlformats.org/officeDocument/2006/relationships/hyperlink" Target="https://tnezki.github.io/physics/banks/unit2/unit2.html" TargetMode="External"/><Relationship Id="rId601" Type="http://schemas.openxmlformats.org/officeDocument/2006/relationships/hyperlink" Target="https://tnezki.github.io/physics/assessments_zxrtjp/unit2_summative/unit2_summative_assessment.html" TargetMode="External"/><Relationship Id="rId600" Type="http://schemas.openxmlformats.org/officeDocument/2006/relationships/hyperlink" Target="https://tnezki.github.io/physics/practice_sets/practice_sets_2_4/practice_set_2_4_3.html" TargetMode="External"/><Relationship Id="rId606" Type="http://schemas.openxmlformats.org/officeDocument/2006/relationships/hyperlink" Target="https://tnezki.github.io/physics/investigations/u2_4_investigation/u2_4_investigation.html" TargetMode="External"/><Relationship Id="rId605" Type="http://schemas.openxmlformats.org/officeDocument/2006/relationships/hyperlink" Target="https://tnezki.github.io/physics/notes/u2_4_notes/u2_4_notes.html" TargetMode="External"/><Relationship Id="rId604" Type="http://schemas.openxmlformats.org/officeDocument/2006/relationships/hyperlink" Target="https://tnezki.github.io/physics/demo/u2_4_demo/u2_4_demo.html" TargetMode="External"/><Relationship Id="rId603" Type="http://schemas.openxmlformats.org/officeDocument/2006/relationships/hyperlink" Target="https://tnezki.github.io/physics/warmups/unit_2_warmups/unit_2_warmups.html" TargetMode="External"/><Relationship Id="rId1430" Type="http://schemas.openxmlformats.org/officeDocument/2006/relationships/hyperlink" Target="https://tnezki.github.io/physics/activities/u5_2_act1/u5_2_act1.html" TargetMode="External"/><Relationship Id="rId1431" Type="http://schemas.openxmlformats.org/officeDocument/2006/relationships/hyperlink" Target="https://tnezki.github.io/physics/practice_sets/practice_sets_5_2/practice_set_5_2.html" TargetMode="External"/><Relationship Id="rId1432" Type="http://schemas.openxmlformats.org/officeDocument/2006/relationships/hyperlink" Target="https://tnezki.github.io/physics/practice_sets/practice_sets_5_2/extra_practice_5_2.html" TargetMode="External"/><Relationship Id="rId1422" Type="http://schemas.openxmlformats.org/officeDocument/2006/relationships/hyperlink" Target="https://tnezki.github.io/physics/practice_sets/practice_sets_5_1/practice_set_5_1_2.html" TargetMode="External"/><Relationship Id="rId1423" Type="http://schemas.openxmlformats.org/officeDocument/2006/relationships/hyperlink" Target="https://tnezki.github.io/physics/practice_sets/practice_sets_5_1/practice_set_5_1_3.html" TargetMode="External"/><Relationship Id="rId1424" Type="http://schemas.openxmlformats.org/officeDocument/2006/relationships/hyperlink" Target="https://tnezki.github.io/physics/assessments_zxrtjp/unit5_summative/unit5_summative_assessment.html" TargetMode="External"/><Relationship Id="rId1425" Type="http://schemas.openxmlformats.org/officeDocument/2006/relationships/hyperlink" Target="https://tnezki.github.io/physics/banks/unit5/unit5.html" TargetMode="External"/><Relationship Id="rId1426" Type="http://schemas.openxmlformats.org/officeDocument/2006/relationships/hyperlink" Target="https://tnezki.github.io/physics/warmups/unit_5_warmups/unit_5_warmups.html" TargetMode="External"/><Relationship Id="rId1427" Type="http://schemas.openxmlformats.org/officeDocument/2006/relationships/hyperlink" Target="https://tnezki.github.io/physics/demo/u5_2_demo/u5_2_demo.html" TargetMode="External"/><Relationship Id="rId1428" Type="http://schemas.openxmlformats.org/officeDocument/2006/relationships/hyperlink" Target="https://tnezki.github.io/physics/notes/u5_2_notes/u5_2_notes.html" TargetMode="External"/><Relationship Id="rId1429" Type="http://schemas.openxmlformats.org/officeDocument/2006/relationships/hyperlink" Target="https://tnezki.github.io/physics/investigations/u5_2_investigation/u5_2_investigation.html" TargetMode="External"/><Relationship Id="rId1420" Type="http://schemas.openxmlformats.org/officeDocument/2006/relationships/hyperlink" Target="https://tnezki.github.io/physics/quick_check____htq5855/u5_1_quick_check/u5_1_quick_check.html" TargetMode="External"/><Relationship Id="rId1421" Type="http://schemas.openxmlformats.org/officeDocument/2006/relationships/hyperlink" Target="https://tnezki.github.io/physics/exit/exit5/exit_5.html" TargetMode="External"/><Relationship Id="rId1059" Type="http://schemas.openxmlformats.org/officeDocument/2006/relationships/hyperlink" Target="https://tnezki.github.io/physics/notes/u4_1_notes/u4_1_notes_teacher.html" TargetMode="External"/><Relationship Id="rId228" Type="http://schemas.openxmlformats.org/officeDocument/2006/relationships/hyperlink" Target="https://tnezki.github.io/physics/notes/u1_4_notes/u1_4_notes.html" TargetMode="External"/><Relationship Id="rId227" Type="http://schemas.openxmlformats.org/officeDocument/2006/relationships/hyperlink" Target="https://tnezki.github.io/physics/demo/u1_4_demo/u1_4_demo.html" TargetMode="External"/><Relationship Id="rId226" Type="http://schemas.openxmlformats.org/officeDocument/2006/relationships/hyperlink" Target="https://tnezki.github.io/physics/warmups/unit_1_warmups/unit_1_warmups.html" TargetMode="External"/><Relationship Id="rId225" Type="http://schemas.openxmlformats.org/officeDocument/2006/relationships/hyperlink" Target="https://tnezki.github.io/physics/banks/unit1/unit1.html" TargetMode="External"/><Relationship Id="rId2380" Type="http://schemas.openxmlformats.org/officeDocument/2006/relationships/hyperlink" Target="https://tnezki.github.io/physics/banks/unit8/unit8.html" TargetMode="External"/><Relationship Id="rId229" Type="http://schemas.openxmlformats.org/officeDocument/2006/relationships/hyperlink" Target="https://tnezki.github.io/physics/investigations/u1_4_investigation/u1_4_investigation.html" TargetMode="External"/><Relationship Id="rId1050" Type="http://schemas.openxmlformats.org/officeDocument/2006/relationships/hyperlink" Target="https://tnezki.github.io/physics/demo/u4_1_demo/u4_1_demo.html" TargetMode="External"/><Relationship Id="rId2381" Type="http://schemas.openxmlformats.org/officeDocument/2006/relationships/hyperlink" Target="https://tnezki.github.io/physics/warmups/unit_8_warmups/unit_8_warmups.html" TargetMode="External"/><Relationship Id="rId220" Type="http://schemas.openxmlformats.org/officeDocument/2006/relationships/hyperlink" Target="https://tnezki.github.io/physics/quick_check____htq5855/u1_3_quick_check/u1_3_quick_check.html" TargetMode="External"/><Relationship Id="rId1051" Type="http://schemas.openxmlformats.org/officeDocument/2006/relationships/hyperlink" Target="https://tnezki.github.io/physics/notes/u4_1_notes/u4_1_notes.html" TargetMode="External"/><Relationship Id="rId2382" Type="http://schemas.openxmlformats.org/officeDocument/2006/relationships/hyperlink" Target="https://tnezki.github.io/physics/demo/u8_1_demo/u8_1_demo.html" TargetMode="External"/><Relationship Id="rId1052" Type="http://schemas.openxmlformats.org/officeDocument/2006/relationships/hyperlink" Target="https://tnezki.github.io/physics/investigations/u4_1_investigation/u4_1_investigation.html" TargetMode="External"/><Relationship Id="rId2383" Type="http://schemas.openxmlformats.org/officeDocument/2006/relationships/hyperlink" Target="https://tnezki.github.io/physics/notes/u8_1_notes/u8_1_notes.html" TargetMode="External"/><Relationship Id="rId1053" Type="http://schemas.openxmlformats.org/officeDocument/2006/relationships/hyperlink" Target="https://tnezki.github.io/physics/activities/u4_1_act1/u4_1_act1.html" TargetMode="External"/><Relationship Id="rId2384" Type="http://schemas.openxmlformats.org/officeDocument/2006/relationships/hyperlink" Target="https://tnezki.github.io/physics/investigations/u8_1_investigation/u8_1_investigation.html" TargetMode="External"/><Relationship Id="rId1054" Type="http://schemas.openxmlformats.org/officeDocument/2006/relationships/hyperlink" Target="https://tnezki.github.io/physics/practice_sets/practice_sets_4_1/practice_set_4_1.html" TargetMode="External"/><Relationship Id="rId2385" Type="http://schemas.openxmlformats.org/officeDocument/2006/relationships/hyperlink" Target="https://tnezki.github.io/physics/activities/u8_1_act1/u8_1_act1.html" TargetMode="External"/><Relationship Id="rId224" Type="http://schemas.openxmlformats.org/officeDocument/2006/relationships/hyperlink" Target="https://tnezki.github.io/physics/assessments_zxrtjp/unit1_summative/unit1_summative_assessment.html" TargetMode="External"/><Relationship Id="rId1055" Type="http://schemas.openxmlformats.org/officeDocument/2006/relationships/hyperlink" Target="https://tnezki.github.io/physics/practice_sets/practice_sets_4_1/extra_practice_4_1.html" TargetMode="External"/><Relationship Id="rId2386" Type="http://schemas.openxmlformats.org/officeDocument/2006/relationships/hyperlink" Target="https://tnezki.github.io/physics/practice_sets/practice_sets_8_1/practice_set_8_1.html" TargetMode="External"/><Relationship Id="rId223" Type="http://schemas.openxmlformats.org/officeDocument/2006/relationships/hyperlink" Target="https://tnezki.github.io/physics/practice_sets/practice_sets_1_3/practice_set_1_3_3.html" TargetMode="External"/><Relationship Id="rId1056" Type="http://schemas.openxmlformats.org/officeDocument/2006/relationships/hyperlink" Target="https://tnezki.github.io/physics/practice_sets/practice_sets_4_1/cyu_4_1.html" TargetMode="External"/><Relationship Id="rId2387" Type="http://schemas.openxmlformats.org/officeDocument/2006/relationships/hyperlink" Target="https://tnezki.github.io/physics/practice_sets/practice_sets_8_1/extra_practice_8_1.html" TargetMode="External"/><Relationship Id="rId222" Type="http://schemas.openxmlformats.org/officeDocument/2006/relationships/hyperlink" Target="https://tnezki.github.io/physics/practice_sets/practice_sets_1_3/practice_set_1_3_2.html" TargetMode="External"/><Relationship Id="rId1057" Type="http://schemas.openxmlformats.org/officeDocument/2006/relationships/hyperlink" Target="https://tnezki.github.io/physics/progress/unit_4_progress/unit_4_progress.html" TargetMode="External"/><Relationship Id="rId2388" Type="http://schemas.openxmlformats.org/officeDocument/2006/relationships/hyperlink" Target="https://tnezki.github.io/physics/practice_sets/practice_sets_8_1/cyu_8_1.html" TargetMode="External"/><Relationship Id="rId221" Type="http://schemas.openxmlformats.org/officeDocument/2006/relationships/hyperlink" Target="https://tnezki.github.io/physics/exit/exit1/exit_1.html" TargetMode="External"/><Relationship Id="rId1058" Type="http://schemas.openxmlformats.org/officeDocument/2006/relationships/hyperlink" Target="https://tnezki.github.io/physics/reviews/review4/review_4.html" TargetMode="External"/><Relationship Id="rId2389" Type="http://schemas.openxmlformats.org/officeDocument/2006/relationships/hyperlink" Target="https://tnezki.github.io/physics/progress/unit_8_progress/unit_8_progress.html" TargetMode="External"/><Relationship Id="rId1048" Type="http://schemas.openxmlformats.org/officeDocument/2006/relationships/hyperlink" Target="https://tnezki.github.io/physics/banks/unit4/unit4.html" TargetMode="External"/><Relationship Id="rId2379" Type="http://schemas.openxmlformats.org/officeDocument/2006/relationships/hyperlink" Target="https://tnezki.github.io/physics/assessments_zxrtjp/unit8_summative/unit8_summative_assessment.html" TargetMode="External"/><Relationship Id="rId1049" Type="http://schemas.openxmlformats.org/officeDocument/2006/relationships/hyperlink" Target="https://tnezki.github.io/physics/warmups/unit_4_warmups/unit_4_warmups.html" TargetMode="External"/><Relationship Id="rId217" Type="http://schemas.openxmlformats.org/officeDocument/2006/relationships/hyperlink" Target="https://tnezki.github.io/physics/performance_task___5134zrt/u1_3_performance_task/u1_3_performance_task_teacher_guide.html" TargetMode="External"/><Relationship Id="rId216" Type="http://schemas.openxmlformats.org/officeDocument/2006/relationships/hyperlink" Target="https://tnezki.github.io/physics/investigations/u1_3_investigation/u1_3_investigation_teacher_guide.html" TargetMode="External"/><Relationship Id="rId215" Type="http://schemas.openxmlformats.org/officeDocument/2006/relationships/hyperlink" Target="https://tnezki.github.io/physics/demo/u1_3_demo/u1_3_demo_teacher_guide.html" TargetMode="External"/><Relationship Id="rId699" Type="http://schemas.openxmlformats.org/officeDocument/2006/relationships/hyperlink" Target="https://tnezki.github.io/physics/practice_sets/practice_sets_3_1/practice_set_3_1.html" TargetMode="External"/><Relationship Id="rId214" Type="http://schemas.openxmlformats.org/officeDocument/2006/relationships/hyperlink" Target="https://tnezki.github.io/physics/notes/u1_3_notes/u1_3_notes_teacher.html" TargetMode="External"/><Relationship Id="rId698" Type="http://schemas.openxmlformats.org/officeDocument/2006/relationships/hyperlink" Target="https://tnezki.github.io/physics/activities/u3_1_act1/u3_1_act1.html" TargetMode="External"/><Relationship Id="rId219" Type="http://schemas.openxmlformats.org/officeDocument/2006/relationships/hyperlink" Target="https://tnezki.github.io/physics/performance_task___5134zrt/u1_3_performance_task/u1_3_performance_task.html" TargetMode="External"/><Relationship Id="rId218" Type="http://schemas.openxmlformats.org/officeDocument/2006/relationships/hyperlink" Target="https://tnezki.github.io/physics/assessments_zxrtjp/unit1_assessment_plan/unit1_assessment_plan.html" TargetMode="External"/><Relationship Id="rId2370" Type="http://schemas.openxmlformats.org/officeDocument/2006/relationships/hyperlink" Target="https://tnezki.github.io/physics/demo/u8_1_demo/u8_1_demo_teacher_guide.html" TargetMode="External"/><Relationship Id="rId693" Type="http://schemas.openxmlformats.org/officeDocument/2006/relationships/hyperlink" Target="https://tnezki.github.io/physics/assessments_zxrtjp/unit2_assessment_plan/unit2_assessment_plan.html" TargetMode="External"/><Relationship Id="rId1040" Type="http://schemas.openxmlformats.org/officeDocument/2006/relationships/hyperlink" Target="https://tnezki.github.io/physics/performance_task___5134zrt/u4_1_performance_task/u4_1_performance_task_teacher_guide.html" TargetMode="External"/><Relationship Id="rId2371" Type="http://schemas.openxmlformats.org/officeDocument/2006/relationships/hyperlink" Target="https://tnezki.github.io/physics/investigations/u8_1_investigation/u8_1_investigation_teacher_guide.html" TargetMode="External"/><Relationship Id="rId692" Type="http://schemas.openxmlformats.org/officeDocument/2006/relationships/hyperlink" Target="https://tnezki.github.io/physics/banks/unit2/unit2.html" TargetMode="External"/><Relationship Id="rId1041" Type="http://schemas.openxmlformats.org/officeDocument/2006/relationships/hyperlink" Target="https://tnezki.github.io/physics/assessments_zxrtjp/unit4_assessment_plan/unit4_assessment_plan.html" TargetMode="External"/><Relationship Id="rId2372" Type="http://schemas.openxmlformats.org/officeDocument/2006/relationships/hyperlink" Target="https://tnezki.github.io/physics/performance_task___5134zrt/u8_1_performance_task/u8_1_performance_task_teacher_guide.html" TargetMode="External"/><Relationship Id="rId691" Type="http://schemas.openxmlformats.org/officeDocument/2006/relationships/hyperlink" Target="https://tnezki.github.io/physics/assessments_zxrtjp/unit2_summative/unit2_summative_assessment.html" TargetMode="External"/><Relationship Id="rId1042" Type="http://schemas.openxmlformats.org/officeDocument/2006/relationships/hyperlink" Target="https://tnezki.github.io/physics/performance_task___5134zrt/u4_1_performance_task/u4_1_performance_task.html" TargetMode="External"/><Relationship Id="rId2373" Type="http://schemas.openxmlformats.org/officeDocument/2006/relationships/hyperlink" Target="https://tnezki.github.io/physics/assessments_zxrtjp/unit8_assessment_plan/unit8_assessment_plan.html" TargetMode="External"/><Relationship Id="rId690" Type="http://schemas.openxmlformats.org/officeDocument/2006/relationships/hyperlink" Target="https://tnezki.github.io/physics/banks/unit2/unit2.html" TargetMode="External"/><Relationship Id="rId1043" Type="http://schemas.openxmlformats.org/officeDocument/2006/relationships/hyperlink" Target="https://tnezki.github.io/physics/quick_check____htq5855/u4_1_quick_check/u4_1_quick_check.html" TargetMode="External"/><Relationship Id="rId2374" Type="http://schemas.openxmlformats.org/officeDocument/2006/relationships/hyperlink" Target="https://tnezki.github.io/physics/performance_task___5134zrt/u8_1_performance_task/u8_1_performance_task.html" TargetMode="External"/><Relationship Id="rId213" Type="http://schemas.openxmlformats.org/officeDocument/2006/relationships/hyperlink" Target="https://tnezki.github.io/physics/reviews/review1/review_1.html" TargetMode="External"/><Relationship Id="rId697" Type="http://schemas.openxmlformats.org/officeDocument/2006/relationships/hyperlink" Target="https://tnezki.github.io/physics/investigations/u3_1_investigation/u3_1_investigation.html" TargetMode="External"/><Relationship Id="rId1044" Type="http://schemas.openxmlformats.org/officeDocument/2006/relationships/hyperlink" Target="https://tnezki.github.io/physics/exit/exit4/exit_4.html" TargetMode="External"/><Relationship Id="rId2375" Type="http://schemas.openxmlformats.org/officeDocument/2006/relationships/hyperlink" Target="https://tnezki.github.io/physics/quick_check____htq5855/u8_1_quick_check/u8_1_quick_check.html" TargetMode="External"/><Relationship Id="rId212" Type="http://schemas.openxmlformats.org/officeDocument/2006/relationships/hyperlink" Target="https://tnezki.github.io/physics/progress/unit_1_progress/unit_1_progress.html" TargetMode="External"/><Relationship Id="rId696" Type="http://schemas.openxmlformats.org/officeDocument/2006/relationships/hyperlink" Target="https://tnezki.github.io/physics/notes/u3_1_notes/u3_1_notes.html" TargetMode="External"/><Relationship Id="rId1045" Type="http://schemas.openxmlformats.org/officeDocument/2006/relationships/hyperlink" Target="https://tnezki.github.io/physics/practice_sets/practice_sets_4_1/practice_set_4_1_2.html" TargetMode="External"/><Relationship Id="rId2376" Type="http://schemas.openxmlformats.org/officeDocument/2006/relationships/hyperlink" Target="https://tnezki.github.io/physics/exit/exit8/exit_8.html" TargetMode="External"/><Relationship Id="rId211" Type="http://schemas.openxmlformats.org/officeDocument/2006/relationships/hyperlink" Target="https://tnezki.github.io/physics/practice_sets/practice_sets_1_3/cyu_1_3.html" TargetMode="External"/><Relationship Id="rId695" Type="http://schemas.openxmlformats.org/officeDocument/2006/relationships/hyperlink" Target="https://tnezki.github.io/physics/demo/u3_1_demo/u3_1_demo.html" TargetMode="External"/><Relationship Id="rId1046" Type="http://schemas.openxmlformats.org/officeDocument/2006/relationships/hyperlink" Target="https://tnezki.github.io/physics/practice_sets/practice_sets_4_1/practice_set_4_1_3.html" TargetMode="External"/><Relationship Id="rId2377" Type="http://schemas.openxmlformats.org/officeDocument/2006/relationships/hyperlink" Target="https://tnezki.github.io/physics/practice_sets/practice_sets_8_1/practice_set_8_1_2.html" TargetMode="External"/><Relationship Id="rId210" Type="http://schemas.openxmlformats.org/officeDocument/2006/relationships/hyperlink" Target="https://tnezki.github.io/physics/practice_sets/practice_sets_1_3/extra_practice_1_3.html" TargetMode="External"/><Relationship Id="rId694" Type="http://schemas.openxmlformats.org/officeDocument/2006/relationships/hyperlink" Target="https://tnezki.github.io/physics/warmups/unit_3_warmups/unit_3_warmups.html" TargetMode="External"/><Relationship Id="rId1047" Type="http://schemas.openxmlformats.org/officeDocument/2006/relationships/hyperlink" Target="https://tnezki.github.io/physics/assessments_zxrtjp/unit4_summative/unit4_summative_assessment.html" TargetMode="External"/><Relationship Id="rId2378" Type="http://schemas.openxmlformats.org/officeDocument/2006/relationships/hyperlink" Target="https://tnezki.github.io/physics/practice_sets/practice_sets_8_1/practice_set_8_1_3.html" TargetMode="External"/><Relationship Id="rId249" Type="http://schemas.openxmlformats.org/officeDocument/2006/relationships/hyperlink" Target="https://tnezki.github.io/physics/demo/u1_4_demo/u1_4_demo.html" TargetMode="External"/><Relationship Id="rId248" Type="http://schemas.openxmlformats.org/officeDocument/2006/relationships/hyperlink" Target="https://tnezki.github.io/physics/warmups/unit_1_warmups/unit_1_warmups.html" TargetMode="External"/><Relationship Id="rId247" Type="http://schemas.openxmlformats.org/officeDocument/2006/relationships/hyperlink" Target="https://tnezki.github.io/physics/banks/unit1/unit1.html" TargetMode="External"/><Relationship Id="rId1070" Type="http://schemas.openxmlformats.org/officeDocument/2006/relationships/hyperlink" Target="https://tnezki.github.io/physics/banks/unit4/unit4.html" TargetMode="External"/><Relationship Id="rId1071" Type="http://schemas.openxmlformats.org/officeDocument/2006/relationships/hyperlink" Target="https://tnezki.github.io/physics/warmups/unit_4_warmups/unit_4_warmups.html" TargetMode="External"/><Relationship Id="rId1072" Type="http://schemas.openxmlformats.org/officeDocument/2006/relationships/hyperlink" Target="https://tnezki.github.io/physics/demo/u4_1_demo/u4_1_demo.html" TargetMode="External"/><Relationship Id="rId242" Type="http://schemas.openxmlformats.org/officeDocument/2006/relationships/hyperlink" Target="https://tnezki.github.io/physics/quick_check____htq5855/u1_4_quick_check/u1_4_quick_check.html" TargetMode="External"/><Relationship Id="rId1073" Type="http://schemas.openxmlformats.org/officeDocument/2006/relationships/hyperlink" Target="https://tnezki.github.io/physics/notes/u4_1_notes/u4_1_notes.html" TargetMode="External"/><Relationship Id="rId241" Type="http://schemas.openxmlformats.org/officeDocument/2006/relationships/hyperlink" Target="https://tnezki.github.io/physics/performance_task___5134zrt/u1_4_performance_task/u1_4_performance_task.html" TargetMode="External"/><Relationship Id="rId1074" Type="http://schemas.openxmlformats.org/officeDocument/2006/relationships/hyperlink" Target="https://tnezki.github.io/physics/investigations/u4_1_investigation/u4_1_investigation.html" TargetMode="External"/><Relationship Id="rId240" Type="http://schemas.openxmlformats.org/officeDocument/2006/relationships/hyperlink" Target="https://tnezki.github.io/physics/assessments_zxrtjp/unit1_assessment_plan/unit1_assessment_plan.html" TargetMode="External"/><Relationship Id="rId1075" Type="http://schemas.openxmlformats.org/officeDocument/2006/relationships/hyperlink" Target="https://tnezki.github.io/physics/activities/u4_1_act1/u4_1_act1.html" TargetMode="External"/><Relationship Id="rId1076" Type="http://schemas.openxmlformats.org/officeDocument/2006/relationships/hyperlink" Target="https://tnezki.github.io/physics/practice_sets/practice_sets_4_1/practice_set_4_1.html" TargetMode="External"/><Relationship Id="rId246" Type="http://schemas.openxmlformats.org/officeDocument/2006/relationships/hyperlink" Target="https://tnezki.github.io/physics/assessments_zxrtjp/unit1_summative/unit1_summative_assessment.html" TargetMode="External"/><Relationship Id="rId1077" Type="http://schemas.openxmlformats.org/officeDocument/2006/relationships/hyperlink" Target="https://tnezki.github.io/physics/practice_sets/practice_sets_4_1/extra_practice_4_1.html" TargetMode="External"/><Relationship Id="rId245" Type="http://schemas.openxmlformats.org/officeDocument/2006/relationships/hyperlink" Target="https://tnezki.github.io/physics/practice_sets/practice_sets_1_4/practice_set_1_4_3.html" TargetMode="External"/><Relationship Id="rId1078" Type="http://schemas.openxmlformats.org/officeDocument/2006/relationships/hyperlink" Target="https://tnezki.github.io/physics/practice_sets/practice_sets_4_1/cyu_4_1.html" TargetMode="External"/><Relationship Id="rId244" Type="http://schemas.openxmlformats.org/officeDocument/2006/relationships/hyperlink" Target="https://tnezki.github.io/physics/practice_sets/practice_sets_1_4/practice_set_1_4_2.html" TargetMode="External"/><Relationship Id="rId1079" Type="http://schemas.openxmlformats.org/officeDocument/2006/relationships/hyperlink" Target="https://tnezki.github.io/physics/progress/unit_4_progress/unit_4_progress.html" TargetMode="External"/><Relationship Id="rId243" Type="http://schemas.openxmlformats.org/officeDocument/2006/relationships/hyperlink" Target="https://tnezki.github.io/physics/exit/exit1/exit_1.html" TargetMode="External"/><Relationship Id="rId239" Type="http://schemas.openxmlformats.org/officeDocument/2006/relationships/hyperlink" Target="https://tnezki.github.io/physics/performance_task___5134zrt/u1_4_performance_task/u1_4_performance_task_teacher_guide.html" TargetMode="External"/><Relationship Id="rId238" Type="http://schemas.openxmlformats.org/officeDocument/2006/relationships/hyperlink" Target="https://tnezki.github.io/physics/investigations/u1_4_investigation/u1_4_investigation_teacher_guide.html" TargetMode="External"/><Relationship Id="rId237" Type="http://schemas.openxmlformats.org/officeDocument/2006/relationships/hyperlink" Target="https://tnezki.github.io/physics/demo/u1_4_demo/u1_4_demo_teacher_guide.html" TargetMode="External"/><Relationship Id="rId236" Type="http://schemas.openxmlformats.org/officeDocument/2006/relationships/hyperlink" Target="https://tnezki.github.io/physics/notes/u1_4_notes/u1_4_notes_teacher.html" TargetMode="External"/><Relationship Id="rId2390" Type="http://schemas.openxmlformats.org/officeDocument/2006/relationships/hyperlink" Target="https://tnezki.github.io/physics/reviews/review8/review_8.html" TargetMode="External"/><Relationship Id="rId1060" Type="http://schemas.openxmlformats.org/officeDocument/2006/relationships/hyperlink" Target="https://tnezki.github.io/physics/demo/u4_1_demo/u4_1_demo_teacher_guide.html" TargetMode="External"/><Relationship Id="rId2391" Type="http://schemas.openxmlformats.org/officeDocument/2006/relationships/hyperlink" Target="https://tnezki.github.io/physics/notes/u8_1_notes/u8_1_notes_teacher.html" TargetMode="External"/><Relationship Id="rId1061" Type="http://schemas.openxmlformats.org/officeDocument/2006/relationships/hyperlink" Target="https://tnezki.github.io/physics/investigations/u4_1_investigation/u4_1_investigation_teacher_guide.html" TargetMode="External"/><Relationship Id="rId2392" Type="http://schemas.openxmlformats.org/officeDocument/2006/relationships/hyperlink" Target="https://tnezki.github.io/physics/demo/u8_1_demo/u8_1_demo_teacher_guide.html" TargetMode="External"/><Relationship Id="rId231" Type="http://schemas.openxmlformats.org/officeDocument/2006/relationships/hyperlink" Target="https://tnezki.github.io/physics/practice_sets/practice_sets_1_4/practice_set_1_4.html" TargetMode="External"/><Relationship Id="rId1062" Type="http://schemas.openxmlformats.org/officeDocument/2006/relationships/hyperlink" Target="https://tnezki.github.io/physics/performance_task___5134zrt/u4_1_performance_task/u4_1_performance_task_teacher_guide.html" TargetMode="External"/><Relationship Id="rId2393" Type="http://schemas.openxmlformats.org/officeDocument/2006/relationships/hyperlink" Target="https://tnezki.github.io/physics/investigations/u8_1_investigation/u8_1_investigation_teacher_guide.html" TargetMode="External"/><Relationship Id="rId230" Type="http://schemas.openxmlformats.org/officeDocument/2006/relationships/hyperlink" Target="https://tnezki.github.io/physics/activities/u1_4_act1/u1_4_act1.html" TargetMode="External"/><Relationship Id="rId1063" Type="http://schemas.openxmlformats.org/officeDocument/2006/relationships/hyperlink" Target="https://tnezki.github.io/physics/assessments_zxrtjp/unit4_assessment_plan/unit4_assessment_plan.html" TargetMode="External"/><Relationship Id="rId2394" Type="http://schemas.openxmlformats.org/officeDocument/2006/relationships/hyperlink" Target="https://tnezki.github.io/physics/performance_task___5134zrt/u8_1_performance_task/u8_1_performance_task_teacher_guide.html" TargetMode="External"/><Relationship Id="rId1064" Type="http://schemas.openxmlformats.org/officeDocument/2006/relationships/hyperlink" Target="https://tnezki.github.io/physics/performance_task___5134zrt/u4_1_performance_task/u4_1_performance_task.html" TargetMode="External"/><Relationship Id="rId2395" Type="http://schemas.openxmlformats.org/officeDocument/2006/relationships/hyperlink" Target="https://tnezki.github.io/physics/assessments_zxrtjp/unit8_assessment_plan/unit8_assessment_plan.html" TargetMode="External"/><Relationship Id="rId1065" Type="http://schemas.openxmlformats.org/officeDocument/2006/relationships/hyperlink" Target="https://tnezki.github.io/physics/quick_check____htq5855/u4_1_quick_check/u4_1_quick_check.html" TargetMode="External"/><Relationship Id="rId2396" Type="http://schemas.openxmlformats.org/officeDocument/2006/relationships/hyperlink" Target="https://tnezki.github.io/physics/performance_task___5134zrt/u8_1_performance_task/u8_1_performance_task.html" TargetMode="External"/><Relationship Id="rId235" Type="http://schemas.openxmlformats.org/officeDocument/2006/relationships/hyperlink" Target="https://tnezki.github.io/physics/reviews/review1/review_1.html" TargetMode="External"/><Relationship Id="rId1066" Type="http://schemas.openxmlformats.org/officeDocument/2006/relationships/hyperlink" Target="https://tnezki.github.io/physics/exit/exit4/exit_4.html" TargetMode="External"/><Relationship Id="rId2397" Type="http://schemas.openxmlformats.org/officeDocument/2006/relationships/hyperlink" Target="https://tnezki.github.io/physics/quick_check____htq5855/u8_1_quick_check/u8_1_quick_check.html" TargetMode="External"/><Relationship Id="rId234" Type="http://schemas.openxmlformats.org/officeDocument/2006/relationships/hyperlink" Target="https://tnezki.github.io/physics/progress/unit_1_progress/unit_1_progress.html" TargetMode="External"/><Relationship Id="rId1067" Type="http://schemas.openxmlformats.org/officeDocument/2006/relationships/hyperlink" Target="https://tnezki.github.io/physics/practice_sets/practice_sets_4_1/practice_set_4_1_2.html" TargetMode="External"/><Relationship Id="rId2398" Type="http://schemas.openxmlformats.org/officeDocument/2006/relationships/hyperlink" Target="https://tnezki.github.io/physics/exit/exit8/exit_8.html" TargetMode="External"/><Relationship Id="rId233" Type="http://schemas.openxmlformats.org/officeDocument/2006/relationships/hyperlink" Target="https://tnezki.github.io/physics/practice_sets/practice_sets_1_4/cyu_1_4.html" TargetMode="External"/><Relationship Id="rId1068" Type="http://schemas.openxmlformats.org/officeDocument/2006/relationships/hyperlink" Target="https://tnezki.github.io/physics/practice_sets/practice_sets_4_1/practice_set_4_1_3.html" TargetMode="External"/><Relationship Id="rId2399" Type="http://schemas.openxmlformats.org/officeDocument/2006/relationships/hyperlink" Target="https://tnezki.github.io/physics/practice_sets/practice_sets_8_1/practice_set_8_1_2.html" TargetMode="External"/><Relationship Id="rId232" Type="http://schemas.openxmlformats.org/officeDocument/2006/relationships/hyperlink" Target="https://tnezki.github.io/physics/practice_sets/practice_sets_1_4/extra_practice_1_4.html" TargetMode="External"/><Relationship Id="rId1069" Type="http://schemas.openxmlformats.org/officeDocument/2006/relationships/hyperlink" Target="https://tnezki.github.io/physics/assessments_zxrtjp/unit4_summative/unit4_summative_assessment.html" TargetMode="External"/><Relationship Id="rId1015" Type="http://schemas.openxmlformats.org/officeDocument/2006/relationships/hyperlink" Target="https://tnezki.github.io/physics/performance_task___5134zrt/u3_5_performance_task/u3_5_performance_task_teacher_guide.html" TargetMode="External"/><Relationship Id="rId1499" Type="http://schemas.openxmlformats.org/officeDocument/2006/relationships/hyperlink" Target="https://tnezki.github.io/physics/practice_sets/practice_sets_5_3/cyu_5_3.html" TargetMode="External"/><Relationship Id="rId2346" Type="http://schemas.openxmlformats.org/officeDocument/2006/relationships/hyperlink" Target="https://tnezki.github.io/physics/investigations/u7_5_investigation/u7_5_investigation_teacher_guide.html" TargetMode="External"/><Relationship Id="rId1016" Type="http://schemas.openxmlformats.org/officeDocument/2006/relationships/hyperlink" Target="https://tnezki.github.io/physics/assessments_zxrtjp/unit3_assessment_plan/unit3_assessment_plan.html" TargetMode="External"/><Relationship Id="rId2347" Type="http://schemas.openxmlformats.org/officeDocument/2006/relationships/hyperlink" Target="https://tnezki.github.io/physics/performance_task___5134zrt/u7_5_performance_task/u7_5_performance_task_teacher_guide.html" TargetMode="External"/><Relationship Id="rId1017" Type="http://schemas.openxmlformats.org/officeDocument/2006/relationships/hyperlink" Target="https://tnezki.github.io/physics/performance_task___5134zrt/u3_5_performance_task/u3_5_performance_task.html" TargetMode="External"/><Relationship Id="rId2348" Type="http://schemas.openxmlformats.org/officeDocument/2006/relationships/hyperlink" Target="https://tnezki.github.io/physics/assessments_zxrtjp/unit7_assessment_plan/unit7_assessment_plan.html" TargetMode="External"/><Relationship Id="rId1018" Type="http://schemas.openxmlformats.org/officeDocument/2006/relationships/hyperlink" Target="https://tnezki.github.io/physics/quick_check____htq5855/u3_5_quick_check/u3_5_quick_check.html" TargetMode="External"/><Relationship Id="rId2349" Type="http://schemas.openxmlformats.org/officeDocument/2006/relationships/hyperlink" Target="https://tnezki.github.io/physics/performance_task___5134zrt/u7_5_performance_task/u7_5_performance_task.html" TargetMode="External"/><Relationship Id="rId1019" Type="http://schemas.openxmlformats.org/officeDocument/2006/relationships/hyperlink" Target="https://tnezki.github.io/physics/exit/exit3/exit_3.html" TargetMode="External"/><Relationship Id="rId668" Type="http://schemas.openxmlformats.org/officeDocument/2006/relationships/hyperlink" Target="https://tnezki.github.io/physics/banks/unit2/unit2.html" TargetMode="External"/><Relationship Id="rId667" Type="http://schemas.openxmlformats.org/officeDocument/2006/relationships/hyperlink" Target="https://tnezki.github.io/physics/assessments_zxrtjp/unit2_summative/unit2_summative_assessment.html" TargetMode="External"/><Relationship Id="rId666" Type="http://schemas.openxmlformats.org/officeDocument/2006/relationships/hyperlink" Target="https://tnezki.github.io/physics/practice_sets/practice_sets_2_5/practice_set_2_5_3.html" TargetMode="External"/><Relationship Id="rId665" Type="http://schemas.openxmlformats.org/officeDocument/2006/relationships/hyperlink" Target="https://tnezki.github.io/physics/practice_sets/practice_sets_2_5/practice_set_2_5_2.html" TargetMode="External"/><Relationship Id="rId669" Type="http://schemas.openxmlformats.org/officeDocument/2006/relationships/hyperlink" Target="https://tnezki.github.io/physics/warmups/unit_2_warmups/unit_2_warmups.html" TargetMode="External"/><Relationship Id="rId1490" Type="http://schemas.openxmlformats.org/officeDocument/2006/relationships/hyperlink" Target="https://tnezki.github.io/physics/assessments_zxrtjp/unit5_summative/unit5_summative_assessment.html" TargetMode="External"/><Relationship Id="rId660" Type="http://schemas.openxmlformats.org/officeDocument/2006/relationships/hyperlink" Target="https://tnezki.github.io/physics/performance_task___5134zrt/u2_5_performance_task/u2_5_performance_task_teacher_guide.html" TargetMode="External"/><Relationship Id="rId1491" Type="http://schemas.openxmlformats.org/officeDocument/2006/relationships/hyperlink" Target="https://tnezki.github.io/physics/banks/unit5/unit5.html" TargetMode="External"/><Relationship Id="rId1492" Type="http://schemas.openxmlformats.org/officeDocument/2006/relationships/hyperlink" Target="https://tnezki.github.io/physics/warmups/unit_5_warmups/unit_5_warmups.html" TargetMode="External"/><Relationship Id="rId1493" Type="http://schemas.openxmlformats.org/officeDocument/2006/relationships/hyperlink" Target="https://tnezki.github.io/physics/demo/u5_3_demo/u5_3_demo.html" TargetMode="External"/><Relationship Id="rId2340" Type="http://schemas.openxmlformats.org/officeDocument/2006/relationships/hyperlink" Target="https://tnezki.github.io/physics/practice_sets/practice_sets_7_5/extra_practice_7_5.html" TargetMode="External"/><Relationship Id="rId1010" Type="http://schemas.openxmlformats.org/officeDocument/2006/relationships/hyperlink" Target="https://tnezki.github.io/physics/progress/unit_3_progress/unit_3_progress.html" TargetMode="External"/><Relationship Id="rId1494" Type="http://schemas.openxmlformats.org/officeDocument/2006/relationships/hyperlink" Target="https://tnezki.github.io/physics/notes/u5_3_notes/u5_3_notes.html" TargetMode="External"/><Relationship Id="rId2341" Type="http://schemas.openxmlformats.org/officeDocument/2006/relationships/hyperlink" Target="https://tnezki.github.io/physics/practice_sets/practice_sets_7_5/cyu_7_5.html" TargetMode="External"/><Relationship Id="rId664" Type="http://schemas.openxmlformats.org/officeDocument/2006/relationships/hyperlink" Target="https://tnezki.github.io/physics/exit/exit2/exit_2.html" TargetMode="External"/><Relationship Id="rId1011" Type="http://schemas.openxmlformats.org/officeDocument/2006/relationships/hyperlink" Target="https://tnezki.github.io/physics/reviews/review3/review_3.html" TargetMode="External"/><Relationship Id="rId1495" Type="http://schemas.openxmlformats.org/officeDocument/2006/relationships/hyperlink" Target="https://tnezki.github.io/physics/investigations/u5_3_investigation/u5_3_investigation.html" TargetMode="External"/><Relationship Id="rId2342" Type="http://schemas.openxmlformats.org/officeDocument/2006/relationships/hyperlink" Target="https://tnezki.github.io/physics/progress/unit_7_progress/unit_7_progress.html" TargetMode="External"/><Relationship Id="rId663" Type="http://schemas.openxmlformats.org/officeDocument/2006/relationships/hyperlink" Target="https://tnezki.github.io/physics/quick_check____htq5855/u2_5_quick_check/u2_5_quick_check.html" TargetMode="External"/><Relationship Id="rId1012" Type="http://schemas.openxmlformats.org/officeDocument/2006/relationships/hyperlink" Target="https://tnezki.github.io/physics/notes/u3_5_notes/u3_5_notes_teacher.html" TargetMode="External"/><Relationship Id="rId1496" Type="http://schemas.openxmlformats.org/officeDocument/2006/relationships/hyperlink" Target="https://tnezki.github.io/physics/activities/u5_3_act1/u5_3_act1.html" TargetMode="External"/><Relationship Id="rId2343" Type="http://schemas.openxmlformats.org/officeDocument/2006/relationships/hyperlink" Target="https://tnezki.github.io/physics/reviews/review7/review_7.html" TargetMode="External"/><Relationship Id="rId662" Type="http://schemas.openxmlformats.org/officeDocument/2006/relationships/hyperlink" Target="https://tnezki.github.io/physics/performance_task___5134zrt/u2_5_performance_task/u2_5_performance_task.html" TargetMode="External"/><Relationship Id="rId1013" Type="http://schemas.openxmlformats.org/officeDocument/2006/relationships/hyperlink" Target="https://tnezki.github.io/physics/demo/u3_5_demo/u3_5_demo_teacher_guide.html" TargetMode="External"/><Relationship Id="rId1497" Type="http://schemas.openxmlformats.org/officeDocument/2006/relationships/hyperlink" Target="https://tnezki.github.io/physics/practice_sets/practice_sets_5_3/practice_set_5_3.html" TargetMode="External"/><Relationship Id="rId2344" Type="http://schemas.openxmlformats.org/officeDocument/2006/relationships/hyperlink" Target="https://tnezki.github.io/physics/notes/u7_5_notes/u7_5_notes_teacher.html" TargetMode="External"/><Relationship Id="rId661" Type="http://schemas.openxmlformats.org/officeDocument/2006/relationships/hyperlink" Target="https://tnezki.github.io/physics/assessments_zxrtjp/unit2_assessment_plan/unit2_assessment_plan.html" TargetMode="External"/><Relationship Id="rId1014" Type="http://schemas.openxmlformats.org/officeDocument/2006/relationships/hyperlink" Target="https://tnezki.github.io/physics/investigations/u3_5_investigation/u3_5_investigation_teacher_guide.html" TargetMode="External"/><Relationship Id="rId1498" Type="http://schemas.openxmlformats.org/officeDocument/2006/relationships/hyperlink" Target="https://tnezki.github.io/physics/practice_sets/practice_sets_5_3/extra_practice_5_3.html" TargetMode="External"/><Relationship Id="rId2345" Type="http://schemas.openxmlformats.org/officeDocument/2006/relationships/hyperlink" Target="https://tnezki.github.io/physics/demo/u7_5_demo/u7_5_demo_teacher_guide.html" TargetMode="External"/><Relationship Id="rId1004" Type="http://schemas.openxmlformats.org/officeDocument/2006/relationships/hyperlink" Target="https://tnezki.github.io/physics/notes/u3_5_notes/u3_5_notes.html" TargetMode="External"/><Relationship Id="rId1488" Type="http://schemas.openxmlformats.org/officeDocument/2006/relationships/hyperlink" Target="https://tnezki.github.io/physics/practice_sets/practice_sets_5_2/practice_set_5_2_2.html" TargetMode="External"/><Relationship Id="rId2335" Type="http://schemas.openxmlformats.org/officeDocument/2006/relationships/hyperlink" Target="https://tnezki.github.io/physics/demo/u7_5_demo/u7_5_demo.html" TargetMode="External"/><Relationship Id="rId1005" Type="http://schemas.openxmlformats.org/officeDocument/2006/relationships/hyperlink" Target="https://tnezki.github.io/physics/investigations/u3_5_investigation/u3_5_investigation.html" TargetMode="External"/><Relationship Id="rId1489" Type="http://schemas.openxmlformats.org/officeDocument/2006/relationships/hyperlink" Target="https://tnezki.github.io/physics/practice_sets/practice_sets_5_2/practice_set_5_2_3.html" TargetMode="External"/><Relationship Id="rId2336" Type="http://schemas.openxmlformats.org/officeDocument/2006/relationships/hyperlink" Target="https://tnezki.github.io/physics/notes/u7_5_notes/u7_5_notes.html" TargetMode="External"/><Relationship Id="rId1006" Type="http://schemas.openxmlformats.org/officeDocument/2006/relationships/hyperlink" Target="https://tnezki.github.io/physics/activities/u3_5_act1/u3_5_act1.html" TargetMode="External"/><Relationship Id="rId2337" Type="http://schemas.openxmlformats.org/officeDocument/2006/relationships/hyperlink" Target="https://tnezki.github.io/physics/investigations/u7_5_investigation/u7_5_investigation.html" TargetMode="External"/><Relationship Id="rId1007" Type="http://schemas.openxmlformats.org/officeDocument/2006/relationships/hyperlink" Target="https://tnezki.github.io/physics/practice_sets/practice_sets_3_5/practice_set_3_5.html" TargetMode="External"/><Relationship Id="rId2338" Type="http://schemas.openxmlformats.org/officeDocument/2006/relationships/hyperlink" Target="https://tnezki.github.io/physics/activities/u7_5_act1/u7_5_act1.html" TargetMode="External"/><Relationship Id="rId1008" Type="http://schemas.openxmlformats.org/officeDocument/2006/relationships/hyperlink" Target="https://tnezki.github.io/physics/practice_sets/practice_sets_3_5/extra_practice_3_5.html" TargetMode="External"/><Relationship Id="rId2339" Type="http://schemas.openxmlformats.org/officeDocument/2006/relationships/hyperlink" Target="https://tnezki.github.io/physics/practice_sets/practice_sets_7_5/practice_set_7_5.html" TargetMode="External"/><Relationship Id="rId1009" Type="http://schemas.openxmlformats.org/officeDocument/2006/relationships/hyperlink" Target="https://tnezki.github.io/physics/practice_sets/practice_sets_3_5/cyu_3_5.html" TargetMode="External"/><Relationship Id="rId657" Type="http://schemas.openxmlformats.org/officeDocument/2006/relationships/hyperlink" Target="https://tnezki.github.io/physics/notes/u2_5_notes/u2_5_notes_teacher.html" TargetMode="External"/><Relationship Id="rId656" Type="http://schemas.openxmlformats.org/officeDocument/2006/relationships/hyperlink" Target="https://tnezki.github.io/physics/reviews/review2/review_2.html" TargetMode="External"/><Relationship Id="rId655" Type="http://schemas.openxmlformats.org/officeDocument/2006/relationships/hyperlink" Target="https://tnezki.github.io/physics/progress/unit_2_progress/unit_2_progress.html" TargetMode="External"/><Relationship Id="rId654" Type="http://schemas.openxmlformats.org/officeDocument/2006/relationships/hyperlink" Target="https://tnezki.github.io/physics/practice_sets/practice_sets_2_5/cyu_2_5.html" TargetMode="External"/><Relationship Id="rId659" Type="http://schemas.openxmlformats.org/officeDocument/2006/relationships/hyperlink" Target="https://tnezki.github.io/physics/investigations/u2_5_investigation/u2_5_investigation_teacher_guide.html" TargetMode="External"/><Relationship Id="rId658" Type="http://schemas.openxmlformats.org/officeDocument/2006/relationships/hyperlink" Target="https://tnezki.github.io/physics/demo/u2_5_demo/u2_5_demo_teacher_guide.html" TargetMode="External"/><Relationship Id="rId1480" Type="http://schemas.openxmlformats.org/officeDocument/2006/relationships/hyperlink" Target="https://tnezki.github.io/physics/notes/u5_2_notes/u5_2_notes_teacher.html" TargetMode="External"/><Relationship Id="rId1481" Type="http://schemas.openxmlformats.org/officeDocument/2006/relationships/hyperlink" Target="https://tnezki.github.io/physics/demo/u5_2_demo/u5_2_demo_teacher_guide.html" TargetMode="External"/><Relationship Id="rId1482" Type="http://schemas.openxmlformats.org/officeDocument/2006/relationships/hyperlink" Target="https://tnezki.github.io/physics/investigations/u5_2_investigation/u5_2_investigation_teacher_guide.html" TargetMode="External"/><Relationship Id="rId1483" Type="http://schemas.openxmlformats.org/officeDocument/2006/relationships/hyperlink" Target="https://tnezki.github.io/physics/performance_task___5134zrt/u5_2_performance_task/u5_2_performance_task_teacher_guide.html" TargetMode="External"/><Relationship Id="rId2330" Type="http://schemas.openxmlformats.org/officeDocument/2006/relationships/hyperlink" Target="https://tnezki.github.io/physics/practice_sets/practice_sets_7_5/practice_set_7_5_2.html" TargetMode="External"/><Relationship Id="rId653" Type="http://schemas.openxmlformats.org/officeDocument/2006/relationships/hyperlink" Target="https://tnezki.github.io/physics/practice_sets/practice_sets_2_5/extra_practice_2_5.html" TargetMode="External"/><Relationship Id="rId1000" Type="http://schemas.openxmlformats.org/officeDocument/2006/relationships/hyperlink" Target="https://tnezki.github.io/physics/assessments_zxrtjp/unit3_summative/unit3_summative_assessment.html" TargetMode="External"/><Relationship Id="rId1484" Type="http://schemas.openxmlformats.org/officeDocument/2006/relationships/hyperlink" Target="https://tnezki.github.io/physics/assessments_zxrtjp/unit5_assessment_plan/unit5_assessment_plan.html" TargetMode="External"/><Relationship Id="rId2331" Type="http://schemas.openxmlformats.org/officeDocument/2006/relationships/hyperlink" Target="https://tnezki.github.io/physics/practice_sets/practice_sets_7_5/practice_set_7_5_3.html" TargetMode="External"/><Relationship Id="rId652" Type="http://schemas.openxmlformats.org/officeDocument/2006/relationships/hyperlink" Target="https://tnezki.github.io/physics/practice_sets/practice_sets_2_5/practice_set_2_5.html" TargetMode="External"/><Relationship Id="rId1001" Type="http://schemas.openxmlformats.org/officeDocument/2006/relationships/hyperlink" Target="https://tnezki.github.io/physics/banks/unit3/unit3.html" TargetMode="External"/><Relationship Id="rId1485" Type="http://schemas.openxmlformats.org/officeDocument/2006/relationships/hyperlink" Target="https://tnezki.github.io/physics/performance_task___5134zrt/u5_2_performance_task/u5_2_performance_task.html" TargetMode="External"/><Relationship Id="rId2332" Type="http://schemas.openxmlformats.org/officeDocument/2006/relationships/hyperlink" Target="https://tnezki.github.io/physics/assessments_zxrtjp/unit7_summative/unit7_summative_assessment.html" TargetMode="External"/><Relationship Id="rId651" Type="http://schemas.openxmlformats.org/officeDocument/2006/relationships/hyperlink" Target="https://tnezki.github.io/physics/activities/u2_5_act1/u2_5_act1.html" TargetMode="External"/><Relationship Id="rId1002" Type="http://schemas.openxmlformats.org/officeDocument/2006/relationships/hyperlink" Target="https://tnezki.github.io/physics/warmups/unit_3_warmups/unit_3_warmups.html" TargetMode="External"/><Relationship Id="rId1486" Type="http://schemas.openxmlformats.org/officeDocument/2006/relationships/hyperlink" Target="https://tnezki.github.io/physics/quick_check____htq5855/u5_2_quick_check/u5_2_quick_check.html" TargetMode="External"/><Relationship Id="rId2333" Type="http://schemas.openxmlformats.org/officeDocument/2006/relationships/hyperlink" Target="https://tnezki.github.io/physics/banks/unit7/unit7.html" TargetMode="External"/><Relationship Id="rId650" Type="http://schemas.openxmlformats.org/officeDocument/2006/relationships/hyperlink" Target="https://tnezki.github.io/physics/investigations/u2_5_investigation/u2_5_investigation.html" TargetMode="External"/><Relationship Id="rId1003" Type="http://schemas.openxmlformats.org/officeDocument/2006/relationships/hyperlink" Target="https://tnezki.github.io/physics/demo/u3_5_demo/u3_5_demo.html" TargetMode="External"/><Relationship Id="rId1487" Type="http://schemas.openxmlformats.org/officeDocument/2006/relationships/hyperlink" Target="https://tnezki.github.io/physics/exit/exit5/exit_5.html" TargetMode="External"/><Relationship Id="rId2334" Type="http://schemas.openxmlformats.org/officeDocument/2006/relationships/hyperlink" Target="https://tnezki.github.io/physics/warmups/unit_7_warmups/unit_7_warmups.html" TargetMode="External"/><Relationship Id="rId1037" Type="http://schemas.openxmlformats.org/officeDocument/2006/relationships/hyperlink" Target="https://tnezki.github.io/physics/notes/u4_1_notes/u4_1_notes_teacher.html" TargetMode="External"/><Relationship Id="rId2368" Type="http://schemas.openxmlformats.org/officeDocument/2006/relationships/hyperlink" Target="https://tnezki.github.io/physics/reviews/review8/review_8.html" TargetMode="External"/><Relationship Id="rId1038" Type="http://schemas.openxmlformats.org/officeDocument/2006/relationships/hyperlink" Target="https://tnezki.github.io/physics/demo/u4_1_demo/u4_1_demo_teacher_guide.html" TargetMode="External"/><Relationship Id="rId2369" Type="http://schemas.openxmlformats.org/officeDocument/2006/relationships/hyperlink" Target="https://tnezki.github.io/physics/notes/u8_1_notes/u8_1_notes_teacher.html" TargetMode="External"/><Relationship Id="rId1039" Type="http://schemas.openxmlformats.org/officeDocument/2006/relationships/hyperlink" Target="https://tnezki.github.io/physics/investigations/u4_1_investigation/u4_1_investigation_teacher_guide.html" TargetMode="External"/><Relationship Id="rId206" Type="http://schemas.openxmlformats.org/officeDocument/2006/relationships/hyperlink" Target="https://tnezki.github.io/physics/notes/u1_3_notes/u1_3_notes.html" TargetMode="External"/><Relationship Id="rId205" Type="http://schemas.openxmlformats.org/officeDocument/2006/relationships/hyperlink" Target="https://tnezki.github.io/physics/demo/u1_3_demo/u1_3_demo.html" TargetMode="External"/><Relationship Id="rId689" Type="http://schemas.openxmlformats.org/officeDocument/2006/relationships/hyperlink" Target="https://tnezki.github.io/physics/assessments_zxrtjp/unit2_summative/unit2_summative_assessment.html" TargetMode="External"/><Relationship Id="rId204" Type="http://schemas.openxmlformats.org/officeDocument/2006/relationships/hyperlink" Target="https://tnezki.github.io/physics/warmups/unit_1_warmups/unit_1_warmups.html" TargetMode="External"/><Relationship Id="rId688" Type="http://schemas.openxmlformats.org/officeDocument/2006/relationships/hyperlink" Target="https://tnezki.github.io/physics/practice_sets/practice_sets_2_5/practice_set_2_5_3.html" TargetMode="External"/><Relationship Id="rId203" Type="http://schemas.openxmlformats.org/officeDocument/2006/relationships/hyperlink" Target="https://tnezki.github.io/physics/banks/unit1/unit1.html" TargetMode="External"/><Relationship Id="rId687" Type="http://schemas.openxmlformats.org/officeDocument/2006/relationships/hyperlink" Target="https://tnezki.github.io/physics/practice_sets/practice_sets_2_5/practice_set_2_5_2.html" TargetMode="External"/><Relationship Id="rId209" Type="http://schemas.openxmlformats.org/officeDocument/2006/relationships/hyperlink" Target="https://tnezki.github.io/physics/practice_sets/practice_sets_1_3/practice_set_1_3.html" TargetMode="External"/><Relationship Id="rId208" Type="http://schemas.openxmlformats.org/officeDocument/2006/relationships/hyperlink" Target="https://tnezki.github.io/physics/activities/u1_3_act1/u1_3_act1.html" TargetMode="External"/><Relationship Id="rId207" Type="http://schemas.openxmlformats.org/officeDocument/2006/relationships/hyperlink" Target="https://tnezki.github.io/physics/investigations/u1_3_investigation/u1_3_investigation.html" TargetMode="External"/><Relationship Id="rId682" Type="http://schemas.openxmlformats.org/officeDocument/2006/relationships/hyperlink" Target="https://tnezki.github.io/physics/performance_task___5134zrt/u2_5_performance_task/u2_5_performance_task_teacher_guide.html" TargetMode="External"/><Relationship Id="rId2360" Type="http://schemas.openxmlformats.org/officeDocument/2006/relationships/hyperlink" Target="https://tnezki.github.io/physics/demo/u8_1_demo/u8_1_demo.html" TargetMode="External"/><Relationship Id="rId681" Type="http://schemas.openxmlformats.org/officeDocument/2006/relationships/hyperlink" Target="https://tnezki.github.io/physics/investigations/u2_5_investigation/u2_5_investigation_teacher_guide.html" TargetMode="External"/><Relationship Id="rId1030" Type="http://schemas.openxmlformats.org/officeDocument/2006/relationships/hyperlink" Target="https://tnezki.github.io/physics/investigations/u4_1_investigation/u4_1_investigation.html" TargetMode="External"/><Relationship Id="rId2361" Type="http://schemas.openxmlformats.org/officeDocument/2006/relationships/hyperlink" Target="https://tnezki.github.io/physics/notes/u8_1_notes/u8_1_notes.html" TargetMode="External"/><Relationship Id="rId680" Type="http://schemas.openxmlformats.org/officeDocument/2006/relationships/hyperlink" Target="https://tnezki.github.io/physics/demo/u2_5_demo/u2_5_demo_teacher_guide.html" TargetMode="External"/><Relationship Id="rId1031" Type="http://schemas.openxmlformats.org/officeDocument/2006/relationships/hyperlink" Target="https://tnezki.github.io/physics/activities/u4_1_act1/u4_1_act1.html" TargetMode="External"/><Relationship Id="rId2362" Type="http://schemas.openxmlformats.org/officeDocument/2006/relationships/hyperlink" Target="https://tnezki.github.io/physics/investigations/u8_1_investigation/u8_1_investigation.html" TargetMode="External"/><Relationship Id="rId1032" Type="http://schemas.openxmlformats.org/officeDocument/2006/relationships/hyperlink" Target="https://tnezki.github.io/physics/practice_sets/practice_sets_4_1/practice_set_4_1.html" TargetMode="External"/><Relationship Id="rId2363" Type="http://schemas.openxmlformats.org/officeDocument/2006/relationships/hyperlink" Target="https://tnezki.github.io/physics/activities/u8_1_act1/u8_1_act1.html" TargetMode="External"/><Relationship Id="rId202" Type="http://schemas.openxmlformats.org/officeDocument/2006/relationships/hyperlink" Target="https://tnezki.github.io/physics/assessments_zxrtjp/unit1_summative/unit1_summative_assessment.html" TargetMode="External"/><Relationship Id="rId686" Type="http://schemas.openxmlformats.org/officeDocument/2006/relationships/hyperlink" Target="https://tnezki.github.io/physics/exit/exit2/exit_2.html" TargetMode="External"/><Relationship Id="rId1033" Type="http://schemas.openxmlformats.org/officeDocument/2006/relationships/hyperlink" Target="https://tnezki.github.io/physics/practice_sets/practice_sets_4_1/extra_practice_4_1.html" TargetMode="External"/><Relationship Id="rId2364" Type="http://schemas.openxmlformats.org/officeDocument/2006/relationships/hyperlink" Target="https://tnezki.github.io/physics/practice_sets/practice_sets_8_1/practice_set_8_1.html" TargetMode="External"/><Relationship Id="rId201" Type="http://schemas.openxmlformats.org/officeDocument/2006/relationships/hyperlink" Target="https://tnezki.github.io/physics/practice_sets/practice_sets_1_3/practice_set_1_3_3.html" TargetMode="External"/><Relationship Id="rId685" Type="http://schemas.openxmlformats.org/officeDocument/2006/relationships/hyperlink" Target="https://tnezki.github.io/physics/quick_check____htq5855/u2_5_quick_check/u2_5_quick_check.html" TargetMode="External"/><Relationship Id="rId1034" Type="http://schemas.openxmlformats.org/officeDocument/2006/relationships/hyperlink" Target="https://tnezki.github.io/physics/practice_sets/practice_sets_4_1/cyu_4_1.html" TargetMode="External"/><Relationship Id="rId2365" Type="http://schemas.openxmlformats.org/officeDocument/2006/relationships/hyperlink" Target="https://tnezki.github.io/physics/practice_sets/practice_sets_8_1/extra_practice_8_1.html" TargetMode="External"/><Relationship Id="rId200" Type="http://schemas.openxmlformats.org/officeDocument/2006/relationships/hyperlink" Target="https://tnezki.github.io/physics/practice_sets/practice_sets_1_3/practice_set_1_3_2.html" TargetMode="External"/><Relationship Id="rId684" Type="http://schemas.openxmlformats.org/officeDocument/2006/relationships/hyperlink" Target="https://tnezki.github.io/physics/performance_task___5134zrt/u2_5_performance_task/u2_5_performance_task.html" TargetMode="External"/><Relationship Id="rId1035" Type="http://schemas.openxmlformats.org/officeDocument/2006/relationships/hyperlink" Target="https://tnezki.github.io/physics/progress/unit_4_progress/unit_4_progress.html" TargetMode="External"/><Relationship Id="rId2366" Type="http://schemas.openxmlformats.org/officeDocument/2006/relationships/hyperlink" Target="https://tnezki.github.io/physics/practice_sets/practice_sets_8_1/cyu_8_1.html" TargetMode="External"/><Relationship Id="rId683" Type="http://schemas.openxmlformats.org/officeDocument/2006/relationships/hyperlink" Target="https://tnezki.github.io/physics/assessments_zxrtjp/unit2_assessment_plan/unit2_assessment_plan.html" TargetMode="External"/><Relationship Id="rId1036" Type="http://schemas.openxmlformats.org/officeDocument/2006/relationships/hyperlink" Target="https://tnezki.github.io/physics/reviews/review4/review_4.html" TargetMode="External"/><Relationship Id="rId2367" Type="http://schemas.openxmlformats.org/officeDocument/2006/relationships/hyperlink" Target="https://tnezki.github.io/physics/progress/unit_8_progress/unit_8_progress.html" TargetMode="External"/><Relationship Id="rId1026" Type="http://schemas.openxmlformats.org/officeDocument/2006/relationships/hyperlink" Target="https://tnezki.github.io/physics/assessments_zxrtjp/unit3_assessment_plan/unit3_assessment_plan.html" TargetMode="External"/><Relationship Id="rId2357" Type="http://schemas.openxmlformats.org/officeDocument/2006/relationships/hyperlink" Target="https://tnezki.github.io/physics/banks/unit7/unit7.html" TargetMode="External"/><Relationship Id="rId1027" Type="http://schemas.openxmlformats.org/officeDocument/2006/relationships/hyperlink" Target="https://tnezki.github.io/physics/warmups/unit_4_warmups/unit_4_warmups.html" TargetMode="External"/><Relationship Id="rId2358" Type="http://schemas.openxmlformats.org/officeDocument/2006/relationships/hyperlink" Target="https://tnezki.github.io/physics/assessments_zxrtjp/unit7_assessment_plan/unit7_assessment_plan.html" TargetMode="External"/><Relationship Id="rId1028" Type="http://schemas.openxmlformats.org/officeDocument/2006/relationships/hyperlink" Target="https://tnezki.github.io/physics/demo/u4_1_demo/u4_1_demo.html" TargetMode="External"/><Relationship Id="rId2359" Type="http://schemas.openxmlformats.org/officeDocument/2006/relationships/hyperlink" Target="https://tnezki.github.io/physics/warmups/unit_8_warmups/unit_8_warmups.html" TargetMode="External"/><Relationship Id="rId1029" Type="http://schemas.openxmlformats.org/officeDocument/2006/relationships/hyperlink" Target="https://tnezki.github.io/physics/notes/u4_1_notes/u4_1_notes.html" TargetMode="External"/><Relationship Id="rId679" Type="http://schemas.openxmlformats.org/officeDocument/2006/relationships/hyperlink" Target="https://tnezki.github.io/physics/notes/u2_5_notes/u2_5_notes_teacher.html" TargetMode="External"/><Relationship Id="rId678" Type="http://schemas.openxmlformats.org/officeDocument/2006/relationships/hyperlink" Target="https://tnezki.github.io/physics/reviews/review2/review_2.html" TargetMode="External"/><Relationship Id="rId677" Type="http://schemas.openxmlformats.org/officeDocument/2006/relationships/hyperlink" Target="https://tnezki.github.io/physics/progress/unit_2_progress/unit_2_progress.html" TargetMode="External"/><Relationship Id="rId676" Type="http://schemas.openxmlformats.org/officeDocument/2006/relationships/hyperlink" Target="https://tnezki.github.io/physics/practice_sets/practice_sets_2_5/cyu_2_5.html" TargetMode="External"/><Relationship Id="rId671" Type="http://schemas.openxmlformats.org/officeDocument/2006/relationships/hyperlink" Target="https://tnezki.github.io/physics/notes/u2_5_notes/u2_5_notes.html" TargetMode="External"/><Relationship Id="rId670" Type="http://schemas.openxmlformats.org/officeDocument/2006/relationships/hyperlink" Target="https://tnezki.github.io/physics/demo/u2_5_demo/u2_5_demo.html" TargetMode="External"/><Relationship Id="rId2350" Type="http://schemas.openxmlformats.org/officeDocument/2006/relationships/hyperlink" Target="https://tnezki.github.io/physics/quick_check____htq5855/u7_5_quick_check/u7_5_quick_check.html" TargetMode="External"/><Relationship Id="rId1020" Type="http://schemas.openxmlformats.org/officeDocument/2006/relationships/hyperlink" Target="https://tnezki.github.io/physics/practice_sets/practice_sets_3_5/practice_set_3_5_2.html" TargetMode="External"/><Relationship Id="rId2351" Type="http://schemas.openxmlformats.org/officeDocument/2006/relationships/hyperlink" Target="https://tnezki.github.io/physics/exit/exit7/exit_7.html" TargetMode="External"/><Relationship Id="rId1021" Type="http://schemas.openxmlformats.org/officeDocument/2006/relationships/hyperlink" Target="https://tnezki.github.io/physics/practice_sets/practice_sets_3_5/practice_set_3_5_3.html" TargetMode="External"/><Relationship Id="rId2352" Type="http://schemas.openxmlformats.org/officeDocument/2006/relationships/hyperlink" Target="https://tnezki.github.io/physics/practice_sets/practice_sets_7_5/practice_set_7_5_2.html" TargetMode="External"/><Relationship Id="rId675" Type="http://schemas.openxmlformats.org/officeDocument/2006/relationships/hyperlink" Target="https://tnezki.github.io/physics/practice_sets/practice_sets_2_5/extra_practice_2_5.html" TargetMode="External"/><Relationship Id="rId1022" Type="http://schemas.openxmlformats.org/officeDocument/2006/relationships/hyperlink" Target="https://tnezki.github.io/physics/assessments_zxrtjp/unit3_summative/unit3_summative_assessment.html" TargetMode="External"/><Relationship Id="rId2353" Type="http://schemas.openxmlformats.org/officeDocument/2006/relationships/hyperlink" Target="https://tnezki.github.io/physics/practice_sets/practice_sets_7_5/practice_set_7_5_3.html" TargetMode="External"/><Relationship Id="rId674" Type="http://schemas.openxmlformats.org/officeDocument/2006/relationships/hyperlink" Target="https://tnezki.github.io/physics/practice_sets/practice_sets_2_5/practice_set_2_5.html" TargetMode="External"/><Relationship Id="rId1023" Type="http://schemas.openxmlformats.org/officeDocument/2006/relationships/hyperlink" Target="https://tnezki.github.io/physics/banks/unit3/unit3.html" TargetMode="External"/><Relationship Id="rId2354" Type="http://schemas.openxmlformats.org/officeDocument/2006/relationships/hyperlink" Target="https://tnezki.github.io/physics/assessments_zxrtjp/unit7_summative/unit7_summative_assessment.html" TargetMode="External"/><Relationship Id="rId673" Type="http://schemas.openxmlformats.org/officeDocument/2006/relationships/hyperlink" Target="https://tnezki.github.io/physics/activities/u2_5_act1/u2_5_act1.html" TargetMode="External"/><Relationship Id="rId1024" Type="http://schemas.openxmlformats.org/officeDocument/2006/relationships/hyperlink" Target="https://tnezki.github.io/physics/assessments_zxrtjp/unit3_summative/unit3_summative_assessment.html" TargetMode="External"/><Relationship Id="rId2355" Type="http://schemas.openxmlformats.org/officeDocument/2006/relationships/hyperlink" Target="https://tnezki.github.io/physics/banks/unit7/unit7.html" TargetMode="External"/><Relationship Id="rId672" Type="http://schemas.openxmlformats.org/officeDocument/2006/relationships/hyperlink" Target="https://tnezki.github.io/physics/investigations/u2_5_investigation/u2_5_investigation.html" TargetMode="External"/><Relationship Id="rId1025" Type="http://schemas.openxmlformats.org/officeDocument/2006/relationships/hyperlink" Target="https://tnezki.github.io/physics/banks/unit3/unit3.html" TargetMode="External"/><Relationship Id="rId2356" Type="http://schemas.openxmlformats.org/officeDocument/2006/relationships/hyperlink" Target="https://tnezki.github.io/physics/assessments_zxrtjp/unit7_summative/unit7_summative_assessment.html" TargetMode="External"/><Relationship Id="rId190" Type="http://schemas.openxmlformats.org/officeDocument/2006/relationships/hyperlink" Target="https://tnezki.github.io/physics/progress/unit_1_progress/unit_1_progress.html" TargetMode="External"/><Relationship Id="rId194" Type="http://schemas.openxmlformats.org/officeDocument/2006/relationships/hyperlink" Target="https://tnezki.github.io/physics/investigations/u1_3_investigation/u1_3_investigation_teacher_guide.html" TargetMode="External"/><Relationship Id="rId193" Type="http://schemas.openxmlformats.org/officeDocument/2006/relationships/hyperlink" Target="https://tnezki.github.io/physics/demo/u1_3_demo/u1_3_demo_teacher_guide.html" TargetMode="External"/><Relationship Id="rId192" Type="http://schemas.openxmlformats.org/officeDocument/2006/relationships/hyperlink" Target="https://tnezki.github.io/physics/notes/u1_3_notes/u1_3_notes_teacher.html" TargetMode="External"/><Relationship Id="rId191" Type="http://schemas.openxmlformats.org/officeDocument/2006/relationships/hyperlink" Target="https://tnezki.github.io/physics/reviews/review1/review_1.html" TargetMode="External"/><Relationship Id="rId187" Type="http://schemas.openxmlformats.org/officeDocument/2006/relationships/hyperlink" Target="https://tnezki.github.io/physics/practice_sets/practice_sets_1_3/practice_set_1_3.html" TargetMode="External"/><Relationship Id="rId186" Type="http://schemas.openxmlformats.org/officeDocument/2006/relationships/hyperlink" Target="https://tnezki.github.io/physics/activities/u1_3_act1/u1_3_act1.html" TargetMode="External"/><Relationship Id="rId185" Type="http://schemas.openxmlformats.org/officeDocument/2006/relationships/hyperlink" Target="https://tnezki.github.io/physics/investigations/u1_3_investigation/u1_3_investigation.html" TargetMode="External"/><Relationship Id="rId184" Type="http://schemas.openxmlformats.org/officeDocument/2006/relationships/hyperlink" Target="https://tnezki.github.io/physics/notes/u1_3_notes/u1_3_notes.html" TargetMode="External"/><Relationship Id="rId189" Type="http://schemas.openxmlformats.org/officeDocument/2006/relationships/hyperlink" Target="https://tnezki.github.io/physics/practice_sets/practice_sets_1_3/cyu_1_3.html" TargetMode="External"/><Relationship Id="rId188" Type="http://schemas.openxmlformats.org/officeDocument/2006/relationships/hyperlink" Target="https://tnezki.github.io/physics/practice_sets/practice_sets_1_3/extra_practice_1_3.html" TargetMode="External"/><Relationship Id="rId183" Type="http://schemas.openxmlformats.org/officeDocument/2006/relationships/hyperlink" Target="https://tnezki.github.io/physics/demo/u1_3_demo/u1_3_demo.html" TargetMode="External"/><Relationship Id="rId182" Type="http://schemas.openxmlformats.org/officeDocument/2006/relationships/hyperlink" Target="https://tnezki.github.io/physics/warmups/unit_1_warmups/unit_1_warmups.html" TargetMode="External"/><Relationship Id="rId181" Type="http://schemas.openxmlformats.org/officeDocument/2006/relationships/hyperlink" Target="https://tnezki.github.io/physics/banks/unit1/unit1.html" TargetMode="External"/><Relationship Id="rId180" Type="http://schemas.openxmlformats.org/officeDocument/2006/relationships/hyperlink" Target="https://tnezki.github.io/physics/assessments_zxrtjp/unit1_summative/unit1_summative_assessment.html" TargetMode="External"/><Relationship Id="rId176" Type="http://schemas.openxmlformats.org/officeDocument/2006/relationships/hyperlink" Target="https://tnezki.github.io/physics/quick_check____htq5855/u1_3_quick_check/u1_3_quick_check.html" TargetMode="External"/><Relationship Id="rId175" Type="http://schemas.openxmlformats.org/officeDocument/2006/relationships/hyperlink" Target="https://tnezki.github.io/physics/performance_task___5134zrt/u1_3_performance_task/u1_3_performance_task.html" TargetMode="External"/><Relationship Id="rId174" Type="http://schemas.openxmlformats.org/officeDocument/2006/relationships/hyperlink" Target="https://tnezki.github.io/physics/assessments_zxrtjp/unit1_assessment_plan/unit1_assessment_plan.html" TargetMode="External"/><Relationship Id="rId173" Type="http://schemas.openxmlformats.org/officeDocument/2006/relationships/hyperlink" Target="https://tnezki.github.io/physics/performance_task___5134zrt/u1_3_performance_task/u1_3_performance_task_teacher_guide.html" TargetMode="External"/><Relationship Id="rId179" Type="http://schemas.openxmlformats.org/officeDocument/2006/relationships/hyperlink" Target="https://tnezki.github.io/physics/practice_sets/practice_sets_1_3/practice_set_1_3_3.html" TargetMode="External"/><Relationship Id="rId178" Type="http://schemas.openxmlformats.org/officeDocument/2006/relationships/hyperlink" Target="https://tnezki.github.io/physics/practice_sets/practice_sets_1_3/practice_set_1_3_2.html" TargetMode="External"/><Relationship Id="rId177" Type="http://schemas.openxmlformats.org/officeDocument/2006/relationships/hyperlink" Target="https://tnezki.github.io/physics/exit/exit1/exit_1.html" TargetMode="External"/><Relationship Id="rId1910" Type="http://schemas.openxmlformats.org/officeDocument/2006/relationships/hyperlink" Target="https://tnezki.github.io/physics/practice_sets/practice_sets_6_4/practice_set_6_4_3.html" TargetMode="External"/><Relationship Id="rId1911" Type="http://schemas.openxmlformats.org/officeDocument/2006/relationships/hyperlink" Target="https://tnezki.github.io/physics/assessments_zxrtjp/unit6_summative/unit6_summative_assessment.html" TargetMode="External"/><Relationship Id="rId1912" Type="http://schemas.openxmlformats.org/officeDocument/2006/relationships/hyperlink" Target="https://tnezki.github.io/physics/banks/unit6/unit6.html" TargetMode="External"/><Relationship Id="rId1913" Type="http://schemas.openxmlformats.org/officeDocument/2006/relationships/hyperlink" Target="https://tnezki.github.io/physics/warmups/unit_6_warmups/unit_6_warmups.html" TargetMode="External"/><Relationship Id="rId1914" Type="http://schemas.openxmlformats.org/officeDocument/2006/relationships/hyperlink" Target="https://tnezki.github.io/physics/demo/u6_4_demo/u6_4_demo.html" TargetMode="External"/><Relationship Id="rId1915" Type="http://schemas.openxmlformats.org/officeDocument/2006/relationships/hyperlink" Target="https://tnezki.github.io/physics/notes/u6_4_notes/u6_4_notes.html" TargetMode="External"/><Relationship Id="rId1916" Type="http://schemas.openxmlformats.org/officeDocument/2006/relationships/hyperlink" Target="https://tnezki.github.io/physics/investigations/u6_4_investigation/u6_4_investigation.html" TargetMode="External"/><Relationship Id="rId1917" Type="http://schemas.openxmlformats.org/officeDocument/2006/relationships/hyperlink" Target="https://tnezki.github.io/physics/activities/u6_4_act1/u6_4_act1.html" TargetMode="External"/><Relationship Id="rId1918" Type="http://schemas.openxmlformats.org/officeDocument/2006/relationships/hyperlink" Target="https://tnezki.github.io/physics/practice_sets/practice_sets_6_4/practice_set_6_4.html" TargetMode="External"/><Relationship Id="rId1919" Type="http://schemas.openxmlformats.org/officeDocument/2006/relationships/hyperlink" Target="https://tnezki.github.io/physics/practice_sets/practice_sets_6_4/extra_practice_6_4.html" TargetMode="External"/><Relationship Id="rId1900" Type="http://schemas.openxmlformats.org/officeDocument/2006/relationships/hyperlink" Target="https://tnezki.github.io/physics/reviews/review6/review_6.html" TargetMode="External"/><Relationship Id="rId1901" Type="http://schemas.openxmlformats.org/officeDocument/2006/relationships/hyperlink" Target="https://tnezki.github.io/physics/notes/u6_4_notes/u6_4_notes_teacher.html" TargetMode="External"/><Relationship Id="rId1902" Type="http://schemas.openxmlformats.org/officeDocument/2006/relationships/hyperlink" Target="https://tnezki.github.io/physics/demo/u6_4_demo/u6_4_demo_teacher_guide.html" TargetMode="External"/><Relationship Id="rId1903" Type="http://schemas.openxmlformats.org/officeDocument/2006/relationships/hyperlink" Target="https://tnezki.github.io/physics/investigations/u6_4_investigation/u6_4_investigation_teacher_guide.html" TargetMode="External"/><Relationship Id="rId1904" Type="http://schemas.openxmlformats.org/officeDocument/2006/relationships/hyperlink" Target="https://tnezki.github.io/physics/performance_task___5134zrt/u6_4_performance_task/u6_4_performance_task_teacher_guide.html" TargetMode="External"/><Relationship Id="rId1905" Type="http://schemas.openxmlformats.org/officeDocument/2006/relationships/hyperlink" Target="https://tnezki.github.io/physics/assessments_zxrtjp/unit6_assessment_plan/unit6_assessment_plan.html" TargetMode="External"/><Relationship Id="rId1906" Type="http://schemas.openxmlformats.org/officeDocument/2006/relationships/hyperlink" Target="https://tnezki.github.io/physics/performance_task___5134zrt/u6_4_performance_task/u6_4_performance_task.html" TargetMode="External"/><Relationship Id="rId1907" Type="http://schemas.openxmlformats.org/officeDocument/2006/relationships/hyperlink" Target="https://tnezki.github.io/physics/quick_check____htq5855/u6_4_quick_check/u6_4_quick_check.html" TargetMode="External"/><Relationship Id="rId1908" Type="http://schemas.openxmlformats.org/officeDocument/2006/relationships/hyperlink" Target="https://tnezki.github.io/physics/exit/exit6/exit_6.html" TargetMode="External"/><Relationship Id="rId1909" Type="http://schemas.openxmlformats.org/officeDocument/2006/relationships/hyperlink" Target="https://tnezki.github.io/physics/practice_sets/practice_sets_6_4/practice_set_6_4_2.html" TargetMode="External"/><Relationship Id="rId198" Type="http://schemas.openxmlformats.org/officeDocument/2006/relationships/hyperlink" Target="https://tnezki.github.io/physics/quick_check____htq5855/u1_3_quick_check/u1_3_quick_check.html" TargetMode="External"/><Relationship Id="rId197" Type="http://schemas.openxmlformats.org/officeDocument/2006/relationships/hyperlink" Target="https://tnezki.github.io/physics/performance_task___5134zrt/u1_3_performance_task/u1_3_performance_task.html" TargetMode="External"/><Relationship Id="rId196" Type="http://schemas.openxmlformats.org/officeDocument/2006/relationships/hyperlink" Target="https://tnezki.github.io/physics/assessments_zxrtjp/unit1_assessment_plan/unit1_assessment_plan.html" TargetMode="External"/><Relationship Id="rId195" Type="http://schemas.openxmlformats.org/officeDocument/2006/relationships/hyperlink" Target="https://tnezki.github.io/physics/performance_task___5134zrt/u1_3_performance_task/u1_3_performance_task_teacher_guide.html" TargetMode="External"/><Relationship Id="rId199" Type="http://schemas.openxmlformats.org/officeDocument/2006/relationships/hyperlink" Target="https://tnezki.github.io/physics/exit/exit1/exit_1.html" TargetMode="External"/><Relationship Id="rId150" Type="http://schemas.openxmlformats.org/officeDocument/2006/relationships/hyperlink" Target="https://tnezki.github.io/physics/investigations/u1_2_investigation/u1_2_investigation_teacher_guide.html" TargetMode="External"/><Relationship Id="rId149" Type="http://schemas.openxmlformats.org/officeDocument/2006/relationships/hyperlink" Target="https://tnezki.github.io/physics/demo/u1_2_demo/u1_2_demo_teacher_guide.html" TargetMode="External"/><Relationship Id="rId148" Type="http://schemas.openxmlformats.org/officeDocument/2006/relationships/hyperlink" Target="https://tnezki.github.io/physics/notes/u1_2_notes/u1_2_notes_teacher.html" TargetMode="External"/><Relationship Id="rId1090" Type="http://schemas.openxmlformats.org/officeDocument/2006/relationships/hyperlink" Target="https://tnezki.github.io/physics/practice_sets/practice_sets_4_1/practice_set_4_1_3.html" TargetMode="External"/><Relationship Id="rId1091" Type="http://schemas.openxmlformats.org/officeDocument/2006/relationships/hyperlink" Target="https://tnezki.github.io/physics/assessments_zxrtjp/unit4_summative/unit4_summative_assessment.html" TargetMode="External"/><Relationship Id="rId1092" Type="http://schemas.openxmlformats.org/officeDocument/2006/relationships/hyperlink" Target="https://tnezki.github.io/physics/banks/unit4/unit4.html" TargetMode="External"/><Relationship Id="rId1093" Type="http://schemas.openxmlformats.org/officeDocument/2006/relationships/hyperlink" Target="https://tnezki.github.io/physics/warmups/unit_4_warmups/unit_4_warmups.html" TargetMode="External"/><Relationship Id="rId1094" Type="http://schemas.openxmlformats.org/officeDocument/2006/relationships/hyperlink" Target="https://tnezki.github.io/physics/demo/u4_2_demo/u4_2_demo.html" TargetMode="External"/><Relationship Id="rId143" Type="http://schemas.openxmlformats.org/officeDocument/2006/relationships/hyperlink" Target="https://tnezki.github.io/physics/practice_sets/practice_sets_1_2/practice_set_1_2.html" TargetMode="External"/><Relationship Id="rId1095" Type="http://schemas.openxmlformats.org/officeDocument/2006/relationships/hyperlink" Target="https://tnezki.github.io/physics/notes/u4_2_notes/u4_2_notes.html" TargetMode="External"/><Relationship Id="rId142" Type="http://schemas.openxmlformats.org/officeDocument/2006/relationships/hyperlink" Target="https://tnezki.github.io/physics/activities/u1_2_act1/u1_2_act1.html" TargetMode="External"/><Relationship Id="rId1096" Type="http://schemas.openxmlformats.org/officeDocument/2006/relationships/hyperlink" Target="https://tnezki.github.io/physics/investigations/u4_2_investigation/u4_2_investigation.html" TargetMode="External"/><Relationship Id="rId141" Type="http://schemas.openxmlformats.org/officeDocument/2006/relationships/hyperlink" Target="https://tnezki.github.io/physics/investigations/u1_2_investigation/u1_2_investigation.html" TargetMode="External"/><Relationship Id="rId1097" Type="http://schemas.openxmlformats.org/officeDocument/2006/relationships/hyperlink" Target="https://tnezki.github.io/physics/activities/u4_2_act1/u4_2_act1.html" TargetMode="External"/><Relationship Id="rId140" Type="http://schemas.openxmlformats.org/officeDocument/2006/relationships/hyperlink" Target="https://tnezki.github.io/physics/notes/u1_2_notes/u1_2_notes.html" TargetMode="External"/><Relationship Id="rId1098" Type="http://schemas.openxmlformats.org/officeDocument/2006/relationships/hyperlink" Target="https://tnezki.github.io/physics/practice_sets/practice_sets_4_2/practice_set_4_2.html" TargetMode="External"/><Relationship Id="rId147" Type="http://schemas.openxmlformats.org/officeDocument/2006/relationships/hyperlink" Target="https://tnezki.github.io/physics/reviews/review1/review_1.html" TargetMode="External"/><Relationship Id="rId1099" Type="http://schemas.openxmlformats.org/officeDocument/2006/relationships/hyperlink" Target="https://tnezki.github.io/physics/practice_sets/practice_sets_4_2/extra_practice_4_2.html" TargetMode="External"/><Relationship Id="rId146" Type="http://schemas.openxmlformats.org/officeDocument/2006/relationships/hyperlink" Target="https://tnezki.github.io/physics/progress/unit_1_progress/unit_1_progress.html" TargetMode="External"/><Relationship Id="rId145" Type="http://schemas.openxmlformats.org/officeDocument/2006/relationships/hyperlink" Target="https://tnezki.github.io/physics/practice_sets/practice_sets_1_2/cyu_1_2.html" TargetMode="External"/><Relationship Id="rId144" Type="http://schemas.openxmlformats.org/officeDocument/2006/relationships/hyperlink" Target="https://tnezki.github.io/physics/practice_sets/practice_sets_1_2/extra_practice_1_2.html" TargetMode="External"/><Relationship Id="rId139" Type="http://schemas.openxmlformats.org/officeDocument/2006/relationships/hyperlink" Target="https://tnezki.github.io/physics/demo/u1_2_demo/u1_2_demo.html" TargetMode="External"/><Relationship Id="rId138" Type="http://schemas.openxmlformats.org/officeDocument/2006/relationships/hyperlink" Target="https://tnezki.github.io/physics/warmups/unit_1_warmups/unit_1_warmups.html" TargetMode="External"/><Relationship Id="rId137" Type="http://schemas.openxmlformats.org/officeDocument/2006/relationships/hyperlink" Target="https://tnezki.github.io/physics/banks/unit1/unit1.html" TargetMode="External"/><Relationship Id="rId1080" Type="http://schemas.openxmlformats.org/officeDocument/2006/relationships/hyperlink" Target="https://tnezki.github.io/physics/reviews/review4/review_4.html" TargetMode="External"/><Relationship Id="rId1081" Type="http://schemas.openxmlformats.org/officeDocument/2006/relationships/hyperlink" Target="https://tnezki.github.io/physics/notes/u4_1_notes/u4_1_notes_teacher.html" TargetMode="External"/><Relationship Id="rId1082" Type="http://schemas.openxmlformats.org/officeDocument/2006/relationships/hyperlink" Target="https://tnezki.github.io/physics/demo/u4_1_demo/u4_1_demo_teacher_guide.html" TargetMode="External"/><Relationship Id="rId1083" Type="http://schemas.openxmlformats.org/officeDocument/2006/relationships/hyperlink" Target="https://tnezki.github.io/physics/investigations/u4_1_investigation/u4_1_investigation_teacher_guide.html" TargetMode="External"/><Relationship Id="rId132" Type="http://schemas.openxmlformats.org/officeDocument/2006/relationships/hyperlink" Target="https://tnezki.github.io/physics/quick_check____htq5855/u1_2_quick_check/u1_2_quick_check.html" TargetMode="External"/><Relationship Id="rId1084" Type="http://schemas.openxmlformats.org/officeDocument/2006/relationships/hyperlink" Target="https://tnezki.github.io/physics/performance_task___5134zrt/u4_1_performance_task/u4_1_performance_task_teacher_guide.html" TargetMode="External"/><Relationship Id="rId131" Type="http://schemas.openxmlformats.org/officeDocument/2006/relationships/hyperlink" Target="https://tnezki.github.io/physics/performance_task___5134zrt/u1_2_performance_task/u1_2_performance_task.html" TargetMode="External"/><Relationship Id="rId1085" Type="http://schemas.openxmlformats.org/officeDocument/2006/relationships/hyperlink" Target="https://tnezki.github.io/physics/assessments_zxrtjp/unit4_assessment_plan/unit4_assessment_plan.html" TargetMode="External"/><Relationship Id="rId130" Type="http://schemas.openxmlformats.org/officeDocument/2006/relationships/hyperlink" Target="https://tnezki.github.io/physics/assessments_zxrtjp/unit1_assessment_plan/unit1_assessment_plan.html" TargetMode="External"/><Relationship Id="rId1086" Type="http://schemas.openxmlformats.org/officeDocument/2006/relationships/hyperlink" Target="https://tnezki.github.io/physics/performance_task___5134zrt/u4_1_performance_task/u4_1_performance_task.html" TargetMode="External"/><Relationship Id="rId1087" Type="http://schemas.openxmlformats.org/officeDocument/2006/relationships/hyperlink" Target="https://tnezki.github.io/physics/quick_check____htq5855/u4_1_quick_check/u4_1_quick_check.html" TargetMode="External"/><Relationship Id="rId136" Type="http://schemas.openxmlformats.org/officeDocument/2006/relationships/hyperlink" Target="https://tnezki.github.io/physics/assessments_zxrtjp/unit1_summative/unit1_summative_assessment.html" TargetMode="External"/><Relationship Id="rId1088" Type="http://schemas.openxmlformats.org/officeDocument/2006/relationships/hyperlink" Target="https://tnezki.github.io/physics/exit/exit4/exit_4.html" TargetMode="External"/><Relationship Id="rId135" Type="http://schemas.openxmlformats.org/officeDocument/2006/relationships/hyperlink" Target="https://tnezki.github.io/physics/practice_sets/practice_sets_1_2/practice_set_1_2_3.html" TargetMode="External"/><Relationship Id="rId1089" Type="http://schemas.openxmlformats.org/officeDocument/2006/relationships/hyperlink" Target="https://tnezki.github.io/physics/practice_sets/practice_sets_4_1/practice_set_4_1_2.html" TargetMode="External"/><Relationship Id="rId134" Type="http://schemas.openxmlformats.org/officeDocument/2006/relationships/hyperlink" Target="https://tnezki.github.io/physics/practice_sets/practice_sets_1_2/practice_set_1_2_2.html" TargetMode="External"/><Relationship Id="rId133" Type="http://schemas.openxmlformats.org/officeDocument/2006/relationships/hyperlink" Target="https://tnezki.github.io/physics/exit/exit1/exit_1.html" TargetMode="External"/><Relationship Id="rId172" Type="http://schemas.openxmlformats.org/officeDocument/2006/relationships/hyperlink" Target="https://tnezki.github.io/physics/investigations/u1_3_investigation/u1_3_investigation_teacher_guide.html" TargetMode="External"/><Relationship Id="rId171" Type="http://schemas.openxmlformats.org/officeDocument/2006/relationships/hyperlink" Target="https://tnezki.github.io/physics/demo/u1_3_demo/u1_3_demo_teacher_guide.html" TargetMode="External"/><Relationship Id="rId170" Type="http://schemas.openxmlformats.org/officeDocument/2006/relationships/hyperlink" Target="https://tnezki.github.io/physics/notes/u1_3_notes/u1_3_notes_teacher.html" TargetMode="External"/><Relationship Id="rId165" Type="http://schemas.openxmlformats.org/officeDocument/2006/relationships/hyperlink" Target="https://tnezki.github.io/physics/practice_sets/practice_sets_1_3/practice_set_1_3.html" TargetMode="External"/><Relationship Id="rId164" Type="http://schemas.openxmlformats.org/officeDocument/2006/relationships/hyperlink" Target="https://tnezki.github.io/physics/activities/u1_3_act1/u1_3_act1.html" TargetMode="External"/><Relationship Id="rId163" Type="http://schemas.openxmlformats.org/officeDocument/2006/relationships/hyperlink" Target="https://tnezki.github.io/physics/investigations/u1_3_investigation/u1_3_investigation.html" TargetMode="External"/><Relationship Id="rId162" Type="http://schemas.openxmlformats.org/officeDocument/2006/relationships/hyperlink" Target="https://tnezki.github.io/physics/notes/u1_3_notes/u1_3_notes.html" TargetMode="External"/><Relationship Id="rId169" Type="http://schemas.openxmlformats.org/officeDocument/2006/relationships/hyperlink" Target="https://tnezki.github.io/physics/reviews/review1/review_1.html" TargetMode="External"/><Relationship Id="rId168" Type="http://schemas.openxmlformats.org/officeDocument/2006/relationships/hyperlink" Target="https://tnezki.github.io/physics/progress/unit_1_progress/unit_1_progress.html" TargetMode="External"/><Relationship Id="rId167" Type="http://schemas.openxmlformats.org/officeDocument/2006/relationships/hyperlink" Target="https://tnezki.github.io/physics/practice_sets/practice_sets_1_3/cyu_1_3.html" TargetMode="External"/><Relationship Id="rId166" Type="http://schemas.openxmlformats.org/officeDocument/2006/relationships/hyperlink" Target="https://tnezki.github.io/physics/practice_sets/practice_sets_1_3/extra_practice_1_3.html" TargetMode="External"/><Relationship Id="rId161" Type="http://schemas.openxmlformats.org/officeDocument/2006/relationships/hyperlink" Target="https://tnezki.github.io/physics/demo/u1_3_demo/u1_3_demo.html" TargetMode="External"/><Relationship Id="rId160" Type="http://schemas.openxmlformats.org/officeDocument/2006/relationships/hyperlink" Target="https://tnezki.github.io/physics/warmups/unit_1_warmups/unit_1_warmups.html" TargetMode="External"/><Relationship Id="rId159" Type="http://schemas.openxmlformats.org/officeDocument/2006/relationships/hyperlink" Target="https://tnezki.github.io/physics/banks/unit1/unit1.html" TargetMode="External"/><Relationship Id="rId154" Type="http://schemas.openxmlformats.org/officeDocument/2006/relationships/hyperlink" Target="https://tnezki.github.io/physics/quick_check____htq5855/u1_2_quick_check/u1_2_quick_check.html" TargetMode="External"/><Relationship Id="rId153" Type="http://schemas.openxmlformats.org/officeDocument/2006/relationships/hyperlink" Target="https://tnezki.github.io/physics/performance_task___5134zrt/u1_2_performance_task/u1_2_performance_task.html" TargetMode="External"/><Relationship Id="rId152" Type="http://schemas.openxmlformats.org/officeDocument/2006/relationships/hyperlink" Target="https://tnezki.github.io/physics/assessments_zxrtjp/unit1_assessment_plan/unit1_assessment_plan.html" TargetMode="External"/><Relationship Id="rId151" Type="http://schemas.openxmlformats.org/officeDocument/2006/relationships/hyperlink" Target="https://tnezki.github.io/physics/performance_task___5134zrt/u1_2_performance_task/u1_2_performance_task_teacher_guide.html" TargetMode="External"/><Relationship Id="rId158" Type="http://schemas.openxmlformats.org/officeDocument/2006/relationships/hyperlink" Target="https://tnezki.github.io/physics/assessments_zxrtjp/unit1_summative/unit1_summative_assessment.html" TargetMode="External"/><Relationship Id="rId157" Type="http://schemas.openxmlformats.org/officeDocument/2006/relationships/hyperlink" Target="https://tnezki.github.io/physics/practice_sets/practice_sets_1_2/practice_set_1_2_3.html" TargetMode="External"/><Relationship Id="rId156" Type="http://schemas.openxmlformats.org/officeDocument/2006/relationships/hyperlink" Target="https://tnezki.github.io/physics/practice_sets/practice_sets_1_2/practice_set_1_2_2.html" TargetMode="External"/><Relationship Id="rId155" Type="http://schemas.openxmlformats.org/officeDocument/2006/relationships/hyperlink" Target="https://tnezki.github.io/physics/exit/exit1/exit_1.html" TargetMode="External"/><Relationship Id="rId1972" Type="http://schemas.openxmlformats.org/officeDocument/2006/relationships/hyperlink" Target="https://tnezki.github.io/physics/performance_task___5134zrt/u6_5_performance_task/u6_5_performance_task.html" TargetMode="External"/><Relationship Id="rId1973" Type="http://schemas.openxmlformats.org/officeDocument/2006/relationships/hyperlink" Target="https://tnezki.github.io/physics/quick_check____htq5855/u6_5_quick_check/u6_5_quick_check.html" TargetMode="External"/><Relationship Id="rId1974" Type="http://schemas.openxmlformats.org/officeDocument/2006/relationships/hyperlink" Target="https://tnezki.github.io/physics/exit/exit6/exit_6.html" TargetMode="External"/><Relationship Id="rId1975" Type="http://schemas.openxmlformats.org/officeDocument/2006/relationships/hyperlink" Target="https://tnezki.github.io/physics/practice_sets/practice_sets_6_5/practice_set_6_5_2.html" TargetMode="External"/><Relationship Id="rId1976" Type="http://schemas.openxmlformats.org/officeDocument/2006/relationships/hyperlink" Target="https://tnezki.github.io/physics/practice_sets/practice_sets_6_5/practice_set_6_5_3.html" TargetMode="External"/><Relationship Id="rId1977" Type="http://schemas.openxmlformats.org/officeDocument/2006/relationships/hyperlink" Target="https://tnezki.github.io/physics/assessments_zxrtjp/unit6_summative/unit6_summative_assessment.html" TargetMode="External"/><Relationship Id="rId1978" Type="http://schemas.openxmlformats.org/officeDocument/2006/relationships/hyperlink" Target="https://tnezki.github.io/physics/banks/unit6/unit6.html" TargetMode="External"/><Relationship Id="rId1979" Type="http://schemas.openxmlformats.org/officeDocument/2006/relationships/hyperlink" Target="https://tnezki.github.io/physics/warmups/unit_6_warmups/unit_6_warmups.html" TargetMode="External"/><Relationship Id="rId1970" Type="http://schemas.openxmlformats.org/officeDocument/2006/relationships/hyperlink" Target="https://tnezki.github.io/physics/performance_task___5134zrt/u6_5_performance_task/u6_5_performance_task_teacher_guide.html" TargetMode="External"/><Relationship Id="rId1971" Type="http://schemas.openxmlformats.org/officeDocument/2006/relationships/hyperlink" Target="https://tnezki.github.io/physics/assessments_zxrtjp/unit6_assessment_plan/unit6_assessment_plan.html" TargetMode="External"/><Relationship Id="rId1961" Type="http://schemas.openxmlformats.org/officeDocument/2006/relationships/hyperlink" Target="https://tnezki.github.io/physics/activities/u6_5_act1/u6_5_act1.html" TargetMode="External"/><Relationship Id="rId1962" Type="http://schemas.openxmlformats.org/officeDocument/2006/relationships/hyperlink" Target="https://tnezki.github.io/physics/practice_sets/practice_sets_6_5/practice_set_6_5.html" TargetMode="External"/><Relationship Id="rId1963" Type="http://schemas.openxmlformats.org/officeDocument/2006/relationships/hyperlink" Target="https://tnezki.github.io/physics/practice_sets/practice_sets_6_5/extra_practice_6_5.html" TargetMode="External"/><Relationship Id="rId1964" Type="http://schemas.openxmlformats.org/officeDocument/2006/relationships/hyperlink" Target="https://tnezki.github.io/physics/practice_sets/practice_sets_6_5/cyu_6_5.html" TargetMode="External"/><Relationship Id="rId1965" Type="http://schemas.openxmlformats.org/officeDocument/2006/relationships/hyperlink" Target="https://tnezki.github.io/physics/progress/unit_6_progress/unit_6_progress.html" TargetMode="External"/><Relationship Id="rId1966" Type="http://schemas.openxmlformats.org/officeDocument/2006/relationships/hyperlink" Target="https://tnezki.github.io/physics/reviews/review6/review_6.html" TargetMode="External"/><Relationship Id="rId1967" Type="http://schemas.openxmlformats.org/officeDocument/2006/relationships/hyperlink" Target="https://tnezki.github.io/physics/notes/u6_5_notes/u6_5_notes_teacher.html" TargetMode="External"/><Relationship Id="rId1968" Type="http://schemas.openxmlformats.org/officeDocument/2006/relationships/hyperlink" Target="https://tnezki.github.io/physics/demo/u6_5_demo/u6_5_demo_teacher_guide.html" TargetMode="External"/><Relationship Id="rId1969" Type="http://schemas.openxmlformats.org/officeDocument/2006/relationships/hyperlink" Target="https://tnezki.github.io/physics/investigations/u6_5_investigation/u6_5_investigation_teacher_guide.html" TargetMode="External"/><Relationship Id="rId1960" Type="http://schemas.openxmlformats.org/officeDocument/2006/relationships/hyperlink" Target="https://tnezki.github.io/physics/investigations/u6_5_investigation/u6_5_investigation.html" TargetMode="External"/><Relationship Id="rId1510" Type="http://schemas.openxmlformats.org/officeDocument/2006/relationships/hyperlink" Target="https://tnezki.github.io/physics/practice_sets/practice_sets_5_3/practice_set_5_3_2.html" TargetMode="External"/><Relationship Id="rId1994" Type="http://schemas.openxmlformats.org/officeDocument/2006/relationships/hyperlink" Target="https://tnezki.github.io/physics/performance_task___5134zrt/u6_5_performance_task/u6_5_performance_task.html" TargetMode="External"/><Relationship Id="rId1511" Type="http://schemas.openxmlformats.org/officeDocument/2006/relationships/hyperlink" Target="https://tnezki.github.io/physics/practice_sets/practice_sets_5_3/practice_set_5_3_3.html" TargetMode="External"/><Relationship Id="rId1995" Type="http://schemas.openxmlformats.org/officeDocument/2006/relationships/hyperlink" Target="https://tnezki.github.io/physics/quick_check____htq5855/u6_5_quick_check/u6_5_quick_check.html" TargetMode="External"/><Relationship Id="rId1512" Type="http://schemas.openxmlformats.org/officeDocument/2006/relationships/hyperlink" Target="https://tnezki.github.io/physics/assessments_zxrtjp/unit5_summative/unit5_summative_assessment.html" TargetMode="External"/><Relationship Id="rId1996" Type="http://schemas.openxmlformats.org/officeDocument/2006/relationships/hyperlink" Target="https://tnezki.github.io/physics/exit/exit6/exit_6.html" TargetMode="External"/><Relationship Id="rId1513" Type="http://schemas.openxmlformats.org/officeDocument/2006/relationships/hyperlink" Target="https://tnezki.github.io/physics/banks/unit5/unit5.html" TargetMode="External"/><Relationship Id="rId1997" Type="http://schemas.openxmlformats.org/officeDocument/2006/relationships/hyperlink" Target="https://tnezki.github.io/physics/practice_sets/practice_sets_6_5/practice_set_6_5_2.html" TargetMode="External"/><Relationship Id="rId1514" Type="http://schemas.openxmlformats.org/officeDocument/2006/relationships/hyperlink" Target="https://tnezki.github.io/physics/warmups/unit_5_warmups/unit_5_warmups.html" TargetMode="External"/><Relationship Id="rId1998" Type="http://schemas.openxmlformats.org/officeDocument/2006/relationships/hyperlink" Target="https://tnezki.github.io/physics/practice_sets/practice_sets_6_5/practice_set_6_5_3.html" TargetMode="External"/><Relationship Id="rId1515" Type="http://schemas.openxmlformats.org/officeDocument/2006/relationships/hyperlink" Target="https://tnezki.github.io/physics/demo/u5_3_demo/u5_3_demo.html" TargetMode="External"/><Relationship Id="rId1999" Type="http://schemas.openxmlformats.org/officeDocument/2006/relationships/hyperlink" Target="https://tnezki.github.io/physics/assessments_zxrtjp/unit6_summative/unit6_summative_assessment.html" TargetMode="External"/><Relationship Id="rId1516" Type="http://schemas.openxmlformats.org/officeDocument/2006/relationships/hyperlink" Target="https://tnezki.github.io/physics/notes/u5_3_notes/u5_3_notes.html" TargetMode="External"/><Relationship Id="rId1517" Type="http://schemas.openxmlformats.org/officeDocument/2006/relationships/hyperlink" Target="https://tnezki.github.io/physics/investigations/u5_3_investigation/u5_3_investigation.html" TargetMode="External"/><Relationship Id="rId1518" Type="http://schemas.openxmlformats.org/officeDocument/2006/relationships/hyperlink" Target="https://tnezki.github.io/physics/activities/u5_3_act1/u5_3_act1.html" TargetMode="External"/><Relationship Id="rId1519" Type="http://schemas.openxmlformats.org/officeDocument/2006/relationships/hyperlink" Target="https://tnezki.github.io/physics/practice_sets/practice_sets_5_3/practice_set_5_3.html" TargetMode="External"/><Relationship Id="rId1990" Type="http://schemas.openxmlformats.org/officeDocument/2006/relationships/hyperlink" Target="https://tnezki.github.io/physics/demo/u6_5_demo/u6_5_demo_teacher_guide.html" TargetMode="External"/><Relationship Id="rId1991" Type="http://schemas.openxmlformats.org/officeDocument/2006/relationships/hyperlink" Target="https://tnezki.github.io/physics/investigations/u6_5_investigation/u6_5_investigation_teacher_guide.html" TargetMode="External"/><Relationship Id="rId1992" Type="http://schemas.openxmlformats.org/officeDocument/2006/relationships/hyperlink" Target="https://tnezki.github.io/physics/performance_task___5134zrt/u6_5_performance_task/u6_5_performance_task_teacher_guide.html" TargetMode="External"/><Relationship Id="rId1993" Type="http://schemas.openxmlformats.org/officeDocument/2006/relationships/hyperlink" Target="https://tnezki.github.io/physics/assessments_zxrtjp/unit6_assessment_plan/unit6_assessment_plan.html" TargetMode="External"/><Relationship Id="rId1983" Type="http://schemas.openxmlformats.org/officeDocument/2006/relationships/hyperlink" Target="https://tnezki.github.io/physics/activities/u6_5_act1/u6_5_act1.html" TargetMode="External"/><Relationship Id="rId1500" Type="http://schemas.openxmlformats.org/officeDocument/2006/relationships/hyperlink" Target="https://tnezki.github.io/physics/progress/unit_5_progress/unit_5_progress.html" TargetMode="External"/><Relationship Id="rId1984" Type="http://schemas.openxmlformats.org/officeDocument/2006/relationships/hyperlink" Target="https://tnezki.github.io/physics/practice_sets/practice_sets_6_5/practice_set_6_5.html" TargetMode="External"/><Relationship Id="rId1501" Type="http://schemas.openxmlformats.org/officeDocument/2006/relationships/hyperlink" Target="https://tnezki.github.io/physics/reviews/review5/review_5.html" TargetMode="External"/><Relationship Id="rId1985" Type="http://schemas.openxmlformats.org/officeDocument/2006/relationships/hyperlink" Target="https://tnezki.github.io/physics/practice_sets/practice_sets_6_5/extra_practice_6_5.html" TargetMode="External"/><Relationship Id="rId1502" Type="http://schemas.openxmlformats.org/officeDocument/2006/relationships/hyperlink" Target="https://tnezki.github.io/physics/notes/u5_3_notes/u5_3_notes_teacher.html" TargetMode="External"/><Relationship Id="rId1986" Type="http://schemas.openxmlformats.org/officeDocument/2006/relationships/hyperlink" Target="https://tnezki.github.io/physics/practice_sets/practice_sets_6_5/cyu_6_5.html" TargetMode="External"/><Relationship Id="rId1503" Type="http://schemas.openxmlformats.org/officeDocument/2006/relationships/hyperlink" Target="https://tnezki.github.io/physics/demo/u5_3_demo/u5_3_demo_teacher_guide.html" TargetMode="External"/><Relationship Id="rId1987" Type="http://schemas.openxmlformats.org/officeDocument/2006/relationships/hyperlink" Target="https://tnezki.github.io/physics/progress/unit_6_progress/unit_6_progress.html" TargetMode="External"/><Relationship Id="rId1504" Type="http://schemas.openxmlformats.org/officeDocument/2006/relationships/hyperlink" Target="https://tnezki.github.io/physics/investigations/u5_3_investigation/u5_3_investigation_teacher_guide.html" TargetMode="External"/><Relationship Id="rId1988" Type="http://schemas.openxmlformats.org/officeDocument/2006/relationships/hyperlink" Target="https://tnezki.github.io/physics/reviews/review6/review_6.html" TargetMode="External"/><Relationship Id="rId1505" Type="http://schemas.openxmlformats.org/officeDocument/2006/relationships/hyperlink" Target="https://tnezki.github.io/physics/performance_task___5134zrt/u5_3_performance_task/u5_3_performance_task_teacher_guide.html" TargetMode="External"/><Relationship Id="rId1989" Type="http://schemas.openxmlformats.org/officeDocument/2006/relationships/hyperlink" Target="https://tnezki.github.io/physics/notes/u6_5_notes/u6_5_notes_teacher.html" TargetMode="External"/><Relationship Id="rId1506" Type="http://schemas.openxmlformats.org/officeDocument/2006/relationships/hyperlink" Target="https://tnezki.github.io/physics/assessments_zxrtjp/unit5_assessment_plan/unit5_assessment_plan.html" TargetMode="External"/><Relationship Id="rId1507" Type="http://schemas.openxmlformats.org/officeDocument/2006/relationships/hyperlink" Target="https://tnezki.github.io/physics/performance_task___5134zrt/u5_3_performance_task/u5_3_performance_task.html" TargetMode="External"/><Relationship Id="rId1508" Type="http://schemas.openxmlformats.org/officeDocument/2006/relationships/hyperlink" Target="https://tnezki.github.io/physics/quick_check____htq5855/u5_3_quick_check/u5_3_quick_check.html" TargetMode="External"/><Relationship Id="rId1509" Type="http://schemas.openxmlformats.org/officeDocument/2006/relationships/hyperlink" Target="https://tnezki.github.io/physics/exit/exit5/exit_5.html" TargetMode="External"/><Relationship Id="rId1980" Type="http://schemas.openxmlformats.org/officeDocument/2006/relationships/hyperlink" Target="https://tnezki.github.io/physics/demo/u6_5_demo/u6_5_demo.html" TargetMode="External"/><Relationship Id="rId1981" Type="http://schemas.openxmlformats.org/officeDocument/2006/relationships/hyperlink" Target="https://tnezki.github.io/physics/notes/u6_5_notes/u6_5_notes.html" TargetMode="External"/><Relationship Id="rId1982" Type="http://schemas.openxmlformats.org/officeDocument/2006/relationships/hyperlink" Target="https://tnezki.github.io/physics/investigations/u6_5_investigation/u6_5_investigation.html" TargetMode="External"/><Relationship Id="rId1930" Type="http://schemas.openxmlformats.org/officeDocument/2006/relationships/hyperlink" Target="https://tnezki.github.io/physics/exit/exit6/exit_6.html" TargetMode="External"/><Relationship Id="rId1931" Type="http://schemas.openxmlformats.org/officeDocument/2006/relationships/hyperlink" Target="https://tnezki.github.io/physics/practice_sets/practice_sets_6_4/practice_set_6_4_2.html" TargetMode="External"/><Relationship Id="rId1932" Type="http://schemas.openxmlformats.org/officeDocument/2006/relationships/hyperlink" Target="https://tnezki.github.io/physics/practice_sets/practice_sets_6_4/practice_set_6_4_3.html" TargetMode="External"/><Relationship Id="rId1933" Type="http://schemas.openxmlformats.org/officeDocument/2006/relationships/hyperlink" Target="https://tnezki.github.io/physics/assessments_zxrtjp/unit6_summative/unit6_summative_assessment.html" TargetMode="External"/><Relationship Id="rId1934" Type="http://schemas.openxmlformats.org/officeDocument/2006/relationships/hyperlink" Target="https://tnezki.github.io/physics/banks/unit6/unit6.html" TargetMode="External"/><Relationship Id="rId1935" Type="http://schemas.openxmlformats.org/officeDocument/2006/relationships/hyperlink" Target="https://tnezki.github.io/physics/warmups/unit_6_warmups/unit_6_warmups.html" TargetMode="External"/><Relationship Id="rId1936" Type="http://schemas.openxmlformats.org/officeDocument/2006/relationships/hyperlink" Target="https://tnezki.github.io/physics/demo/u6_4_demo/u6_4_demo.html" TargetMode="External"/><Relationship Id="rId1937" Type="http://schemas.openxmlformats.org/officeDocument/2006/relationships/hyperlink" Target="https://tnezki.github.io/physics/notes/u6_4_notes/u6_4_notes.html" TargetMode="External"/><Relationship Id="rId1938" Type="http://schemas.openxmlformats.org/officeDocument/2006/relationships/hyperlink" Target="https://tnezki.github.io/physics/investigations/u6_4_investigation/u6_4_investigation.html" TargetMode="External"/><Relationship Id="rId1939" Type="http://schemas.openxmlformats.org/officeDocument/2006/relationships/hyperlink" Target="https://tnezki.github.io/physics/activities/u6_4_act1/u6_4_act1.html" TargetMode="External"/><Relationship Id="rId1920" Type="http://schemas.openxmlformats.org/officeDocument/2006/relationships/hyperlink" Target="https://tnezki.github.io/physics/practice_sets/practice_sets_6_4/cyu_6_4.html" TargetMode="External"/><Relationship Id="rId1921" Type="http://schemas.openxmlformats.org/officeDocument/2006/relationships/hyperlink" Target="https://tnezki.github.io/physics/progress/unit_6_progress/unit_6_progress.html" TargetMode="External"/><Relationship Id="rId1922" Type="http://schemas.openxmlformats.org/officeDocument/2006/relationships/hyperlink" Target="https://tnezki.github.io/physics/reviews/review6/review_6.html" TargetMode="External"/><Relationship Id="rId1923" Type="http://schemas.openxmlformats.org/officeDocument/2006/relationships/hyperlink" Target="https://tnezki.github.io/physics/notes/u6_4_notes/u6_4_notes_teacher.html" TargetMode="External"/><Relationship Id="rId1924" Type="http://schemas.openxmlformats.org/officeDocument/2006/relationships/hyperlink" Target="https://tnezki.github.io/physics/demo/u6_4_demo/u6_4_demo_teacher_guide.html" TargetMode="External"/><Relationship Id="rId1925" Type="http://schemas.openxmlformats.org/officeDocument/2006/relationships/hyperlink" Target="https://tnezki.github.io/physics/investigations/u6_4_investigation/u6_4_investigation_teacher_guide.html" TargetMode="External"/><Relationship Id="rId1926" Type="http://schemas.openxmlformats.org/officeDocument/2006/relationships/hyperlink" Target="https://tnezki.github.io/physics/performance_task___5134zrt/u6_4_performance_task/u6_4_performance_task_teacher_guide.html" TargetMode="External"/><Relationship Id="rId1927" Type="http://schemas.openxmlformats.org/officeDocument/2006/relationships/hyperlink" Target="https://tnezki.github.io/physics/assessments_zxrtjp/unit6_assessment_plan/unit6_assessment_plan.html" TargetMode="External"/><Relationship Id="rId1928" Type="http://schemas.openxmlformats.org/officeDocument/2006/relationships/hyperlink" Target="https://tnezki.github.io/physics/performance_task___5134zrt/u6_4_performance_task/u6_4_performance_task.html" TargetMode="External"/><Relationship Id="rId1929" Type="http://schemas.openxmlformats.org/officeDocument/2006/relationships/hyperlink" Target="https://tnezki.github.io/physics/quick_check____htq5855/u6_4_quick_check/u6_4_quick_check.html" TargetMode="External"/><Relationship Id="rId1950" Type="http://schemas.openxmlformats.org/officeDocument/2006/relationships/hyperlink" Target="https://tnezki.github.io/physics/performance_task___5134zrt/u6_4_performance_task/u6_4_performance_task.html" TargetMode="External"/><Relationship Id="rId1951" Type="http://schemas.openxmlformats.org/officeDocument/2006/relationships/hyperlink" Target="https://tnezki.github.io/physics/quick_check____htq5855/u6_4_quick_check/u6_4_quick_check.html" TargetMode="External"/><Relationship Id="rId1952" Type="http://schemas.openxmlformats.org/officeDocument/2006/relationships/hyperlink" Target="https://tnezki.github.io/physics/exit/exit6/exit_6.html" TargetMode="External"/><Relationship Id="rId1953" Type="http://schemas.openxmlformats.org/officeDocument/2006/relationships/hyperlink" Target="https://tnezki.github.io/physics/practice_sets/practice_sets_6_4/practice_set_6_4_2.html" TargetMode="External"/><Relationship Id="rId1954" Type="http://schemas.openxmlformats.org/officeDocument/2006/relationships/hyperlink" Target="https://tnezki.github.io/physics/practice_sets/practice_sets_6_4/practice_set_6_4_3.html" TargetMode="External"/><Relationship Id="rId1955" Type="http://schemas.openxmlformats.org/officeDocument/2006/relationships/hyperlink" Target="https://tnezki.github.io/physics/assessments_zxrtjp/unit6_summative/unit6_summative_assessment.html" TargetMode="External"/><Relationship Id="rId1956" Type="http://schemas.openxmlformats.org/officeDocument/2006/relationships/hyperlink" Target="https://tnezki.github.io/physics/banks/unit6/unit6.html" TargetMode="External"/><Relationship Id="rId1957" Type="http://schemas.openxmlformats.org/officeDocument/2006/relationships/hyperlink" Target="https://tnezki.github.io/physics/warmups/unit_6_warmups/unit_6_warmups.html" TargetMode="External"/><Relationship Id="rId1958" Type="http://schemas.openxmlformats.org/officeDocument/2006/relationships/hyperlink" Target="https://tnezki.github.io/physics/demo/u6_5_demo/u6_5_demo.html" TargetMode="External"/><Relationship Id="rId1959" Type="http://schemas.openxmlformats.org/officeDocument/2006/relationships/hyperlink" Target="https://tnezki.github.io/physics/notes/u6_5_notes/u6_5_notes.html" TargetMode="External"/><Relationship Id="rId1940" Type="http://schemas.openxmlformats.org/officeDocument/2006/relationships/hyperlink" Target="https://tnezki.github.io/physics/practice_sets/practice_sets_6_4/practice_set_6_4.html" TargetMode="External"/><Relationship Id="rId1941" Type="http://schemas.openxmlformats.org/officeDocument/2006/relationships/hyperlink" Target="https://tnezki.github.io/physics/practice_sets/practice_sets_6_4/extra_practice_6_4.html" TargetMode="External"/><Relationship Id="rId1942" Type="http://schemas.openxmlformats.org/officeDocument/2006/relationships/hyperlink" Target="https://tnezki.github.io/physics/practice_sets/practice_sets_6_4/cyu_6_4.html" TargetMode="External"/><Relationship Id="rId1943" Type="http://schemas.openxmlformats.org/officeDocument/2006/relationships/hyperlink" Target="https://tnezki.github.io/physics/progress/unit_6_progress/unit_6_progress.html" TargetMode="External"/><Relationship Id="rId1944" Type="http://schemas.openxmlformats.org/officeDocument/2006/relationships/hyperlink" Target="https://tnezki.github.io/physics/reviews/review6/review_6.html" TargetMode="External"/><Relationship Id="rId1945" Type="http://schemas.openxmlformats.org/officeDocument/2006/relationships/hyperlink" Target="https://tnezki.github.io/physics/notes/u6_4_notes/u6_4_notes_teacher.html" TargetMode="External"/><Relationship Id="rId1946" Type="http://schemas.openxmlformats.org/officeDocument/2006/relationships/hyperlink" Target="https://tnezki.github.io/physics/demo/u6_4_demo/u6_4_demo_teacher_guide.html" TargetMode="External"/><Relationship Id="rId1947" Type="http://schemas.openxmlformats.org/officeDocument/2006/relationships/hyperlink" Target="https://tnezki.github.io/physics/investigations/u6_4_investigation/u6_4_investigation_teacher_guide.html" TargetMode="External"/><Relationship Id="rId1948" Type="http://schemas.openxmlformats.org/officeDocument/2006/relationships/hyperlink" Target="https://tnezki.github.io/physics/performance_task___5134zrt/u6_4_performance_task/u6_4_performance_task_teacher_guide.html" TargetMode="External"/><Relationship Id="rId1949" Type="http://schemas.openxmlformats.org/officeDocument/2006/relationships/hyperlink" Target="https://tnezki.github.io/physics/assessments_zxrtjp/unit6_assessment_plan/unit6_assessment_plan.html" TargetMode="External"/><Relationship Id="rId1576" Type="http://schemas.openxmlformats.org/officeDocument/2006/relationships/hyperlink" Target="https://tnezki.github.io/physics/practice_sets/practice_sets_5_4/practice_set_5_4_2.html" TargetMode="External"/><Relationship Id="rId2423" Type="http://schemas.openxmlformats.org/officeDocument/2006/relationships/hyperlink" Target="https://tnezki.github.io/physics/assessments_zxrtjp/unit8_summative/unit8_summative_assessment.html" TargetMode="External"/><Relationship Id="rId1577" Type="http://schemas.openxmlformats.org/officeDocument/2006/relationships/hyperlink" Target="https://tnezki.github.io/physics/practice_sets/practice_sets_5_4/practice_set_5_4_3.html" TargetMode="External"/><Relationship Id="rId2424" Type="http://schemas.openxmlformats.org/officeDocument/2006/relationships/hyperlink" Target="https://tnezki.github.io/physics/banks/unit8/unit8.html" TargetMode="External"/><Relationship Id="rId1578" Type="http://schemas.openxmlformats.org/officeDocument/2006/relationships/hyperlink" Target="https://tnezki.github.io/physics/assessments_zxrtjp/unit5_summative/unit5_summative_assessment.html" TargetMode="External"/><Relationship Id="rId2425" Type="http://schemas.openxmlformats.org/officeDocument/2006/relationships/hyperlink" Target="https://tnezki.github.io/physics/warmups/unit_8_warmups/unit_8_warmups.html" TargetMode="External"/><Relationship Id="rId1579" Type="http://schemas.openxmlformats.org/officeDocument/2006/relationships/hyperlink" Target="https://tnezki.github.io/physics/banks/unit5/unit5.html" TargetMode="External"/><Relationship Id="rId2426" Type="http://schemas.openxmlformats.org/officeDocument/2006/relationships/hyperlink" Target="https://tnezki.github.io/physics/demo/u8_2_demo/u8_2_demo.html" TargetMode="External"/><Relationship Id="rId2427" Type="http://schemas.openxmlformats.org/officeDocument/2006/relationships/hyperlink" Target="https://tnezki.github.io/physics/notes/u8_2_notes/u8_2_notes.html" TargetMode="External"/><Relationship Id="rId2428" Type="http://schemas.openxmlformats.org/officeDocument/2006/relationships/hyperlink" Target="https://tnezki.github.io/physics/investigations/u8_2_investigation/u8_2_investigation.html" TargetMode="External"/><Relationship Id="rId2429" Type="http://schemas.openxmlformats.org/officeDocument/2006/relationships/hyperlink" Target="https://tnezki.github.io/physics/activities/u8_2_act1/u8_2_act1.html" TargetMode="External"/><Relationship Id="rId509" Type="http://schemas.openxmlformats.org/officeDocument/2006/relationships/hyperlink" Target="https://tnezki.github.io/physics/quick_check____htq5855/u2_3_quick_check/u2_3_quick_check.html" TargetMode="External"/><Relationship Id="rId508" Type="http://schemas.openxmlformats.org/officeDocument/2006/relationships/hyperlink" Target="https://tnezki.github.io/physics/performance_task___5134zrt/u2_3_performance_task/u2_3_performance_task.html" TargetMode="External"/><Relationship Id="rId503" Type="http://schemas.openxmlformats.org/officeDocument/2006/relationships/hyperlink" Target="https://tnezki.github.io/physics/notes/u2_3_notes/u2_3_notes_teacher.html" TargetMode="External"/><Relationship Id="rId987" Type="http://schemas.openxmlformats.org/officeDocument/2006/relationships/hyperlink" Target="https://tnezki.github.io/physics/practice_sets/practice_sets_3_5/cyu_3_5.html" TargetMode="External"/><Relationship Id="rId502" Type="http://schemas.openxmlformats.org/officeDocument/2006/relationships/hyperlink" Target="https://tnezki.github.io/physics/reviews/review2/review_2.html" TargetMode="External"/><Relationship Id="rId986" Type="http://schemas.openxmlformats.org/officeDocument/2006/relationships/hyperlink" Target="https://tnezki.github.io/physics/practice_sets/practice_sets_3_5/extra_practice_3_5.html" TargetMode="External"/><Relationship Id="rId501" Type="http://schemas.openxmlformats.org/officeDocument/2006/relationships/hyperlink" Target="https://tnezki.github.io/physics/progress/unit_2_progress/unit_2_progress.html" TargetMode="External"/><Relationship Id="rId985" Type="http://schemas.openxmlformats.org/officeDocument/2006/relationships/hyperlink" Target="https://tnezki.github.io/physics/practice_sets/practice_sets_3_5/practice_set_3_5.html" TargetMode="External"/><Relationship Id="rId500" Type="http://schemas.openxmlformats.org/officeDocument/2006/relationships/hyperlink" Target="https://tnezki.github.io/physics/practice_sets/practice_sets_2_3/cyu_2_3.html" TargetMode="External"/><Relationship Id="rId984" Type="http://schemas.openxmlformats.org/officeDocument/2006/relationships/hyperlink" Target="https://tnezki.github.io/physics/activities/u3_5_act1/u3_5_act1.html" TargetMode="External"/><Relationship Id="rId507" Type="http://schemas.openxmlformats.org/officeDocument/2006/relationships/hyperlink" Target="https://tnezki.github.io/physics/assessments_zxrtjp/unit2_assessment_plan/unit2_assessment_plan.html" TargetMode="External"/><Relationship Id="rId506" Type="http://schemas.openxmlformats.org/officeDocument/2006/relationships/hyperlink" Target="https://tnezki.github.io/physics/performance_task___5134zrt/u2_3_performance_task/u2_3_performance_task_teacher_guide.html" TargetMode="External"/><Relationship Id="rId505" Type="http://schemas.openxmlformats.org/officeDocument/2006/relationships/hyperlink" Target="https://tnezki.github.io/physics/investigations/u2_3_investigation/u2_3_investigation_teacher_guide.html" TargetMode="External"/><Relationship Id="rId989" Type="http://schemas.openxmlformats.org/officeDocument/2006/relationships/hyperlink" Target="https://tnezki.github.io/physics/reviews/review3/review_3.html" TargetMode="External"/><Relationship Id="rId504" Type="http://schemas.openxmlformats.org/officeDocument/2006/relationships/hyperlink" Target="https://tnezki.github.io/physics/demo/u2_3_demo/u2_3_demo_teacher_guide.html" TargetMode="External"/><Relationship Id="rId988" Type="http://schemas.openxmlformats.org/officeDocument/2006/relationships/hyperlink" Target="https://tnezki.github.io/physics/progress/unit_3_progress/unit_3_progress.html" TargetMode="External"/><Relationship Id="rId1570" Type="http://schemas.openxmlformats.org/officeDocument/2006/relationships/hyperlink" Target="https://tnezki.github.io/physics/investigations/u5_4_investigation/u5_4_investigation_teacher_guide.html" TargetMode="External"/><Relationship Id="rId1571" Type="http://schemas.openxmlformats.org/officeDocument/2006/relationships/hyperlink" Target="https://tnezki.github.io/physics/performance_task___5134zrt/u5_4_performance_task/u5_4_performance_task_teacher_guide.html" TargetMode="External"/><Relationship Id="rId983" Type="http://schemas.openxmlformats.org/officeDocument/2006/relationships/hyperlink" Target="https://tnezki.github.io/physics/investigations/u3_5_investigation/u3_5_investigation.html" TargetMode="External"/><Relationship Id="rId1572" Type="http://schemas.openxmlformats.org/officeDocument/2006/relationships/hyperlink" Target="https://tnezki.github.io/physics/assessments_zxrtjp/unit5_assessment_plan/unit5_assessment_plan.html" TargetMode="External"/><Relationship Id="rId982" Type="http://schemas.openxmlformats.org/officeDocument/2006/relationships/hyperlink" Target="https://tnezki.github.io/physics/notes/u3_5_notes/u3_5_notes.html" TargetMode="External"/><Relationship Id="rId1573" Type="http://schemas.openxmlformats.org/officeDocument/2006/relationships/hyperlink" Target="https://tnezki.github.io/physics/performance_task___5134zrt/u5_4_performance_task/u5_4_performance_task.html" TargetMode="External"/><Relationship Id="rId2420" Type="http://schemas.openxmlformats.org/officeDocument/2006/relationships/hyperlink" Target="https://tnezki.github.io/physics/exit/exit8/exit_8.html" TargetMode="External"/><Relationship Id="rId981" Type="http://schemas.openxmlformats.org/officeDocument/2006/relationships/hyperlink" Target="https://tnezki.github.io/physics/demo/u3_5_demo/u3_5_demo.html" TargetMode="External"/><Relationship Id="rId1574" Type="http://schemas.openxmlformats.org/officeDocument/2006/relationships/hyperlink" Target="https://tnezki.github.io/physics/quick_check____htq5855/u5_4_quick_check/u5_4_quick_check.html" TargetMode="External"/><Relationship Id="rId2421" Type="http://schemas.openxmlformats.org/officeDocument/2006/relationships/hyperlink" Target="https://tnezki.github.io/physics/practice_sets/practice_sets_8_1/practice_set_8_1_2.html" TargetMode="External"/><Relationship Id="rId980" Type="http://schemas.openxmlformats.org/officeDocument/2006/relationships/hyperlink" Target="https://tnezki.github.io/physics/warmups/unit_3_warmups/unit_3_warmups.html" TargetMode="External"/><Relationship Id="rId1575" Type="http://schemas.openxmlformats.org/officeDocument/2006/relationships/hyperlink" Target="https://tnezki.github.io/physics/exit/exit5/exit_5.html" TargetMode="External"/><Relationship Id="rId2422" Type="http://schemas.openxmlformats.org/officeDocument/2006/relationships/hyperlink" Target="https://tnezki.github.io/physics/practice_sets/practice_sets_8_1/practice_set_8_1_3.html" TargetMode="External"/><Relationship Id="rId1565" Type="http://schemas.openxmlformats.org/officeDocument/2006/relationships/hyperlink" Target="https://tnezki.github.io/physics/practice_sets/practice_sets_5_4/cyu_5_4.html" TargetMode="External"/><Relationship Id="rId2412" Type="http://schemas.openxmlformats.org/officeDocument/2006/relationships/hyperlink" Target="https://tnezki.github.io/physics/reviews/review8/review_8.html" TargetMode="External"/><Relationship Id="rId1566" Type="http://schemas.openxmlformats.org/officeDocument/2006/relationships/hyperlink" Target="https://tnezki.github.io/physics/progress/unit_5_progress/unit_5_progress.html" TargetMode="External"/><Relationship Id="rId2413" Type="http://schemas.openxmlformats.org/officeDocument/2006/relationships/hyperlink" Target="https://tnezki.github.io/physics/notes/u8_1_notes/u8_1_notes_teacher.html" TargetMode="External"/><Relationship Id="rId1567" Type="http://schemas.openxmlformats.org/officeDocument/2006/relationships/hyperlink" Target="https://tnezki.github.io/physics/reviews/review5/review_5.html" TargetMode="External"/><Relationship Id="rId2414" Type="http://schemas.openxmlformats.org/officeDocument/2006/relationships/hyperlink" Target="https://tnezki.github.io/physics/demo/u8_1_demo/u8_1_demo_teacher_guide.html" TargetMode="External"/><Relationship Id="rId1568" Type="http://schemas.openxmlformats.org/officeDocument/2006/relationships/hyperlink" Target="https://tnezki.github.io/physics/notes/u5_4_notes/u5_4_notes_teacher.html" TargetMode="External"/><Relationship Id="rId2415" Type="http://schemas.openxmlformats.org/officeDocument/2006/relationships/hyperlink" Target="https://tnezki.github.io/physics/investigations/u8_1_investigation/u8_1_investigation_teacher_guide.html" TargetMode="External"/><Relationship Id="rId1569" Type="http://schemas.openxmlformats.org/officeDocument/2006/relationships/hyperlink" Target="https://tnezki.github.io/physics/demo/u5_4_demo/u5_4_demo_teacher_guide.html" TargetMode="External"/><Relationship Id="rId2416" Type="http://schemas.openxmlformats.org/officeDocument/2006/relationships/hyperlink" Target="https://tnezki.github.io/physics/performance_task___5134zrt/u8_1_performance_task/u8_1_performance_task_teacher_guide.html" TargetMode="External"/><Relationship Id="rId2417" Type="http://schemas.openxmlformats.org/officeDocument/2006/relationships/hyperlink" Target="https://tnezki.github.io/physics/assessments_zxrtjp/unit8_assessment_plan/unit8_assessment_plan.html" TargetMode="External"/><Relationship Id="rId2418" Type="http://schemas.openxmlformats.org/officeDocument/2006/relationships/hyperlink" Target="https://tnezki.github.io/physics/performance_task___5134zrt/u8_1_performance_task/u8_1_performance_task.html" TargetMode="External"/><Relationship Id="rId2419" Type="http://schemas.openxmlformats.org/officeDocument/2006/relationships/hyperlink" Target="https://tnezki.github.io/physics/quick_check____htq5855/u8_1_quick_check/u8_1_quick_check.html" TargetMode="External"/><Relationship Id="rId976" Type="http://schemas.openxmlformats.org/officeDocument/2006/relationships/hyperlink" Target="https://tnezki.github.io/physics/practice_sets/practice_sets_3_5/practice_set_3_5_2.html" TargetMode="External"/><Relationship Id="rId975" Type="http://schemas.openxmlformats.org/officeDocument/2006/relationships/hyperlink" Target="https://tnezki.github.io/physics/exit/exit3/exit_3.html" TargetMode="External"/><Relationship Id="rId974" Type="http://schemas.openxmlformats.org/officeDocument/2006/relationships/hyperlink" Target="https://tnezki.github.io/physics/quick_check____htq5855/u3_5_quick_check/u3_5_quick_check.html" TargetMode="External"/><Relationship Id="rId973" Type="http://schemas.openxmlformats.org/officeDocument/2006/relationships/hyperlink" Target="https://tnezki.github.io/physics/performance_task___5134zrt/u3_5_performance_task/u3_5_performance_task.html" TargetMode="External"/><Relationship Id="rId979" Type="http://schemas.openxmlformats.org/officeDocument/2006/relationships/hyperlink" Target="https://tnezki.github.io/physics/banks/unit3/unit3.html" TargetMode="External"/><Relationship Id="rId978" Type="http://schemas.openxmlformats.org/officeDocument/2006/relationships/hyperlink" Target="https://tnezki.github.io/physics/assessments_zxrtjp/unit3_summative/unit3_summative_assessment.html" TargetMode="External"/><Relationship Id="rId977" Type="http://schemas.openxmlformats.org/officeDocument/2006/relationships/hyperlink" Target="https://tnezki.github.io/physics/practice_sets/practice_sets_3_5/practice_set_3_5_3.html" TargetMode="External"/><Relationship Id="rId1560" Type="http://schemas.openxmlformats.org/officeDocument/2006/relationships/hyperlink" Target="https://tnezki.github.io/physics/notes/u5_4_notes/u5_4_notes.html" TargetMode="External"/><Relationship Id="rId972" Type="http://schemas.openxmlformats.org/officeDocument/2006/relationships/hyperlink" Target="https://tnezki.github.io/physics/assessments_zxrtjp/unit3_assessment_plan/unit3_assessment_plan.html" TargetMode="External"/><Relationship Id="rId1561" Type="http://schemas.openxmlformats.org/officeDocument/2006/relationships/hyperlink" Target="https://tnezki.github.io/physics/investigations/u5_4_investigation/u5_4_investigation.html" TargetMode="External"/><Relationship Id="rId971" Type="http://schemas.openxmlformats.org/officeDocument/2006/relationships/hyperlink" Target="https://tnezki.github.io/physics/performance_task___5134zrt/u3_5_performance_task/u3_5_performance_task_teacher_guide.html" TargetMode="External"/><Relationship Id="rId1562" Type="http://schemas.openxmlformats.org/officeDocument/2006/relationships/hyperlink" Target="https://tnezki.github.io/physics/activities/u5_4_act1/u5_4_act1.html" TargetMode="External"/><Relationship Id="rId970" Type="http://schemas.openxmlformats.org/officeDocument/2006/relationships/hyperlink" Target="https://tnezki.github.io/physics/investigations/u3_5_investigation/u3_5_investigation_teacher_guide.html" TargetMode="External"/><Relationship Id="rId1563" Type="http://schemas.openxmlformats.org/officeDocument/2006/relationships/hyperlink" Target="https://tnezki.github.io/physics/practice_sets/practice_sets_5_4/practice_set_5_4.html" TargetMode="External"/><Relationship Id="rId2410" Type="http://schemas.openxmlformats.org/officeDocument/2006/relationships/hyperlink" Target="https://tnezki.github.io/physics/practice_sets/practice_sets_8_1/cyu_8_1.html" TargetMode="External"/><Relationship Id="rId1564" Type="http://schemas.openxmlformats.org/officeDocument/2006/relationships/hyperlink" Target="https://tnezki.github.io/physics/practice_sets/practice_sets_5_4/extra_practice_5_4.html" TargetMode="External"/><Relationship Id="rId2411" Type="http://schemas.openxmlformats.org/officeDocument/2006/relationships/hyperlink" Target="https://tnezki.github.io/physics/progress/unit_8_progress/unit_8_progress.html" TargetMode="External"/><Relationship Id="rId1114" Type="http://schemas.openxmlformats.org/officeDocument/2006/relationships/hyperlink" Target="https://tnezki.github.io/physics/banks/unit4/unit4.html" TargetMode="External"/><Relationship Id="rId1598" Type="http://schemas.openxmlformats.org/officeDocument/2006/relationships/hyperlink" Target="https://tnezki.github.io/physics/practice_sets/practice_sets_5_4/practice_set_5_4_2.html" TargetMode="External"/><Relationship Id="rId2445" Type="http://schemas.openxmlformats.org/officeDocument/2006/relationships/hyperlink" Target="https://tnezki.github.io/physics/assessments_zxrtjp/unit8_summative/unit8_summative_assessment.html" TargetMode="External"/><Relationship Id="rId1115" Type="http://schemas.openxmlformats.org/officeDocument/2006/relationships/hyperlink" Target="https://tnezki.github.io/physics/warmups/unit_4_warmups/unit_4_warmups.html" TargetMode="External"/><Relationship Id="rId1599" Type="http://schemas.openxmlformats.org/officeDocument/2006/relationships/hyperlink" Target="https://tnezki.github.io/physics/practice_sets/practice_sets_5_4/practice_set_5_4_3.html" TargetMode="External"/><Relationship Id="rId2446" Type="http://schemas.openxmlformats.org/officeDocument/2006/relationships/hyperlink" Target="https://tnezki.github.io/physics/banks/unit8/unit8.html" TargetMode="External"/><Relationship Id="rId1116" Type="http://schemas.openxmlformats.org/officeDocument/2006/relationships/hyperlink" Target="https://tnezki.github.io/physics/demo/u4_2_demo/u4_2_demo.html" TargetMode="External"/><Relationship Id="rId2447" Type="http://schemas.openxmlformats.org/officeDocument/2006/relationships/hyperlink" Target="https://tnezki.github.io/physics/warmups/unit_8_warmups/unit_8_warmups.html" TargetMode="External"/><Relationship Id="rId1117" Type="http://schemas.openxmlformats.org/officeDocument/2006/relationships/hyperlink" Target="https://tnezki.github.io/physics/notes/u4_2_notes/u4_2_notes.html" TargetMode="External"/><Relationship Id="rId2448" Type="http://schemas.openxmlformats.org/officeDocument/2006/relationships/hyperlink" Target="https://tnezki.github.io/physics/demo/u8_2_demo/u8_2_demo.html" TargetMode="External"/><Relationship Id="rId1118" Type="http://schemas.openxmlformats.org/officeDocument/2006/relationships/hyperlink" Target="https://tnezki.github.io/physics/investigations/u4_2_investigation/u4_2_investigation.html" TargetMode="External"/><Relationship Id="rId2449" Type="http://schemas.openxmlformats.org/officeDocument/2006/relationships/hyperlink" Target="https://tnezki.github.io/physics/notes/u8_2_notes/u8_2_notes.html" TargetMode="External"/><Relationship Id="rId1119" Type="http://schemas.openxmlformats.org/officeDocument/2006/relationships/hyperlink" Target="https://tnezki.github.io/physics/activities/u4_2_act1/u4_2_act1.html" TargetMode="External"/><Relationship Id="rId525" Type="http://schemas.openxmlformats.org/officeDocument/2006/relationships/hyperlink" Target="https://tnezki.github.io/physics/notes/u2_3_notes/u2_3_notes_teacher.html" TargetMode="External"/><Relationship Id="rId524" Type="http://schemas.openxmlformats.org/officeDocument/2006/relationships/hyperlink" Target="https://tnezki.github.io/physics/reviews/review2/review_2.html" TargetMode="External"/><Relationship Id="rId523" Type="http://schemas.openxmlformats.org/officeDocument/2006/relationships/hyperlink" Target="https://tnezki.github.io/physics/progress/unit_2_progress/unit_2_progress.html" TargetMode="External"/><Relationship Id="rId522" Type="http://schemas.openxmlformats.org/officeDocument/2006/relationships/hyperlink" Target="https://tnezki.github.io/physics/practice_sets/practice_sets_2_3/cyu_2_3.html" TargetMode="External"/><Relationship Id="rId529" Type="http://schemas.openxmlformats.org/officeDocument/2006/relationships/hyperlink" Target="https://tnezki.github.io/physics/assessments_zxrtjp/unit2_assessment_plan/unit2_assessment_plan.html" TargetMode="External"/><Relationship Id="rId528" Type="http://schemas.openxmlformats.org/officeDocument/2006/relationships/hyperlink" Target="https://tnezki.github.io/physics/performance_task___5134zrt/u2_3_performance_task/u2_3_performance_task_teacher_guide.html" TargetMode="External"/><Relationship Id="rId527" Type="http://schemas.openxmlformats.org/officeDocument/2006/relationships/hyperlink" Target="https://tnezki.github.io/physics/investigations/u2_3_investigation/u2_3_investigation_teacher_guide.html" TargetMode="External"/><Relationship Id="rId526" Type="http://schemas.openxmlformats.org/officeDocument/2006/relationships/hyperlink" Target="https://tnezki.github.io/physics/demo/u2_3_demo/u2_3_demo_teacher_guide.html" TargetMode="External"/><Relationship Id="rId1590" Type="http://schemas.openxmlformats.org/officeDocument/2006/relationships/hyperlink" Target="https://tnezki.github.io/physics/notes/u5_4_notes/u5_4_notes_teacher.html" TargetMode="External"/><Relationship Id="rId1591" Type="http://schemas.openxmlformats.org/officeDocument/2006/relationships/hyperlink" Target="https://tnezki.github.io/physics/demo/u5_4_demo/u5_4_demo_teacher_guide.html" TargetMode="External"/><Relationship Id="rId1592" Type="http://schemas.openxmlformats.org/officeDocument/2006/relationships/hyperlink" Target="https://tnezki.github.io/physics/investigations/u5_4_investigation/u5_4_investigation_teacher_guide.html" TargetMode="External"/><Relationship Id="rId1593" Type="http://schemas.openxmlformats.org/officeDocument/2006/relationships/hyperlink" Target="https://tnezki.github.io/physics/performance_task___5134zrt/u5_4_performance_task/u5_4_performance_task_teacher_guide.html" TargetMode="External"/><Relationship Id="rId2440" Type="http://schemas.openxmlformats.org/officeDocument/2006/relationships/hyperlink" Target="https://tnezki.github.io/physics/performance_task___5134zrt/u8_2_performance_task/u8_2_performance_task.html" TargetMode="External"/><Relationship Id="rId521" Type="http://schemas.openxmlformats.org/officeDocument/2006/relationships/hyperlink" Target="https://tnezki.github.io/physics/practice_sets/practice_sets_2_3/extra_practice_2_3.html" TargetMode="External"/><Relationship Id="rId1110" Type="http://schemas.openxmlformats.org/officeDocument/2006/relationships/hyperlink" Target="https://tnezki.github.io/physics/exit/exit4/exit_4.html" TargetMode="External"/><Relationship Id="rId1594" Type="http://schemas.openxmlformats.org/officeDocument/2006/relationships/hyperlink" Target="https://tnezki.github.io/physics/assessments_zxrtjp/unit5_assessment_plan/unit5_assessment_plan.html" TargetMode="External"/><Relationship Id="rId2441" Type="http://schemas.openxmlformats.org/officeDocument/2006/relationships/hyperlink" Target="https://tnezki.github.io/physics/quick_check____htq5855/u8_2_quick_check/u8_2_quick_check.html" TargetMode="External"/><Relationship Id="rId520" Type="http://schemas.openxmlformats.org/officeDocument/2006/relationships/hyperlink" Target="https://tnezki.github.io/physics/practice_sets/practice_sets_2_3/practice_set_2_3.html" TargetMode="External"/><Relationship Id="rId1111" Type="http://schemas.openxmlformats.org/officeDocument/2006/relationships/hyperlink" Target="https://tnezki.github.io/physics/practice_sets/practice_sets_4_2/practice_set_4_2_2.html" TargetMode="External"/><Relationship Id="rId1595" Type="http://schemas.openxmlformats.org/officeDocument/2006/relationships/hyperlink" Target="https://tnezki.github.io/physics/performance_task___5134zrt/u5_4_performance_task/u5_4_performance_task.html" TargetMode="External"/><Relationship Id="rId2442" Type="http://schemas.openxmlformats.org/officeDocument/2006/relationships/hyperlink" Target="https://tnezki.github.io/physics/exit/exit8/exit_8.html" TargetMode="External"/><Relationship Id="rId1112" Type="http://schemas.openxmlformats.org/officeDocument/2006/relationships/hyperlink" Target="https://tnezki.github.io/physics/practice_sets/practice_sets_4_2/practice_set_4_2_3.html" TargetMode="External"/><Relationship Id="rId1596" Type="http://schemas.openxmlformats.org/officeDocument/2006/relationships/hyperlink" Target="https://tnezki.github.io/physics/quick_check____htq5855/u5_4_quick_check/u5_4_quick_check.html" TargetMode="External"/><Relationship Id="rId2443" Type="http://schemas.openxmlformats.org/officeDocument/2006/relationships/hyperlink" Target="https://tnezki.github.io/physics/practice_sets/practice_sets_8_2/practice_set_8_2_2.html" TargetMode="External"/><Relationship Id="rId1113" Type="http://schemas.openxmlformats.org/officeDocument/2006/relationships/hyperlink" Target="https://tnezki.github.io/physics/assessments_zxrtjp/unit4_summative/unit4_summative_assessment.html" TargetMode="External"/><Relationship Id="rId1597" Type="http://schemas.openxmlformats.org/officeDocument/2006/relationships/hyperlink" Target="https://tnezki.github.io/physics/exit/exit5/exit_5.html" TargetMode="External"/><Relationship Id="rId2444" Type="http://schemas.openxmlformats.org/officeDocument/2006/relationships/hyperlink" Target="https://tnezki.github.io/physics/practice_sets/practice_sets_8_2/practice_set_8_2_3.html" TargetMode="External"/><Relationship Id="rId1103" Type="http://schemas.openxmlformats.org/officeDocument/2006/relationships/hyperlink" Target="https://tnezki.github.io/physics/notes/u4_2_notes/u4_2_notes_teacher.html" TargetMode="External"/><Relationship Id="rId1587" Type="http://schemas.openxmlformats.org/officeDocument/2006/relationships/hyperlink" Target="https://tnezki.github.io/physics/practice_sets/practice_sets_5_4/cyu_5_4.html" TargetMode="External"/><Relationship Id="rId2434" Type="http://schemas.openxmlformats.org/officeDocument/2006/relationships/hyperlink" Target="https://tnezki.github.io/physics/reviews/review8/review_8.html" TargetMode="External"/><Relationship Id="rId1104" Type="http://schemas.openxmlformats.org/officeDocument/2006/relationships/hyperlink" Target="https://tnezki.github.io/physics/demo/u4_2_demo/u4_2_demo_teacher_guide.html" TargetMode="External"/><Relationship Id="rId1588" Type="http://schemas.openxmlformats.org/officeDocument/2006/relationships/hyperlink" Target="https://tnezki.github.io/physics/progress/unit_5_progress/unit_5_progress.html" TargetMode="External"/><Relationship Id="rId2435" Type="http://schemas.openxmlformats.org/officeDocument/2006/relationships/hyperlink" Target="https://tnezki.github.io/physics/notes/u8_2_notes/u8_2_notes_teacher.html" TargetMode="External"/><Relationship Id="rId1105" Type="http://schemas.openxmlformats.org/officeDocument/2006/relationships/hyperlink" Target="https://tnezki.github.io/physics/investigations/u4_2_investigation/u4_2_investigation_teacher_guide.html" TargetMode="External"/><Relationship Id="rId1589" Type="http://schemas.openxmlformats.org/officeDocument/2006/relationships/hyperlink" Target="https://tnezki.github.io/physics/reviews/review5/review_5.html" TargetMode="External"/><Relationship Id="rId2436" Type="http://schemas.openxmlformats.org/officeDocument/2006/relationships/hyperlink" Target="https://tnezki.github.io/physics/demo/u8_2_demo/u8_2_demo_teacher_guide.html" TargetMode="External"/><Relationship Id="rId1106" Type="http://schemas.openxmlformats.org/officeDocument/2006/relationships/hyperlink" Target="https://tnezki.github.io/physics/performance_task___5134zrt/u4_2_performance_task/u4_2_performance_task_teacher_guide.html" TargetMode="External"/><Relationship Id="rId2437" Type="http://schemas.openxmlformats.org/officeDocument/2006/relationships/hyperlink" Target="https://tnezki.github.io/physics/investigations/u8_2_investigation/u8_2_investigation_teacher_guide.html" TargetMode="External"/><Relationship Id="rId1107" Type="http://schemas.openxmlformats.org/officeDocument/2006/relationships/hyperlink" Target="https://tnezki.github.io/physics/assessments_zxrtjp/unit4_assessment_plan/unit4_assessment_plan.html" TargetMode="External"/><Relationship Id="rId2438" Type="http://schemas.openxmlformats.org/officeDocument/2006/relationships/hyperlink" Target="https://tnezki.github.io/physics/performance_task___5134zrt/u8_2_performance_task/u8_2_performance_task_teacher_guide.html" TargetMode="External"/><Relationship Id="rId1108" Type="http://schemas.openxmlformats.org/officeDocument/2006/relationships/hyperlink" Target="https://tnezki.github.io/physics/performance_task___5134zrt/u4_2_performance_task/u4_2_performance_task.html" TargetMode="External"/><Relationship Id="rId2439" Type="http://schemas.openxmlformats.org/officeDocument/2006/relationships/hyperlink" Target="https://tnezki.github.io/physics/assessments_zxrtjp/unit8_assessment_plan/unit8_assessment_plan.html" TargetMode="External"/><Relationship Id="rId1109" Type="http://schemas.openxmlformats.org/officeDocument/2006/relationships/hyperlink" Target="https://tnezki.github.io/physics/quick_check____htq5855/u4_2_quick_check/u4_2_quick_check.html" TargetMode="External"/><Relationship Id="rId519" Type="http://schemas.openxmlformats.org/officeDocument/2006/relationships/hyperlink" Target="https://tnezki.github.io/physics/activities/u2_3_act1/u2_3_act1.html" TargetMode="External"/><Relationship Id="rId514" Type="http://schemas.openxmlformats.org/officeDocument/2006/relationships/hyperlink" Target="https://tnezki.github.io/physics/banks/unit2/unit2.html" TargetMode="External"/><Relationship Id="rId998" Type="http://schemas.openxmlformats.org/officeDocument/2006/relationships/hyperlink" Target="https://tnezki.github.io/physics/practice_sets/practice_sets_3_5/practice_set_3_5_2.html" TargetMode="External"/><Relationship Id="rId513" Type="http://schemas.openxmlformats.org/officeDocument/2006/relationships/hyperlink" Target="https://tnezki.github.io/physics/assessments_zxrtjp/unit2_summative/unit2_summative_assessment.html" TargetMode="External"/><Relationship Id="rId997" Type="http://schemas.openxmlformats.org/officeDocument/2006/relationships/hyperlink" Target="https://tnezki.github.io/physics/exit/exit3/exit_3.html" TargetMode="External"/><Relationship Id="rId512" Type="http://schemas.openxmlformats.org/officeDocument/2006/relationships/hyperlink" Target="https://tnezki.github.io/physics/practice_sets/practice_sets_2_3/practice_set_2_3_3.html" TargetMode="External"/><Relationship Id="rId996" Type="http://schemas.openxmlformats.org/officeDocument/2006/relationships/hyperlink" Target="https://tnezki.github.io/physics/quick_check____htq5855/u3_5_quick_check/u3_5_quick_check.html" TargetMode="External"/><Relationship Id="rId511" Type="http://schemas.openxmlformats.org/officeDocument/2006/relationships/hyperlink" Target="https://tnezki.github.io/physics/practice_sets/practice_sets_2_3/practice_set_2_3_2.html" TargetMode="External"/><Relationship Id="rId995" Type="http://schemas.openxmlformats.org/officeDocument/2006/relationships/hyperlink" Target="https://tnezki.github.io/physics/performance_task___5134zrt/u3_5_performance_task/u3_5_performance_task.html" TargetMode="External"/><Relationship Id="rId518" Type="http://schemas.openxmlformats.org/officeDocument/2006/relationships/hyperlink" Target="https://tnezki.github.io/physics/investigations/u2_3_investigation/u2_3_investigation.html" TargetMode="External"/><Relationship Id="rId517" Type="http://schemas.openxmlformats.org/officeDocument/2006/relationships/hyperlink" Target="https://tnezki.github.io/physics/notes/u2_3_notes/u2_3_notes.html" TargetMode="External"/><Relationship Id="rId516" Type="http://schemas.openxmlformats.org/officeDocument/2006/relationships/hyperlink" Target="https://tnezki.github.io/physics/demo/u2_3_demo/u2_3_demo.html" TargetMode="External"/><Relationship Id="rId515" Type="http://schemas.openxmlformats.org/officeDocument/2006/relationships/hyperlink" Target="https://tnezki.github.io/physics/warmups/unit_2_warmups/unit_2_warmups.html" TargetMode="External"/><Relationship Id="rId999" Type="http://schemas.openxmlformats.org/officeDocument/2006/relationships/hyperlink" Target="https://tnezki.github.io/physics/practice_sets/practice_sets_3_5/practice_set_3_5_3.html" TargetMode="External"/><Relationship Id="rId990" Type="http://schemas.openxmlformats.org/officeDocument/2006/relationships/hyperlink" Target="https://tnezki.github.io/physics/notes/u3_5_notes/u3_5_notes_teacher.html" TargetMode="External"/><Relationship Id="rId1580" Type="http://schemas.openxmlformats.org/officeDocument/2006/relationships/hyperlink" Target="https://tnezki.github.io/physics/warmups/unit_5_warmups/unit_5_warmups.html" TargetMode="External"/><Relationship Id="rId1581" Type="http://schemas.openxmlformats.org/officeDocument/2006/relationships/hyperlink" Target="https://tnezki.github.io/physics/demo/u5_4_demo/u5_4_demo.html" TargetMode="External"/><Relationship Id="rId1582" Type="http://schemas.openxmlformats.org/officeDocument/2006/relationships/hyperlink" Target="https://tnezki.github.io/physics/notes/u5_4_notes/u5_4_notes.html" TargetMode="External"/><Relationship Id="rId510" Type="http://schemas.openxmlformats.org/officeDocument/2006/relationships/hyperlink" Target="https://tnezki.github.io/physics/exit/exit2/exit_2.html" TargetMode="External"/><Relationship Id="rId994" Type="http://schemas.openxmlformats.org/officeDocument/2006/relationships/hyperlink" Target="https://tnezki.github.io/physics/assessments_zxrtjp/unit3_assessment_plan/unit3_assessment_plan.html" TargetMode="External"/><Relationship Id="rId1583" Type="http://schemas.openxmlformats.org/officeDocument/2006/relationships/hyperlink" Target="https://tnezki.github.io/physics/investigations/u5_4_investigation/u5_4_investigation.html" TargetMode="External"/><Relationship Id="rId2430" Type="http://schemas.openxmlformats.org/officeDocument/2006/relationships/hyperlink" Target="https://tnezki.github.io/physics/practice_sets/practice_sets_8_2/practice_set_8_2.html" TargetMode="External"/><Relationship Id="rId993" Type="http://schemas.openxmlformats.org/officeDocument/2006/relationships/hyperlink" Target="https://tnezki.github.io/physics/performance_task___5134zrt/u3_5_performance_task/u3_5_performance_task_teacher_guide.html" TargetMode="External"/><Relationship Id="rId1100" Type="http://schemas.openxmlformats.org/officeDocument/2006/relationships/hyperlink" Target="https://tnezki.github.io/physics/practice_sets/practice_sets_4_2/cyu_4_2.html" TargetMode="External"/><Relationship Id="rId1584" Type="http://schemas.openxmlformats.org/officeDocument/2006/relationships/hyperlink" Target="https://tnezki.github.io/physics/activities/u5_4_act1/u5_4_act1.html" TargetMode="External"/><Relationship Id="rId2431" Type="http://schemas.openxmlformats.org/officeDocument/2006/relationships/hyperlink" Target="https://tnezki.github.io/physics/practice_sets/practice_sets_8_2/extra_practice_8_2.html" TargetMode="External"/><Relationship Id="rId992" Type="http://schemas.openxmlformats.org/officeDocument/2006/relationships/hyperlink" Target="https://tnezki.github.io/physics/investigations/u3_5_investigation/u3_5_investigation_teacher_guide.html" TargetMode="External"/><Relationship Id="rId1101" Type="http://schemas.openxmlformats.org/officeDocument/2006/relationships/hyperlink" Target="https://tnezki.github.io/physics/progress/unit_4_progress/unit_4_progress.html" TargetMode="External"/><Relationship Id="rId1585" Type="http://schemas.openxmlformats.org/officeDocument/2006/relationships/hyperlink" Target="https://tnezki.github.io/physics/practice_sets/practice_sets_5_4/practice_set_5_4.html" TargetMode="External"/><Relationship Id="rId2432" Type="http://schemas.openxmlformats.org/officeDocument/2006/relationships/hyperlink" Target="https://tnezki.github.io/physics/practice_sets/practice_sets_8_2/cyu_8_2.html" TargetMode="External"/><Relationship Id="rId991" Type="http://schemas.openxmlformats.org/officeDocument/2006/relationships/hyperlink" Target="https://tnezki.github.io/physics/demo/u3_5_demo/u3_5_demo_teacher_guide.html" TargetMode="External"/><Relationship Id="rId1102" Type="http://schemas.openxmlformats.org/officeDocument/2006/relationships/hyperlink" Target="https://tnezki.github.io/physics/reviews/review4/review_4.html" TargetMode="External"/><Relationship Id="rId1586" Type="http://schemas.openxmlformats.org/officeDocument/2006/relationships/hyperlink" Target="https://tnezki.github.io/physics/practice_sets/practice_sets_5_4/extra_practice_5_4.html" TargetMode="External"/><Relationship Id="rId2433" Type="http://schemas.openxmlformats.org/officeDocument/2006/relationships/hyperlink" Target="https://tnezki.github.io/physics/progress/unit_8_progress/unit_8_progress.html" TargetMode="External"/><Relationship Id="rId1532" Type="http://schemas.openxmlformats.org/officeDocument/2006/relationships/hyperlink" Target="https://tnezki.github.io/physics/practice_sets/practice_sets_5_3/practice_set_5_3_2.html" TargetMode="External"/><Relationship Id="rId1533" Type="http://schemas.openxmlformats.org/officeDocument/2006/relationships/hyperlink" Target="https://tnezki.github.io/physics/practice_sets/practice_sets_5_3/practice_set_5_3_3.html" TargetMode="External"/><Relationship Id="rId1534" Type="http://schemas.openxmlformats.org/officeDocument/2006/relationships/hyperlink" Target="https://tnezki.github.io/physics/assessments_zxrtjp/unit5_summative/unit5_summative_assessment.html" TargetMode="External"/><Relationship Id="rId1535" Type="http://schemas.openxmlformats.org/officeDocument/2006/relationships/hyperlink" Target="https://tnezki.github.io/physics/banks/unit5/unit5.html" TargetMode="External"/><Relationship Id="rId1536" Type="http://schemas.openxmlformats.org/officeDocument/2006/relationships/hyperlink" Target="https://tnezki.github.io/physics/warmups/unit_5_warmups/unit_5_warmups.html" TargetMode="External"/><Relationship Id="rId1537" Type="http://schemas.openxmlformats.org/officeDocument/2006/relationships/hyperlink" Target="https://tnezki.github.io/physics/demo/u5_3_demo/u5_3_demo.html" TargetMode="External"/><Relationship Id="rId1538" Type="http://schemas.openxmlformats.org/officeDocument/2006/relationships/hyperlink" Target="https://tnezki.github.io/physics/notes/u5_3_notes/u5_3_notes.html" TargetMode="External"/><Relationship Id="rId1539" Type="http://schemas.openxmlformats.org/officeDocument/2006/relationships/hyperlink" Target="https://tnezki.github.io/physics/investigations/u5_3_investigation/u5_3_investigation.html" TargetMode="External"/><Relationship Id="rId949" Type="http://schemas.openxmlformats.org/officeDocument/2006/relationships/hyperlink" Target="https://tnezki.github.io/physics/performance_task___5134zrt/u3_4_performance_task/u3_4_performance_task_teacher_guide.html" TargetMode="External"/><Relationship Id="rId948" Type="http://schemas.openxmlformats.org/officeDocument/2006/relationships/hyperlink" Target="https://tnezki.github.io/physics/investigations/u3_4_investigation/u3_4_investigation_teacher_guide.html" TargetMode="External"/><Relationship Id="rId943" Type="http://schemas.openxmlformats.org/officeDocument/2006/relationships/hyperlink" Target="https://tnezki.github.io/physics/practice_sets/practice_sets_3_4/cyu_3_4.html" TargetMode="External"/><Relationship Id="rId942" Type="http://schemas.openxmlformats.org/officeDocument/2006/relationships/hyperlink" Target="https://tnezki.github.io/physics/practice_sets/practice_sets_3_4/extra_practice_3_4.html" TargetMode="External"/><Relationship Id="rId941" Type="http://schemas.openxmlformats.org/officeDocument/2006/relationships/hyperlink" Target="https://tnezki.github.io/physics/practice_sets/practice_sets_3_4/practice_set_3_4.html" TargetMode="External"/><Relationship Id="rId940" Type="http://schemas.openxmlformats.org/officeDocument/2006/relationships/hyperlink" Target="https://tnezki.github.io/physics/activities/u3_4_act1/u3_4_act1.html" TargetMode="External"/><Relationship Id="rId947" Type="http://schemas.openxmlformats.org/officeDocument/2006/relationships/hyperlink" Target="https://tnezki.github.io/physics/demo/u3_4_demo/u3_4_demo_teacher_guide.html" TargetMode="External"/><Relationship Id="rId946" Type="http://schemas.openxmlformats.org/officeDocument/2006/relationships/hyperlink" Target="https://tnezki.github.io/physics/notes/u3_4_notes/u3_4_notes_teacher.html" TargetMode="External"/><Relationship Id="rId945" Type="http://schemas.openxmlformats.org/officeDocument/2006/relationships/hyperlink" Target="https://tnezki.github.io/physics/reviews/review3/review_3.html" TargetMode="External"/><Relationship Id="rId944" Type="http://schemas.openxmlformats.org/officeDocument/2006/relationships/hyperlink" Target="https://tnezki.github.io/physics/progress/unit_3_progress/unit_3_progress.html" TargetMode="External"/><Relationship Id="rId1530" Type="http://schemas.openxmlformats.org/officeDocument/2006/relationships/hyperlink" Target="https://tnezki.github.io/physics/quick_check____htq5855/u5_3_quick_check/u5_3_quick_check.html" TargetMode="External"/><Relationship Id="rId1531" Type="http://schemas.openxmlformats.org/officeDocument/2006/relationships/hyperlink" Target="https://tnezki.github.io/physics/exit/exit5/exit_5.html" TargetMode="External"/><Relationship Id="rId1521" Type="http://schemas.openxmlformats.org/officeDocument/2006/relationships/hyperlink" Target="https://tnezki.github.io/physics/practice_sets/practice_sets_5_3/cyu_5_3.html" TargetMode="External"/><Relationship Id="rId1522" Type="http://schemas.openxmlformats.org/officeDocument/2006/relationships/hyperlink" Target="https://tnezki.github.io/physics/progress/unit_5_progress/unit_5_progress.html" TargetMode="External"/><Relationship Id="rId1523" Type="http://schemas.openxmlformats.org/officeDocument/2006/relationships/hyperlink" Target="https://tnezki.github.io/physics/reviews/review5/review_5.html" TargetMode="External"/><Relationship Id="rId1524" Type="http://schemas.openxmlformats.org/officeDocument/2006/relationships/hyperlink" Target="https://tnezki.github.io/physics/notes/u5_3_notes/u5_3_notes_teacher.html" TargetMode="External"/><Relationship Id="rId1525" Type="http://schemas.openxmlformats.org/officeDocument/2006/relationships/hyperlink" Target="https://tnezki.github.io/physics/demo/u5_3_demo/u5_3_demo_teacher_guide.html" TargetMode="External"/><Relationship Id="rId1526" Type="http://schemas.openxmlformats.org/officeDocument/2006/relationships/hyperlink" Target="https://tnezki.github.io/physics/investigations/u5_3_investigation/u5_3_investigation_teacher_guide.html" TargetMode="External"/><Relationship Id="rId1527" Type="http://schemas.openxmlformats.org/officeDocument/2006/relationships/hyperlink" Target="https://tnezki.github.io/physics/performance_task___5134zrt/u5_3_performance_task/u5_3_performance_task_teacher_guide.html" TargetMode="External"/><Relationship Id="rId1528" Type="http://schemas.openxmlformats.org/officeDocument/2006/relationships/hyperlink" Target="https://tnezki.github.io/physics/assessments_zxrtjp/unit5_assessment_plan/unit5_assessment_plan.html" TargetMode="External"/><Relationship Id="rId1529" Type="http://schemas.openxmlformats.org/officeDocument/2006/relationships/hyperlink" Target="https://tnezki.github.io/physics/performance_task___5134zrt/u5_3_performance_task/u5_3_performance_task.html" TargetMode="External"/><Relationship Id="rId939" Type="http://schemas.openxmlformats.org/officeDocument/2006/relationships/hyperlink" Target="https://tnezki.github.io/physics/investigations/u3_4_investigation/u3_4_investigation.html" TargetMode="External"/><Relationship Id="rId938" Type="http://schemas.openxmlformats.org/officeDocument/2006/relationships/hyperlink" Target="https://tnezki.github.io/physics/notes/u3_4_notes/u3_4_notes.html" TargetMode="External"/><Relationship Id="rId937" Type="http://schemas.openxmlformats.org/officeDocument/2006/relationships/hyperlink" Target="https://tnezki.github.io/physics/demo/u3_4_demo/u3_4_demo.html" TargetMode="External"/><Relationship Id="rId932" Type="http://schemas.openxmlformats.org/officeDocument/2006/relationships/hyperlink" Target="https://tnezki.github.io/physics/practice_sets/practice_sets_3_4/practice_set_3_4_2.html" TargetMode="External"/><Relationship Id="rId931" Type="http://schemas.openxmlformats.org/officeDocument/2006/relationships/hyperlink" Target="https://tnezki.github.io/physics/exit/exit3/exit_3.html" TargetMode="External"/><Relationship Id="rId930" Type="http://schemas.openxmlformats.org/officeDocument/2006/relationships/hyperlink" Target="https://tnezki.github.io/physics/quick_check____htq5855/u3_4_quick_check/u3_4_quick_check.html" TargetMode="External"/><Relationship Id="rId936" Type="http://schemas.openxmlformats.org/officeDocument/2006/relationships/hyperlink" Target="https://tnezki.github.io/physics/warmups/unit_3_warmups/unit_3_warmups.html" TargetMode="External"/><Relationship Id="rId935" Type="http://schemas.openxmlformats.org/officeDocument/2006/relationships/hyperlink" Target="https://tnezki.github.io/physics/banks/unit3/unit3.html" TargetMode="External"/><Relationship Id="rId934" Type="http://schemas.openxmlformats.org/officeDocument/2006/relationships/hyperlink" Target="https://tnezki.github.io/physics/assessments_zxrtjp/unit3_summative/unit3_summative_assessment.html" TargetMode="External"/><Relationship Id="rId933" Type="http://schemas.openxmlformats.org/officeDocument/2006/relationships/hyperlink" Target="https://tnezki.github.io/physics/practice_sets/practice_sets_3_4/practice_set_3_4_3.html" TargetMode="External"/><Relationship Id="rId1520" Type="http://schemas.openxmlformats.org/officeDocument/2006/relationships/hyperlink" Target="https://tnezki.github.io/physics/practice_sets/practice_sets_5_3/extra_practice_5_3.html" TargetMode="External"/><Relationship Id="rId1554" Type="http://schemas.openxmlformats.org/officeDocument/2006/relationships/hyperlink" Target="https://tnezki.github.io/physics/practice_sets/practice_sets_5_3/practice_set_5_3_2.html" TargetMode="External"/><Relationship Id="rId2401" Type="http://schemas.openxmlformats.org/officeDocument/2006/relationships/hyperlink" Target="https://tnezki.github.io/physics/assessments_zxrtjp/unit8_summative/unit8_summative_assessment.html" TargetMode="External"/><Relationship Id="rId1555" Type="http://schemas.openxmlformats.org/officeDocument/2006/relationships/hyperlink" Target="https://tnezki.github.io/physics/practice_sets/practice_sets_5_3/practice_set_5_3_3.html" TargetMode="External"/><Relationship Id="rId2402" Type="http://schemas.openxmlformats.org/officeDocument/2006/relationships/hyperlink" Target="https://tnezki.github.io/physics/banks/unit8/unit8.html" TargetMode="External"/><Relationship Id="rId1556" Type="http://schemas.openxmlformats.org/officeDocument/2006/relationships/hyperlink" Target="https://tnezki.github.io/physics/assessments_zxrtjp/unit5_summative/unit5_summative_assessment.html" TargetMode="External"/><Relationship Id="rId2403" Type="http://schemas.openxmlformats.org/officeDocument/2006/relationships/hyperlink" Target="https://tnezki.github.io/physics/warmups/unit_8_warmups/unit_8_warmups.html" TargetMode="External"/><Relationship Id="rId1557" Type="http://schemas.openxmlformats.org/officeDocument/2006/relationships/hyperlink" Target="https://tnezki.github.io/physics/banks/unit5/unit5.html" TargetMode="External"/><Relationship Id="rId2404" Type="http://schemas.openxmlformats.org/officeDocument/2006/relationships/hyperlink" Target="https://tnezki.github.io/physics/demo/u8_1_demo/u8_1_demo.html" TargetMode="External"/><Relationship Id="rId1558" Type="http://schemas.openxmlformats.org/officeDocument/2006/relationships/hyperlink" Target="https://tnezki.github.io/physics/warmups/unit_5_warmups/unit_5_warmups.html" TargetMode="External"/><Relationship Id="rId2405" Type="http://schemas.openxmlformats.org/officeDocument/2006/relationships/hyperlink" Target="https://tnezki.github.io/physics/notes/u8_1_notes/u8_1_notes.html" TargetMode="External"/><Relationship Id="rId1559" Type="http://schemas.openxmlformats.org/officeDocument/2006/relationships/hyperlink" Target="https://tnezki.github.io/physics/demo/u5_4_demo/u5_4_demo.html" TargetMode="External"/><Relationship Id="rId2406" Type="http://schemas.openxmlformats.org/officeDocument/2006/relationships/hyperlink" Target="https://tnezki.github.io/physics/investigations/u8_1_investigation/u8_1_investigation.html" TargetMode="External"/><Relationship Id="rId2407" Type="http://schemas.openxmlformats.org/officeDocument/2006/relationships/hyperlink" Target="https://tnezki.github.io/physics/activities/u8_1_act1/u8_1_act1.html" TargetMode="External"/><Relationship Id="rId2408" Type="http://schemas.openxmlformats.org/officeDocument/2006/relationships/hyperlink" Target="https://tnezki.github.io/physics/practice_sets/practice_sets_8_1/practice_set_8_1.html" TargetMode="External"/><Relationship Id="rId2409" Type="http://schemas.openxmlformats.org/officeDocument/2006/relationships/hyperlink" Target="https://tnezki.github.io/physics/practice_sets/practice_sets_8_1/extra_practice_8_1.html" TargetMode="External"/><Relationship Id="rId965" Type="http://schemas.openxmlformats.org/officeDocument/2006/relationships/hyperlink" Target="https://tnezki.github.io/physics/practice_sets/practice_sets_3_5/cyu_3_5.html" TargetMode="External"/><Relationship Id="rId964" Type="http://schemas.openxmlformats.org/officeDocument/2006/relationships/hyperlink" Target="https://tnezki.github.io/physics/practice_sets/practice_sets_3_5/extra_practice_3_5.html" TargetMode="External"/><Relationship Id="rId963" Type="http://schemas.openxmlformats.org/officeDocument/2006/relationships/hyperlink" Target="https://tnezki.github.io/physics/practice_sets/practice_sets_3_5/practice_set_3_5.html" TargetMode="External"/><Relationship Id="rId962" Type="http://schemas.openxmlformats.org/officeDocument/2006/relationships/hyperlink" Target="https://tnezki.github.io/physics/activities/u3_5_act1/u3_5_act1.html" TargetMode="External"/><Relationship Id="rId969" Type="http://schemas.openxmlformats.org/officeDocument/2006/relationships/hyperlink" Target="https://tnezki.github.io/physics/demo/u3_5_demo/u3_5_demo_teacher_guide.html" TargetMode="External"/><Relationship Id="rId968" Type="http://schemas.openxmlformats.org/officeDocument/2006/relationships/hyperlink" Target="https://tnezki.github.io/physics/notes/u3_5_notes/u3_5_notes_teacher.html" TargetMode="External"/><Relationship Id="rId967" Type="http://schemas.openxmlformats.org/officeDocument/2006/relationships/hyperlink" Target="https://tnezki.github.io/physics/reviews/review3/review_3.html" TargetMode="External"/><Relationship Id="rId966" Type="http://schemas.openxmlformats.org/officeDocument/2006/relationships/hyperlink" Target="https://tnezki.github.io/physics/progress/unit_3_progress/unit_3_progress.html" TargetMode="External"/><Relationship Id="rId961" Type="http://schemas.openxmlformats.org/officeDocument/2006/relationships/hyperlink" Target="https://tnezki.github.io/physics/investigations/u3_5_investigation/u3_5_investigation.html" TargetMode="External"/><Relationship Id="rId1550" Type="http://schemas.openxmlformats.org/officeDocument/2006/relationships/hyperlink" Target="https://tnezki.github.io/physics/assessments_zxrtjp/unit5_assessment_plan/unit5_assessment_plan.html" TargetMode="External"/><Relationship Id="rId960" Type="http://schemas.openxmlformats.org/officeDocument/2006/relationships/hyperlink" Target="https://tnezki.github.io/physics/notes/u3_5_notes/u3_5_notes.html" TargetMode="External"/><Relationship Id="rId1551" Type="http://schemas.openxmlformats.org/officeDocument/2006/relationships/hyperlink" Target="https://tnezki.github.io/physics/performance_task___5134zrt/u5_3_performance_task/u5_3_performance_task.html" TargetMode="External"/><Relationship Id="rId1552" Type="http://schemas.openxmlformats.org/officeDocument/2006/relationships/hyperlink" Target="https://tnezki.github.io/physics/quick_check____htq5855/u5_3_quick_check/u5_3_quick_check.html" TargetMode="External"/><Relationship Id="rId1553" Type="http://schemas.openxmlformats.org/officeDocument/2006/relationships/hyperlink" Target="https://tnezki.github.io/physics/exit/exit5/exit_5.html" TargetMode="External"/><Relationship Id="rId2400" Type="http://schemas.openxmlformats.org/officeDocument/2006/relationships/hyperlink" Target="https://tnezki.github.io/physics/practice_sets/practice_sets_8_1/practice_set_8_1_3.html" TargetMode="External"/><Relationship Id="rId1543" Type="http://schemas.openxmlformats.org/officeDocument/2006/relationships/hyperlink" Target="https://tnezki.github.io/physics/practice_sets/practice_sets_5_3/cyu_5_3.html" TargetMode="External"/><Relationship Id="rId1544" Type="http://schemas.openxmlformats.org/officeDocument/2006/relationships/hyperlink" Target="https://tnezki.github.io/physics/progress/unit_5_progress/unit_5_progress.html" TargetMode="External"/><Relationship Id="rId1545" Type="http://schemas.openxmlformats.org/officeDocument/2006/relationships/hyperlink" Target="https://tnezki.github.io/physics/reviews/review5/review_5.html" TargetMode="External"/><Relationship Id="rId1546" Type="http://schemas.openxmlformats.org/officeDocument/2006/relationships/hyperlink" Target="https://tnezki.github.io/physics/notes/u5_3_notes/u5_3_notes_teacher.html" TargetMode="External"/><Relationship Id="rId1547" Type="http://schemas.openxmlformats.org/officeDocument/2006/relationships/hyperlink" Target="https://tnezki.github.io/physics/demo/u5_3_demo/u5_3_demo_teacher_guide.html" TargetMode="External"/><Relationship Id="rId1548" Type="http://schemas.openxmlformats.org/officeDocument/2006/relationships/hyperlink" Target="https://tnezki.github.io/physics/investigations/u5_3_investigation/u5_3_investigation_teacher_guide.html" TargetMode="External"/><Relationship Id="rId1549" Type="http://schemas.openxmlformats.org/officeDocument/2006/relationships/hyperlink" Target="https://tnezki.github.io/physics/performance_task___5134zrt/u5_3_performance_task/u5_3_performance_task_teacher_guide.html" TargetMode="External"/><Relationship Id="rId959" Type="http://schemas.openxmlformats.org/officeDocument/2006/relationships/hyperlink" Target="https://tnezki.github.io/physics/demo/u3_5_demo/u3_5_demo.html" TargetMode="External"/><Relationship Id="rId954" Type="http://schemas.openxmlformats.org/officeDocument/2006/relationships/hyperlink" Target="https://tnezki.github.io/physics/practice_sets/practice_sets_3_4/practice_set_3_4_2.html" TargetMode="External"/><Relationship Id="rId953" Type="http://schemas.openxmlformats.org/officeDocument/2006/relationships/hyperlink" Target="https://tnezki.github.io/physics/exit/exit3/exit_3.html" TargetMode="External"/><Relationship Id="rId952" Type="http://schemas.openxmlformats.org/officeDocument/2006/relationships/hyperlink" Target="https://tnezki.github.io/physics/quick_check____htq5855/u3_4_quick_check/u3_4_quick_check.html" TargetMode="External"/><Relationship Id="rId951" Type="http://schemas.openxmlformats.org/officeDocument/2006/relationships/hyperlink" Target="https://tnezki.github.io/physics/performance_task___5134zrt/u3_4_performance_task/u3_4_performance_task.html" TargetMode="External"/><Relationship Id="rId958" Type="http://schemas.openxmlformats.org/officeDocument/2006/relationships/hyperlink" Target="https://tnezki.github.io/physics/warmups/unit_3_warmups/unit_3_warmups.html" TargetMode="External"/><Relationship Id="rId957" Type="http://schemas.openxmlformats.org/officeDocument/2006/relationships/hyperlink" Target="https://tnezki.github.io/physics/banks/unit3/unit3.html" TargetMode="External"/><Relationship Id="rId956" Type="http://schemas.openxmlformats.org/officeDocument/2006/relationships/hyperlink" Target="https://tnezki.github.io/physics/assessments_zxrtjp/unit3_summative/unit3_summative_assessment.html" TargetMode="External"/><Relationship Id="rId955" Type="http://schemas.openxmlformats.org/officeDocument/2006/relationships/hyperlink" Target="https://tnezki.github.io/physics/practice_sets/practice_sets_3_4/practice_set_3_4_3.html" TargetMode="External"/><Relationship Id="rId950" Type="http://schemas.openxmlformats.org/officeDocument/2006/relationships/hyperlink" Target="https://tnezki.github.io/physics/assessments_zxrtjp/unit3_assessment_plan/unit3_assessment_plan.html" TargetMode="External"/><Relationship Id="rId1540" Type="http://schemas.openxmlformats.org/officeDocument/2006/relationships/hyperlink" Target="https://tnezki.github.io/physics/activities/u5_3_act1/u5_3_act1.html" TargetMode="External"/><Relationship Id="rId1541" Type="http://schemas.openxmlformats.org/officeDocument/2006/relationships/hyperlink" Target="https://tnezki.github.io/physics/practice_sets/practice_sets_5_3/practice_set_5_3.html" TargetMode="External"/><Relationship Id="rId1542" Type="http://schemas.openxmlformats.org/officeDocument/2006/relationships/hyperlink" Target="https://tnezki.github.io/physics/practice_sets/practice_sets_5_3/extra_practice_5_3.html" TargetMode="External"/><Relationship Id="rId2027" Type="http://schemas.openxmlformats.org/officeDocument/2006/relationships/hyperlink" Target="https://tnezki.github.io/physics/demo/u7_1_demo/u7_1_demo.html" TargetMode="External"/><Relationship Id="rId2028" Type="http://schemas.openxmlformats.org/officeDocument/2006/relationships/hyperlink" Target="https://tnezki.github.io/physics/notes/u7_1_notes/u7_1_notes.html" TargetMode="External"/><Relationship Id="rId2029" Type="http://schemas.openxmlformats.org/officeDocument/2006/relationships/hyperlink" Target="https://tnezki.github.io/physics/investigations/u7_1_investigation/u7_1_investigation.html" TargetMode="External"/><Relationship Id="rId590" Type="http://schemas.openxmlformats.org/officeDocument/2006/relationships/hyperlink" Target="https://tnezki.github.io/physics/reviews/review2/review_2.html" TargetMode="External"/><Relationship Id="rId107" Type="http://schemas.openxmlformats.org/officeDocument/2006/relationships/hyperlink" Target="https://tnezki.github.io/physics/performance_task___5134zrt/u1_2_performance_task/u1_2_performance_task_teacher_guide.html" TargetMode="External"/><Relationship Id="rId106" Type="http://schemas.openxmlformats.org/officeDocument/2006/relationships/hyperlink" Target="https://tnezki.github.io/physics/investigations/u1_2_investigation/u1_2_investigation_teacher_guide.html" TargetMode="External"/><Relationship Id="rId105" Type="http://schemas.openxmlformats.org/officeDocument/2006/relationships/hyperlink" Target="https://tnezki.github.io/physics/demo/u1_2_demo/u1_2_demo_teacher_guide.html" TargetMode="External"/><Relationship Id="rId589" Type="http://schemas.openxmlformats.org/officeDocument/2006/relationships/hyperlink" Target="https://tnezki.github.io/physics/progress/unit_2_progress/unit_2_progress.html" TargetMode="External"/><Relationship Id="rId104" Type="http://schemas.openxmlformats.org/officeDocument/2006/relationships/hyperlink" Target="https://tnezki.github.io/physics/notes/u1_2_notes/u1_2_notes_teacher.html" TargetMode="External"/><Relationship Id="rId588" Type="http://schemas.openxmlformats.org/officeDocument/2006/relationships/hyperlink" Target="https://tnezki.github.io/physics/practice_sets/practice_sets_2_4/cyu_2_4.html" TargetMode="External"/><Relationship Id="rId109" Type="http://schemas.openxmlformats.org/officeDocument/2006/relationships/hyperlink" Target="https://tnezki.github.io/physics/performance_task___5134zrt/u1_2_performance_task/u1_2_performance_task.html" TargetMode="External"/><Relationship Id="rId1170" Type="http://schemas.openxmlformats.org/officeDocument/2006/relationships/hyperlink" Target="https://tnezki.github.io/physics/demo/u4_3_demo/u4_3_demo_teacher_guide.html" TargetMode="External"/><Relationship Id="rId108" Type="http://schemas.openxmlformats.org/officeDocument/2006/relationships/hyperlink" Target="https://tnezki.github.io/physics/assessments_zxrtjp/unit1_assessment_plan/unit1_assessment_plan.html" TargetMode="External"/><Relationship Id="rId1171" Type="http://schemas.openxmlformats.org/officeDocument/2006/relationships/hyperlink" Target="https://tnezki.github.io/physics/investigations/u4_3_investigation/u4_3_investigation_teacher_guide.html" TargetMode="External"/><Relationship Id="rId583" Type="http://schemas.openxmlformats.org/officeDocument/2006/relationships/hyperlink" Target="https://tnezki.github.io/physics/notes/u2_4_notes/u2_4_notes.html" TargetMode="External"/><Relationship Id="rId1172" Type="http://schemas.openxmlformats.org/officeDocument/2006/relationships/hyperlink" Target="https://tnezki.github.io/physics/performance_task___5134zrt/u4_3_performance_task/u4_3_performance_task_teacher_guide.html" TargetMode="External"/><Relationship Id="rId582" Type="http://schemas.openxmlformats.org/officeDocument/2006/relationships/hyperlink" Target="https://tnezki.github.io/physics/demo/u2_4_demo/u2_4_demo.html" TargetMode="External"/><Relationship Id="rId1173" Type="http://schemas.openxmlformats.org/officeDocument/2006/relationships/hyperlink" Target="https://tnezki.github.io/physics/assessments_zxrtjp/unit4_assessment_plan/unit4_assessment_plan.html" TargetMode="External"/><Relationship Id="rId2020" Type="http://schemas.openxmlformats.org/officeDocument/2006/relationships/hyperlink" Target="https://tnezki.github.io/physics/practice_sets/practice_sets_6_5/practice_set_6_5_3.html" TargetMode="External"/><Relationship Id="rId581" Type="http://schemas.openxmlformats.org/officeDocument/2006/relationships/hyperlink" Target="https://tnezki.github.io/physics/warmups/unit_2_warmups/unit_2_warmups.html" TargetMode="External"/><Relationship Id="rId1174" Type="http://schemas.openxmlformats.org/officeDocument/2006/relationships/hyperlink" Target="https://tnezki.github.io/physics/performance_task___5134zrt/u4_3_performance_task/u4_3_performance_task.html" TargetMode="External"/><Relationship Id="rId2021" Type="http://schemas.openxmlformats.org/officeDocument/2006/relationships/hyperlink" Target="https://tnezki.github.io/physics/assessments_zxrtjp/unit6_summative/unit6_summative_assessment.html" TargetMode="External"/><Relationship Id="rId580" Type="http://schemas.openxmlformats.org/officeDocument/2006/relationships/hyperlink" Target="https://tnezki.github.io/physics/banks/unit2/unit2.html" TargetMode="External"/><Relationship Id="rId1175" Type="http://schemas.openxmlformats.org/officeDocument/2006/relationships/hyperlink" Target="https://tnezki.github.io/physics/quick_check____htq5855/u4_3_quick_check/u4_3_quick_check.html" TargetMode="External"/><Relationship Id="rId2022" Type="http://schemas.openxmlformats.org/officeDocument/2006/relationships/hyperlink" Target="https://tnezki.github.io/physics/banks/unit6/unit6.html" TargetMode="External"/><Relationship Id="rId103" Type="http://schemas.openxmlformats.org/officeDocument/2006/relationships/hyperlink" Target="https://tnezki.github.io/physics/reviews/review1/review_1.html" TargetMode="External"/><Relationship Id="rId587" Type="http://schemas.openxmlformats.org/officeDocument/2006/relationships/hyperlink" Target="https://tnezki.github.io/physics/practice_sets/practice_sets_2_4/extra_practice_2_4.html" TargetMode="External"/><Relationship Id="rId1176" Type="http://schemas.openxmlformats.org/officeDocument/2006/relationships/hyperlink" Target="https://tnezki.github.io/physics/exit/exit4/exit_4.html" TargetMode="External"/><Relationship Id="rId2023" Type="http://schemas.openxmlformats.org/officeDocument/2006/relationships/hyperlink" Target="https://tnezki.github.io/physics/assessments_zxrtjp/unit6_summative/unit6_summative_assessment.html" TargetMode="External"/><Relationship Id="rId102" Type="http://schemas.openxmlformats.org/officeDocument/2006/relationships/hyperlink" Target="https://tnezki.github.io/physics/progress/unit_1_progress/unit_1_progress.html" TargetMode="External"/><Relationship Id="rId586" Type="http://schemas.openxmlformats.org/officeDocument/2006/relationships/hyperlink" Target="https://tnezki.github.io/physics/practice_sets/practice_sets_2_4/practice_set_2_4.html" TargetMode="External"/><Relationship Id="rId1177" Type="http://schemas.openxmlformats.org/officeDocument/2006/relationships/hyperlink" Target="https://tnezki.github.io/physics/practice_sets/practice_sets_4_3/practice_set_4_3_2.html" TargetMode="External"/><Relationship Id="rId2024" Type="http://schemas.openxmlformats.org/officeDocument/2006/relationships/hyperlink" Target="https://tnezki.github.io/physics/banks/unit6/unit6.html" TargetMode="External"/><Relationship Id="rId101" Type="http://schemas.openxmlformats.org/officeDocument/2006/relationships/hyperlink" Target="https://tnezki.github.io/physics/practice_sets/practice_sets_1_2/cyu_1_2.html" TargetMode="External"/><Relationship Id="rId585" Type="http://schemas.openxmlformats.org/officeDocument/2006/relationships/hyperlink" Target="https://tnezki.github.io/physics/activities/u2_4_act1/u2_4_act1.html" TargetMode="External"/><Relationship Id="rId1178" Type="http://schemas.openxmlformats.org/officeDocument/2006/relationships/hyperlink" Target="https://tnezki.github.io/physics/practice_sets/practice_sets_4_3/practice_set_4_3_3.html" TargetMode="External"/><Relationship Id="rId2025" Type="http://schemas.openxmlformats.org/officeDocument/2006/relationships/hyperlink" Target="https://tnezki.github.io/physics/assessments_zxrtjp/unit6_assessment_plan/unit6_assessment_plan.html" TargetMode="External"/><Relationship Id="rId100" Type="http://schemas.openxmlformats.org/officeDocument/2006/relationships/hyperlink" Target="https://tnezki.github.io/physics/practice_sets/practice_sets_1_2/extra_practice_1_2.html" TargetMode="External"/><Relationship Id="rId584" Type="http://schemas.openxmlformats.org/officeDocument/2006/relationships/hyperlink" Target="https://tnezki.github.io/physics/investigations/u2_4_investigation/u2_4_investigation.html" TargetMode="External"/><Relationship Id="rId1179" Type="http://schemas.openxmlformats.org/officeDocument/2006/relationships/hyperlink" Target="https://tnezki.github.io/physics/assessments_zxrtjp/unit4_summative/unit4_summative_assessment.html" TargetMode="External"/><Relationship Id="rId2026" Type="http://schemas.openxmlformats.org/officeDocument/2006/relationships/hyperlink" Target="https://tnezki.github.io/physics/warmups/unit_7_warmups/unit_7_warmups.html" TargetMode="External"/><Relationship Id="rId1169" Type="http://schemas.openxmlformats.org/officeDocument/2006/relationships/hyperlink" Target="https://tnezki.github.io/physics/notes/u4_3_notes/u4_3_notes_teacher.html" TargetMode="External"/><Relationship Id="rId2016" Type="http://schemas.openxmlformats.org/officeDocument/2006/relationships/hyperlink" Target="https://tnezki.github.io/physics/performance_task___5134zrt/u6_5_performance_task/u6_5_performance_task.html" TargetMode="External"/><Relationship Id="rId2017" Type="http://schemas.openxmlformats.org/officeDocument/2006/relationships/hyperlink" Target="https://tnezki.github.io/physics/quick_check____htq5855/u6_5_quick_check/u6_5_quick_check.html" TargetMode="External"/><Relationship Id="rId2018" Type="http://schemas.openxmlformats.org/officeDocument/2006/relationships/hyperlink" Target="https://tnezki.github.io/physics/exit/exit6/exit_6.html" TargetMode="External"/><Relationship Id="rId2019" Type="http://schemas.openxmlformats.org/officeDocument/2006/relationships/hyperlink" Target="https://tnezki.github.io/physics/practice_sets/practice_sets_6_5/practice_set_6_5_2.html" TargetMode="External"/><Relationship Id="rId579" Type="http://schemas.openxmlformats.org/officeDocument/2006/relationships/hyperlink" Target="https://tnezki.github.io/physics/assessments_zxrtjp/unit2_summative/unit2_summative_assessment.html" TargetMode="External"/><Relationship Id="rId578" Type="http://schemas.openxmlformats.org/officeDocument/2006/relationships/hyperlink" Target="https://tnezki.github.io/physics/practice_sets/practice_sets_2_4/practice_set_2_4_3.html" TargetMode="External"/><Relationship Id="rId577" Type="http://schemas.openxmlformats.org/officeDocument/2006/relationships/hyperlink" Target="https://tnezki.github.io/physics/practice_sets/practice_sets_2_4/practice_set_2_4_2.html" TargetMode="External"/><Relationship Id="rId2490" Type="http://schemas.openxmlformats.org/officeDocument/2006/relationships/hyperlink" Target="https://tnezki.github.io/physics/banks/unit8/unit8.html" TargetMode="External"/><Relationship Id="rId1160" Type="http://schemas.openxmlformats.org/officeDocument/2006/relationships/hyperlink" Target="https://tnezki.github.io/physics/demo/u4_3_demo/u4_3_demo.html" TargetMode="External"/><Relationship Id="rId2491" Type="http://schemas.openxmlformats.org/officeDocument/2006/relationships/hyperlink" Target="https://tnezki.github.io/physics/warmups/unit_8_warmups/unit_8_warmups.html" TargetMode="External"/><Relationship Id="rId572" Type="http://schemas.openxmlformats.org/officeDocument/2006/relationships/hyperlink" Target="https://tnezki.github.io/physics/performance_task___5134zrt/u2_4_performance_task/u2_4_performance_task_teacher_guide.html" TargetMode="External"/><Relationship Id="rId1161" Type="http://schemas.openxmlformats.org/officeDocument/2006/relationships/hyperlink" Target="https://tnezki.github.io/physics/notes/u4_3_notes/u4_3_notes.html" TargetMode="External"/><Relationship Id="rId2492" Type="http://schemas.openxmlformats.org/officeDocument/2006/relationships/hyperlink" Target="https://tnezki.github.io/physics/demo/u8_3_demo/u8_3_demo.html" TargetMode="External"/><Relationship Id="rId571" Type="http://schemas.openxmlformats.org/officeDocument/2006/relationships/hyperlink" Target="https://tnezki.github.io/physics/investigations/u2_4_investigation/u2_4_investigation_teacher_guide.html" TargetMode="External"/><Relationship Id="rId1162" Type="http://schemas.openxmlformats.org/officeDocument/2006/relationships/hyperlink" Target="https://tnezki.github.io/physics/investigations/u4_3_investigation/u4_3_investigation.html" TargetMode="External"/><Relationship Id="rId2493" Type="http://schemas.openxmlformats.org/officeDocument/2006/relationships/hyperlink" Target="https://tnezki.github.io/physics/notes/u8_3_notes/u8_3_notes.html" TargetMode="External"/><Relationship Id="rId570" Type="http://schemas.openxmlformats.org/officeDocument/2006/relationships/hyperlink" Target="https://tnezki.github.io/physics/demo/u2_4_demo/u2_4_demo_teacher_guide.html" TargetMode="External"/><Relationship Id="rId1163" Type="http://schemas.openxmlformats.org/officeDocument/2006/relationships/hyperlink" Target="https://tnezki.github.io/physics/activities/u4_3_act1/u4_3_act1.html" TargetMode="External"/><Relationship Id="rId2010" Type="http://schemas.openxmlformats.org/officeDocument/2006/relationships/hyperlink" Target="https://tnezki.github.io/physics/reviews/review6/review_6.html" TargetMode="External"/><Relationship Id="rId2494" Type="http://schemas.openxmlformats.org/officeDocument/2006/relationships/hyperlink" Target="https://tnezki.github.io/physics/investigations/u8_3_investigation/u8_3_investigation.html" TargetMode="External"/><Relationship Id="rId1164" Type="http://schemas.openxmlformats.org/officeDocument/2006/relationships/hyperlink" Target="https://tnezki.github.io/physics/practice_sets/practice_sets_4_3/practice_set_4_3.html" TargetMode="External"/><Relationship Id="rId2011" Type="http://schemas.openxmlformats.org/officeDocument/2006/relationships/hyperlink" Target="https://tnezki.github.io/physics/notes/u6_5_notes/u6_5_notes_teacher.html" TargetMode="External"/><Relationship Id="rId2495" Type="http://schemas.openxmlformats.org/officeDocument/2006/relationships/hyperlink" Target="https://tnezki.github.io/physics/activities/u8_3_act1/u8_3_act1.html" TargetMode="External"/><Relationship Id="rId576" Type="http://schemas.openxmlformats.org/officeDocument/2006/relationships/hyperlink" Target="https://tnezki.github.io/physics/exit/exit2/exit_2.html" TargetMode="External"/><Relationship Id="rId1165" Type="http://schemas.openxmlformats.org/officeDocument/2006/relationships/hyperlink" Target="https://tnezki.github.io/physics/practice_sets/practice_sets_4_3/extra_practice_4_3.html" TargetMode="External"/><Relationship Id="rId2012" Type="http://schemas.openxmlformats.org/officeDocument/2006/relationships/hyperlink" Target="https://tnezki.github.io/physics/demo/u6_5_demo/u6_5_demo_teacher_guide.html" TargetMode="External"/><Relationship Id="rId2496" Type="http://schemas.openxmlformats.org/officeDocument/2006/relationships/hyperlink" Target="https://tnezki.github.io/physics/practice_sets/practice_sets_8_3/practice_set_8_3.html" TargetMode="External"/><Relationship Id="rId575" Type="http://schemas.openxmlformats.org/officeDocument/2006/relationships/hyperlink" Target="https://tnezki.github.io/physics/quick_check____htq5855/u2_4_quick_check/u2_4_quick_check.html" TargetMode="External"/><Relationship Id="rId1166" Type="http://schemas.openxmlformats.org/officeDocument/2006/relationships/hyperlink" Target="https://tnezki.github.io/physics/practice_sets/practice_sets_4_3/cyu_4_3.html" TargetMode="External"/><Relationship Id="rId2013" Type="http://schemas.openxmlformats.org/officeDocument/2006/relationships/hyperlink" Target="https://tnezki.github.io/physics/investigations/u6_5_investigation/u6_5_investigation_teacher_guide.html" TargetMode="External"/><Relationship Id="rId2497" Type="http://schemas.openxmlformats.org/officeDocument/2006/relationships/hyperlink" Target="https://tnezki.github.io/physics/practice_sets/practice_sets_8_3/extra_practice_8_3.html" TargetMode="External"/><Relationship Id="rId574" Type="http://schemas.openxmlformats.org/officeDocument/2006/relationships/hyperlink" Target="https://tnezki.github.io/physics/performance_task___5134zrt/u2_4_performance_task/u2_4_performance_task.html" TargetMode="External"/><Relationship Id="rId1167" Type="http://schemas.openxmlformats.org/officeDocument/2006/relationships/hyperlink" Target="https://tnezki.github.io/physics/progress/unit_4_progress/unit_4_progress.html" TargetMode="External"/><Relationship Id="rId2014" Type="http://schemas.openxmlformats.org/officeDocument/2006/relationships/hyperlink" Target="https://tnezki.github.io/physics/performance_task___5134zrt/u6_5_performance_task/u6_5_performance_task_teacher_guide.html" TargetMode="External"/><Relationship Id="rId2498" Type="http://schemas.openxmlformats.org/officeDocument/2006/relationships/hyperlink" Target="https://tnezki.github.io/physics/practice_sets/practice_sets_8_3/cyu_8_3.html" TargetMode="External"/><Relationship Id="rId573" Type="http://schemas.openxmlformats.org/officeDocument/2006/relationships/hyperlink" Target="https://tnezki.github.io/physics/assessments_zxrtjp/unit2_assessment_plan/unit2_assessment_plan.html" TargetMode="External"/><Relationship Id="rId1168" Type="http://schemas.openxmlformats.org/officeDocument/2006/relationships/hyperlink" Target="https://tnezki.github.io/physics/reviews/review4/review_4.html" TargetMode="External"/><Relationship Id="rId2015" Type="http://schemas.openxmlformats.org/officeDocument/2006/relationships/hyperlink" Target="https://tnezki.github.io/physics/assessments_zxrtjp/unit6_assessment_plan/unit6_assessment_plan.html" TargetMode="External"/><Relationship Id="rId2499" Type="http://schemas.openxmlformats.org/officeDocument/2006/relationships/hyperlink" Target="https://tnezki.github.io/physics/progress/unit_8_progress/unit_8_progress.html" TargetMode="External"/><Relationship Id="rId2049" Type="http://schemas.openxmlformats.org/officeDocument/2006/relationships/hyperlink" Target="https://tnezki.github.io/physics/demo/u7_1_demo/u7_1_demo.html" TargetMode="External"/><Relationship Id="rId129" Type="http://schemas.openxmlformats.org/officeDocument/2006/relationships/hyperlink" Target="https://tnezki.github.io/physics/performance_task___5134zrt/u1_2_performance_task/u1_2_performance_task_teacher_guide.html" TargetMode="External"/><Relationship Id="rId128" Type="http://schemas.openxmlformats.org/officeDocument/2006/relationships/hyperlink" Target="https://tnezki.github.io/physics/investigations/u1_2_investigation/u1_2_investigation_teacher_guide.html" TargetMode="External"/><Relationship Id="rId127" Type="http://schemas.openxmlformats.org/officeDocument/2006/relationships/hyperlink" Target="https://tnezki.github.io/physics/demo/u1_2_demo/u1_2_demo_teacher_guide.html" TargetMode="External"/><Relationship Id="rId126" Type="http://schemas.openxmlformats.org/officeDocument/2006/relationships/hyperlink" Target="https://tnezki.github.io/physics/notes/u1_2_notes/u1_2_notes_teacher.html" TargetMode="External"/><Relationship Id="rId1190" Type="http://schemas.openxmlformats.org/officeDocument/2006/relationships/hyperlink" Target="https://tnezki.github.io/physics/reviews/review4/review_4.html" TargetMode="External"/><Relationship Id="rId1191" Type="http://schemas.openxmlformats.org/officeDocument/2006/relationships/hyperlink" Target="https://tnezki.github.io/physics/notes/u4_3_notes/u4_3_notes_teacher.html" TargetMode="External"/><Relationship Id="rId1192" Type="http://schemas.openxmlformats.org/officeDocument/2006/relationships/hyperlink" Target="https://tnezki.github.io/physics/demo/u4_3_demo/u4_3_demo_teacher_guide.html" TargetMode="External"/><Relationship Id="rId1193" Type="http://schemas.openxmlformats.org/officeDocument/2006/relationships/hyperlink" Target="https://tnezki.github.io/physics/investigations/u4_3_investigation/u4_3_investigation_teacher_guide.html" TargetMode="External"/><Relationship Id="rId2040" Type="http://schemas.openxmlformats.org/officeDocument/2006/relationships/hyperlink" Target="https://tnezki.github.io/physics/assessments_zxrtjp/unit7_assessment_plan/unit7_assessment_plan.html" TargetMode="External"/><Relationship Id="rId121" Type="http://schemas.openxmlformats.org/officeDocument/2006/relationships/hyperlink" Target="https://tnezki.github.io/physics/practice_sets/practice_sets_1_2/practice_set_1_2.html" TargetMode="External"/><Relationship Id="rId1194" Type="http://schemas.openxmlformats.org/officeDocument/2006/relationships/hyperlink" Target="https://tnezki.github.io/physics/performance_task___5134zrt/u4_3_performance_task/u4_3_performance_task_teacher_guide.html" TargetMode="External"/><Relationship Id="rId2041" Type="http://schemas.openxmlformats.org/officeDocument/2006/relationships/hyperlink" Target="https://tnezki.github.io/physics/performance_task___5134zrt/u7_1_performance_task/u7_1_performance_task.html" TargetMode="External"/><Relationship Id="rId120" Type="http://schemas.openxmlformats.org/officeDocument/2006/relationships/hyperlink" Target="https://tnezki.github.io/physics/activities/u1_2_act1/u1_2_act1.html" TargetMode="External"/><Relationship Id="rId1195" Type="http://schemas.openxmlformats.org/officeDocument/2006/relationships/hyperlink" Target="https://tnezki.github.io/physics/assessments_zxrtjp/unit4_assessment_plan/unit4_assessment_plan.html" TargetMode="External"/><Relationship Id="rId2042" Type="http://schemas.openxmlformats.org/officeDocument/2006/relationships/hyperlink" Target="https://tnezki.github.io/physics/quick_check____htq5855/u7_1_quick_check/u7_1_quick_check.html" TargetMode="External"/><Relationship Id="rId1196" Type="http://schemas.openxmlformats.org/officeDocument/2006/relationships/hyperlink" Target="https://tnezki.github.io/physics/performance_task___5134zrt/u4_3_performance_task/u4_3_performance_task.html" TargetMode="External"/><Relationship Id="rId2043" Type="http://schemas.openxmlformats.org/officeDocument/2006/relationships/hyperlink" Target="https://tnezki.github.io/physics/exit/exit7/exit_7.html" TargetMode="External"/><Relationship Id="rId1197" Type="http://schemas.openxmlformats.org/officeDocument/2006/relationships/hyperlink" Target="https://tnezki.github.io/physics/quick_check____htq5855/u4_3_quick_check/u4_3_quick_check.html" TargetMode="External"/><Relationship Id="rId2044" Type="http://schemas.openxmlformats.org/officeDocument/2006/relationships/hyperlink" Target="https://tnezki.github.io/physics/practice_sets/practice_sets_7_1/practice_set_7_1_2.html" TargetMode="External"/><Relationship Id="rId125" Type="http://schemas.openxmlformats.org/officeDocument/2006/relationships/hyperlink" Target="https://tnezki.github.io/physics/reviews/review1/review_1.html" TargetMode="External"/><Relationship Id="rId1198" Type="http://schemas.openxmlformats.org/officeDocument/2006/relationships/hyperlink" Target="https://tnezki.github.io/physics/exit/exit4/exit_4.html" TargetMode="External"/><Relationship Id="rId2045" Type="http://schemas.openxmlformats.org/officeDocument/2006/relationships/hyperlink" Target="https://tnezki.github.io/physics/practice_sets/practice_sets_7_1/practice_set_7_1_3.html" TargetMode="External"/><Relationship Id="rId124" Type="http://schemas.openxmlformats.org/officeDocument/2006/relationships/hyperlink" Target="https://tnezki.github.io/physics/progress/unit_1_progress/unit_1_progress.html" TargetMode="External"/><Relationship Id="rId1199" Type="http://schemas.openxmlformats.org/officeDocument/2006/relationships/hyperlink" Target="https://tnezki.github.io/physics/practice_sets/practice_sets_4_3/practice_set_4_3_2.html" TargetMode="External"/><Relationship Id="rId2046" Type="http://schemas.openxmlformats.org/officeDocument/2006/relationships/hyperlink" Target="https://tnezki.github.io/physics/assessments_zxrtjp/unit7_summative/unit7_summative_assessment.html" TargetMode="External"/><Relationship Id="rId123" Type="http://schemas.openxmlformats.org/officeDocument/2006/relationships/hyperlink" Target="https://tnezki.github.io/physics/practice_sets/practice_sets_1_2/cyu_1_2.html" TargetMode="External"/><Relationship Id="rId2047" Type="http://schemas.openxmlformats.org/officeDocument/2006/relationships/hyperlink" Target="https://tnezki.github.io/physics/banks/unit7/unit7.html" TargetMode="External"/><Relationship Id="rId122" Type="http://schemas.openxmlformats.org/officeDocument/2006/relationships/hyperlink" Target="https://tnezki.github.io/physics/practice_sets/practice_sets_1_2/extra_practice_1_2.html" TargetMode="External"/><Relationship Id="rId2048" Type="http://schemas.openxmlformats.org/officeDocument/2006/relationships/hyperlink" Target="https://tnezki.github.io/physics/warmups/unit_7_warmups/unit_7_warmups.html" TargetMode="External"/><Relationship Id="rId2038" Type="http://schemas.openxmlformats.org/officeDocument/2006/relationships/hyperlink" Target="https://tnezki.github.io/physics/investigations/u7_1_investigation/u7_1_investigation_teacher_guide.html" TargetMode="External"/><Relationship Id="rId2039" Type="http://schemas.openxmlformats.org/officeDocument/2006/relationships/hyperlink" Target="https://tnezki.github.io/physics/performance_task___5134zrt/u7_1_performance_task/u7_1_performance_task_teacher_guide.html" TargetMode="External"/><Relationship Id="rId118" Type="http://schemas.openxmlformats.org/officeDocument/2006/relationships/hyperlink" Target="https://tnezki.github.io/physics/notes/u1_2_notes/u1_2_notes.html" TargetMode="External"/><Relationship Id="rId117" Type="http://schemas.openxmlformats.org/officeDocument/2006/relationships/hyperlink" Target="https://tnezki.github.io/physics/demo/u1_2_demo/u1_2_demo.html" TargetMode="External"/><Relationship Id="rId116" Type="http://schemas.openxmlformats.org/officeDocument/2006/relationships/hyperlink" Target="https://tnezki.github.io/physics/warmups/unit_1_warmups/unit_1_warmups.html" TargetMode="External"/><Relationship Id="rId115" Type="http://schemas.openxmlformats.org/officeDocument/2006/relationships/hyperlink" Target="https://tnezki.github.io/physics/banks/unit1/unit1.html" TargetMode="External"/><Relationship Id="rId599" Type="http://schemas.openxmlformats.org/officeDocument/2006/relationships/hyperlink" Target="https://tnezki.github.io/physics/practice_sets/practice_sets_2_4/practice_set_2_4_2.html" TargetMode="External"/><Relationship Id="rId1180" Type="http://schemas.openxmlformats.org/officeDocument/2006/relationships/hyperlink" Target="https://tnezki.github.io/physics/banks/unit4/unit4.html" TargetMode="External"/><Relationship Id="rId1181" Type="http://schemas.openxmlformats.org/officeDocument/2006/relationships/hyperlink" Target="https://tnezki.github.io/physics/warmups/unit_4_warmups/unit_4_warmups.html" TargetMode="External"/><Relationship Id="rId119" Type="http://schemas.openxmlformats.org/officeDocument/2006/relationships/hyperlink" Target="https://tnezki.github.io/physics/investigations/u1_2_investigation/u1_2_investigation.html" TargetMode="External"/><Relationship Id="rId1182" Type="http://schemas.openxmlformats.org/officeDocument/2006/relationships/hyperlink" Target="https://tnezki.github.io/physics/demo/u4_3_demo/u4_3_demo.html" TargetMode="External"/><Relationship Id="rId110" Type="http://schemas.openxmlformats.org/officeDocument/2006/relationships/hyperlink" Target="https://tnezki.github.io/physics/quick_check____htq5855/u1_2_quick_check/u1_2_quick_check.html" TargetMode="External"/><Relationship Id="rId594" Type="http://schemas.openxmlformats.org/officeDocument/2006/relationships/hyperlink" Target="https://tnezki.github.io/physics/performance_task___5134zrt/u2_4_performance_task/u2_4_performance_task_teacher_guide.html" TargetMode="External"/><Relationship Id="rId1183" Type="http://schemas.openxmlformats.org/officeDocument/2006/relationships/hyperlink" Target="https://tnezki.github.io/physics/notes/u4_3_notes/u4_3_notes.html" TargetMode="External"/><Relationship Id="rId2030" Type="http://schemas.openxmlformats.org/officeDocument/2006/relationships/hyperlink" Target="https://tnezki.github.io/physics/activities/u7_1_act1/u7_1_act1.html" TargetMode="External"/><Relationship Id="rId593" Type="http://schemas.openxmlformats.org/officeDocument/2006/relationships/hyperlink" Target="https://tnezki.github.io/physics/investigations/u2_4_investigation/u2_4_investigation_teacher_guide.html" TargetMode="External"/><Relationship Id="rId1184" Type="http://schemas.openxmlformats.org/officeDocument/2006/relationships/hyperlink" Target="https://tnezki.github.io/physics/investigations/u4_3_investigation/u4_3_investigation.html" TargetMode="External"/><Relationship Id="rId2031" Type="http://schemas.openxmlformats.org/officeDocument/2006/relationships/hyperlink" Target="https://tnezki.github.io/physics/practice_sets/practice_sets_7_1/practice_set_7_1.html" TargetMode="External"/><Relationship Id="rId592" Type="http://schemas.openxmlformats.org/officeDocument/2006/relationships/hyperlink" Target="https://tnezki.github.io/physics/demo/u2_4_demo/u2_4_demo_teacher_guide.html" TargetMode="External"/><Relationship Id="rId1185" Type="http://schemas.openxmlformats.org/officeDocument/2006/relationships/hyperlink" Target="https://tnezki.github.io/physics/activities/u4_3_act1/u4_3_act1.html" TargetMode="External"/><Relationship Id="rId2032" Type="http://schemas.openxmlformats.org/officeDocument/2006/relationships/hyperlink" Target="https://tnezki.github.io/physics/practice_sets/practice_sets_7_1/extra_practice_7_1.html" TargetMode="External"/><Relationship Id="rId591" Type="http://schemas.openxmlformats.org/officeDocument/2006/relationships/hyperlink" Target="https://tnezki.github.io/physics/notes/u2_4_notes/u2_4_notes_teacher.html" TargetMode="External"/><Relationship Id="rId1186" Type="http://schemas.openxmlformats.org/officeDocument/2006/relationships/hyperlink" Target="https://tnezki.github.io/physics/practice_sets/practice_sets_4_3/practice_set_4_3.html" TargetMode="External"/><Relationship Id="rId2033" Type="http://schemas.openxmlformats.org/officeDocument/2006/relationships/hyperlink" Target="https://tnezki.github.io/physics/practice_sets/practice_sets_7_1/cyu_7_1.html" TargetMode="External"/><Relationship Id="rId114" Type="http://schemas.openxmlformats.org/officeDocument/2006/relationships/hyperlink" Target="https://tnezki.github.io/physics/assessments_zxrtjp/unit1_summative/unit1_summative_assessment.html" TargetMode="External"/><Relationship Id="rId598" Type="http://schemas.openxmlformats.org/officeDocument/2006/relationships/hyperlink" Target="https://tnezki.github.io/physics/exit/exit2/exit_2.html" TargetMode="External"/><Relationship Id="rId1187" Type="http://schemas.openxmlformats.org/officeDocument/2006/relationships/hyperlink" Target="https://tnezki.github.io/physics/practice_sets/practice_sets_4_3/extra_practice_4_3.html" TargetMode="External"/><Relationship Id="rId2034" Type="http://schemas.openxmlformats.org/officeDocument/2006/relationships/hyperlink" Target="https://tnezki.github.io/physics/progress/unit_7_progress/unit_7_progress.html" TargetMode="External"/><Relationship Id="rId113" Type="http://schemas.openxmlformats.org/officeDocument/2006/relationships/hyperlink" Target="https://tnezki.github.io/physics/practice_sets/practice_sets_1_2/practice_set_1_2_3.html" TargetMode="External"/><Relationship Id="rId597" Type="http://schemas.openxmlformats.org/officeDocument/2006/relationships/hyperlink" Target="https://tnezki.github.io/physics/quick_check____htq5855/u2_4_quick_check/u2_4_quick_check.html" TargetMode="External"/><Relationship Id="rId1188" Type="http://schemas.openxmlformats.org/officeDocument/2006/relationships/hyperlink" Target="https://tnezki.github.io/physics/practice_sets/practice_sets_4_3/cyu_4_3.html" TargetMode="External"/><Relationship Id="rId2035" Type="http://schemas.openxmlformats.org/officeDocument/2006/relationships/hyperlink" Target="https://tnezki.github.io/physics/reviews/review7/review_7.html" TargetMode="External"/><Relationship Id="rId112" Type="http://schemas.openxmlformats.org/officeDocument/2006/relationships/hyperlink" Target="https://tnezki.github.io/physics/practice_sets/practice_sets_1_2/practice_set_1_2_2.html" TargetMode="External"/><Relationship Id="rId596" Type="http://schemas.openxmlformats.org/officeDocument/2006/relationships/hyperlink" Target="https://tnezki.github.io/physics/performance_task___5134zrt/u2_4_performance_task/u2_4_performance_task.html" TargetMode="External"/><Relationship Id="rId1189" Type="http://schemas.openxmlformats.org/officeDocument/2006/relationships/hyperlink" Target="https://tnezki.github.io/physics/progress/unit_4_progress/unit_4_progress.html" TargetMode="External"/><Relationship Id="rId2036" Type="http://schemas.openxmlformats.org/officeDocument/2006/relationships/hyperlink" Target="https://tnezki.github.io/physics/notes/u7_1_notes/u7_1_notes_teacher.html" TargetMode="External"/><Relationship Id="rId111" Type="http://schemas.openxmlformats.org/officeDocument/2006/relationships/hyperlink" Target="https://tnezki.github.io/physics/exit/exit1/exit_1.html" TargetMode="External"/><Relationship Id="rId595" Type="http://schemas.openxmlformats.org/officeDocument/2006/relationships/hyperlink" Target="https://tnezki.github.io/physics/assessments_zxrtjp/unit2_assessment_plan/unit2_assessment_plan.html" TargetMode="External"/><Relationship Id="rId2037" Type="http://schemas.openxmlformats.org/officeDocument/2006/relationships/hyperlink" Target="https://tnezki.github.io/physics/demo/u7_1_demo/u7_1_demo_teacher_guide.html" TargetMode="External"/><Relationship Id="rId1136" Type="http://schemas.openxmlformats.org/officeDocument/2006/relationships/hyperlink" Target="https://tnezki.github.io/physics/banks/unit4/unit4.html" TargetMode="External"/><Relationship Id="rId2467" Type="http://schemas.openxmlformats.org/officeDocument/2006/relationships/hyperlink" Target="https://tnezki.github.io/physics/assessments_zxrtjp/unit8_summative/unit8_summative_assessment.html" TargetMode="External"/><Relationship Id="rId1137" Type="http://schemas.openxmlformats.org/officeDocument/2006/relationships/hyperlink" Target="https://tnezki.github.io/physics/warmups/unit_4_warmups/unit_4_warmups.html" TargetMode="External"/><Relationship Id="rId2468" Type="http://schemas.openxmlformats.org/officeDocument/2006/relationships/hyperlink" Target="https://tnezki.github.io/physics/banks/unit8/unit8.html" TargetMode="External"/><Relationship Id="rId1138" Type="http://schemas.openxmlformats.org/officeDocument/2006/relationships/hyperlink" Target="https://tnezki.github.io/physics/demo/u4_2_demo/u4_2_demo.html" TargetMode="External"/><Relationship Id="rId2469" Type="http://schemas.openxmlformats.org/officeDocument/2006/relationships/hyperlink" Target="https://tnezki.github.io/physics/warmups/unit_8_warmups/unit_8_warmups.html" TargetMode="External"/><Relationship Id="rId1139" Type="http://schemas.openxmlformats.org/officeDocument/2006/relationships/hyperlink" Target="https://tnezki.github.io/physics/notes/u4_2_notes/u4_2_notes.html" TargetMode="External"/><Relationship Id="rId547" Type="http://schemas.openxmlformats.org/officeDocument/2006/relationships/hyperlink" Target="https://tnezki.github.io/physics/notes/u2_3_notes/u2_3_notes_teacher.html" TargetMode="External"/><Relationship Id="rId546" Type="http://schemas.openxmlformats.org/officeDocument/2006/relationships/hyperlink" Target="https://tnezki.github.io/physics/reviews/review2/review_2.html" TargetMode="External"/><Relationship Id="rId545" Type="http://schemas.openxmlformats.org/officeDocument/2006/relationships/hyperlink" Target="https://tnezki.github.io/physics/progress/unit_2_progress/unit_2_progress.html" TargetMode="External"/><Relationship Id="rId544" Type="http://schemas.openxmlformats.org/officeDocument/2006/relationships/hyperlink" Target="https://tnezki.github.io/physics/practice_sets/practice_sets_2_3/cyu_2_3.html" TargetMode="External"/><Relationship Id="rId549" Type="http://schemas.openxmlformats.org/officeDocument/2006/relationships/hyperlink" Target="https://tnezki.github.io/physics/investigations/u2_3_investigation/u2_3_investigation_teacher_guide.html" TargetMode="External"/><Relationship Id="rId548" Type="http://schemas.openxmlformats.org/officeDocument/2006/relationships/hyperlink" Target="https://tnezki.github.io/physics/demo/u2_3_demo/u2_3_demo_teacher_guide.html" TargetMode="External"/><Relationship Id="rId2460" Type="http://schemas.openxmlformats.org/officeDocument/2006/relationships/hyperlink" Target="https://tnezki.github.io/physics/performance_task___5134zrt/u8_2_performance_task/u8_2_performance_task_teacher_guide.html" TargetMode="External"/><Relationship Id="rId1130" Type="http://schemas.openxmlformats.org/officeDocument/2006/relationships/hyperlink" Target="https://tnezki.github.io/physics/performance_task___5134zrt/u4_2_performance_task/u4_2_performance_task.html" TargetMode="External"/><Relationship Id="rId2461" Type="http://schemas.openxmlformats.org/officeDocument/2006/relationships/hyperlink" Target="https://tnezki.github.io/physics/assessments_zxrtjp/unit8_assessment_plan/unit8_assessment_plan.html" TargetMode="External"/><Relationship Id="rId1131" Type="http://schemas.openxmlformats.org/officeDocument/2006/relationships/hyperlink" Target="https://tnezki.github.io/physics/quick_check____htq5855/u4_2_quick_check/u4_2_quick_check.html" TargetMode="External"/><Relationship Id="rId2462" Type="http://schemas.openxmlformats.org/officeDocument/2006/relationships/hyperlink" Target="https://tnezki.github.io/physics/performance_task___5134zrt/u8_2_performance_task/u8_2_performance_task.html" TargetMode="External"/><Relationship Id="rId543" Type="http://schemas.openxmlformats.org/officeDocument/2006/relationships/hyperlink" Target="https://tnezki.github.io/physics/practice_sets/practice_sets_2_3/extra_practice_2_3.html" TargetMode="External"/><Relationship Id="rId1132" Type="http://schemas.openxmlformats.org/officeDocument/2006/relationships/hyperlink" Target="https://tnezki.github.io/physics/exit/exit4/exit_4.html" TargetMode="External"/><Relationship Id="rId2463" Type="http://schemas.openxmlformats.org/officeDocument/2006/relationships/hyperlink" Target="https://tnezki.github.io/physics/quick_check____htq5855/u8_2_quick_check/u8_2_quick_check.html" TargetMode="External"/><Relationship Id="rId542" Type="http://schemas.openxmlformats.org/officeDocument/2006/relationships/hyperlink" Target="https://tnezki.github.io/physics/practice_sets/practice_sets_2_3/practice_set_2_3.html" TargetMode="External"/><Relationship Id="rId1133" Type="http://schemas.openxmlformats.org/officeDocument/2006/relationships/hyperlink" Target="https://tnezki.github.io/physics/practice_sets/practice_sets_4_2/practice_set_4_2_2.html" TargetMode="External"/><Relationship Id="rId2464" Type="http://schemas.openxmlformats.org/officeDocument/2006/relationships/hyperlink" Target="https://tnezki.github.io/physics/exit/exit8/exit_8.html" TargetMode="External"/><Relationship Id="rId541" Type="http://schemas.openxmlformats.org/officeDocument/2006/relationships/hyperlink" Target="https://tnezki.github.io/physics/activities/u2_3_act1/u2_3_act1.html" TargetMode="External"/><Relationship Id="rId1134" Type="http://schemas.openxmlformats.org/officeDocument/2006/relationships/hyperlink" Target="https://tnezki.github.io/physics/practice_sets/practice_sets_4_2/practice_set_4_2_3.html" TargetMode="External"/><Relationship Id="rId2465" Type="http://schemas.openxmlformats.org/officeDocument/2006/relationships/hyperlink" Target="https://tnezki.github.io/physics/practice_sets/practice_sets_8_2/practice_set_8_2_2.html" TargetMode="External"/><Relationship Id="rId540" Type="http://schemas.openxmlformats.org/officeDocument/2006/relationships/hyperlink" Target="https://tnezki.github.io/physics/investigations/u2_3_investigation/u2_3_investigation.html" TargetMode="External"/><Relationship Id="rId1135" Type="http://schemas.openxmlformats.org/officeDocument/2006/relationships/hyperlink" Target="https://tnezki.github.io/physics/assessments_zxrtjp/unit4_summative/unit4_summative_assessment.html" TargetMode="External"/><Relationship Id="rId2466" Type="http://schemas.openxmlformats.org/officeDocument/2006/relationships/hyperlink" Target="https://tnezki.github.io/physics/practice_sets/practice_sets_8_2/practice_set_8_2_3.html" TargetMode="External"/><Relationship Id="rId1125" Type="http://schemas.openxmlformats.org/officeDocument/2006/relationships/hyperlink" Target="https://tnezki.github.io/physics/notes/u4_2_notes/u4_2_notes_teacher.html" TargetMode="External"/><Relationship Id="rId2456" Type="http://schemas.openxmlformats.org/officeDocument/2006/relationships/hyperlink" Target="https://tnezki.github.io/physics/reviews/review8/review_8.html" TargetMode="External"/><Relationship Id="rId1126" Type="http://schemas.openxmlformats.org/officeDocument/2006/relationships/hyperlink" Target="https://tnezki.github.io/physics/demo/u4_2_demo/u4_2_demo_teacher_guide.html" TargetMode="External"/><Relationship Id="rId2457" Type="http://schemas.openxmlformats.org/officeDocument/2006/relationships/hyperlink" Target="https://tnezki.github.io/physics/notes/u8_2_notes/u8_2_notes_teacher.html" TargetMode="External"/><Relationship Id="rId1127" Type="http://schemas.openxmlformats.org/officeDocument/2006/relationships/hyperlink" Target="https://tnezki.github.io/physics/investigations/u4_2_investigation/u4_2_investigation_teacher_guide.html" TargetMode="External"/><Relationship Id="rId2458" Type="http://schemas.openxmlformats.org/officeDocument/2006/relationships/hyperlink" Target="https://tnezki.github.io/physics/demo/u8_2_demo/u8_2_demo_teacher_guide.html" TargetMode="External"/><Relationship Id="rId1128" Type="http://schemas.openxmlformats.org/officeDocument/2006/relationships/hyperlink" Target="https://tnezki.github.io/physics/performance_task___5134zrt/u4_2_performance_task/u4_2_performance_task_teacher_guide.html" TargetMode="External"/><Relationship Id="rId2459" Type="http://schemas.openxmlformats.org/officeDocument/2006/relationships/hyperlink" Target="https://tnezki.github.io/physics/investigations/u8_2_investigation/u8_2_investigation_teacher_guide.html" TargetMode="External"/><Relationship Id="rId1129" Type="http://schemas.openxmlformats.org/officeDocument/2006/relationships/hyperlink" Target="https://tnezki.github.io/physics/assessments_zxrtjp/unit4_assessment_plan/unit4_assessment_plan.html" TargetMode="External"/><Relationship Id="rId536" Type="http://schemas.openxmlformats.org/officeDocument/2006/relationships/hyperlink" Target="https://tnezki.github.io/physics/banks/unit2/unit2.html" TargetMode="External"/><Relationship Id="rId535" Type="http://schemas.openxmlformats.org/officeDocument/2006/relationships/hyperlink" Target="https://tnezki.github.io/physics/assessments_zxrtjp/unit2_summative/unit2_summative_assessment.html" TargetMode="External"/><Relationship Id="rId534" Type="http://schemas.openxmlformats.org/officeDocument/2006/relationships/hyperlink" Target="https://tnezki.github.io/physics/practice_sets/practice_sets_2_3/practice_set_2_3_3.html" TargetMode="External"/><Relationship Id="rId533" Type="http://schemas.openxmlformats.org/officeDocument/2006/relationships/hyperlink" Target="https://tnezki.github.io/physics/practice_sets/practice_sets_2_3/practice_set_2_3_2.html" TargetMode="External"/><Relationship Id="rId539" Type="http://schemas.openxmlformats.org/officeDocument/2006/relationships/hyperlink" Target="https://tnezki.github.io/physics/notes/u2_3_notes/u2_3_notes.html" TargetMode="External"/><Relationship Id="rId538" Type="http://schemas.openxmlformats.org/officeDocument/2006/relationships/hyperlink" Target="https://tnezki.github.io/physics/demo/u2_3_demo/u2_3_demo.html" TargetMode="External"/><Relationship Id="rId537" Type="http://schemas.openxmlformats.org/officeDocument/2006/relationships/hyperlink" Target="https://tnezki.github.io/physics/warmups/unit_2_warmups/unit_2_warmups.html" TargetMode="External"/><Relationship Id="rId2450" Type="http://schemas.openxmlformats.org/officeDocument/2006/relationships/hyperlink" Target="https://tnezki.github.io/physics/investigations/u8_2_investigation/u8_2_investigation.html" TargetMode="External"/><Relationship Id="rId1120" Type="http://schemas.openxmlformats.org/officeDocument/2006/relationships/hyperlink" Target="https://tnezki.github.io/physics/practice_sets/practice_sets_4_2/practice_set_4_2.html" TargetMode="External"/><Relationship Id="rId2451" Type="http://schemas.openxmlformats.org/officeDocument/2006/relationships/hyperlink" Target="https://tnezki.github.io/physics/activities/u8_2_act1/u8_2_act1.html" TargetMode="External"/><Relationship Id="rId532" Type="http://schemas.openxmlformats.org/officeDocument/2006/relationships/hyperlink" Target="https://tnezki.github.io/physics/exit/exit2/exit_2.html" TargetMode="External"/><Relationship Id="rId1121" Type="http://schemas.openxmlformats.org/officeDocument/2006/relationships/hyperlink" Target="https://tnezki.github.io/physics/practice_sets/practice_sets_4_2/extra_practice_4_2.html" TargetMode="External"/><Relationship Id="rId2452" Type="http://schemas.openxmlformats.org/officeDocument/2006/relationships/hyperlink" Target="https://tnezki.github.io/physics/practice_sets/practice_sets_8_2/practice_set_8_2.html" TargetMode="External"/><Relationship Id="rId531" Type="http://schemas.openxmlformats.org/officeDocument/2006/relationships/hyperlink" Target="https://tnezki.github.io/physics/quick_check____htq5855/u2_3_quick_check/u2_3_quick_check.html" TargetMode="External"/><Relationship Id="rId1122" Type="http://schemas.openxmlformats.org/officeDocument/2006/relationships/hyperlink" Target="https://tnezki.github.io/physics/practice_sets/practice_sets_4_2/cyu_4_2.html" TargetMode="External"/><Relationship Id="rId2453" Type="http://schemas.openxmlformats.org/officeDocument/2006/relationships/hyperlink" Target="https://tnezki.github.io/physics/practice_sets/practice_sets_8_2/extra_practice_8_2.html" TargetMode="External"/><Relationship Id="rId530" Type="http://schemas.openxmlformats.org/officeDocument/2006/relationships/hyperlink" Target="https://tnezki.github.io/physics/performance_task___5134zrt/u2_3_performance_task/u2_3_performance_task.html" TargetMode="External"/><Relationship Id="rId1123" Type="http://schemas.openxmlformats.org/officeDocument/2006/relationships/hyperlink" Target="https://tnezki.github.io/physics/progress/unit_4_progress/unit_4_progress.html" TargetMode="External"/><Relationship Id="rId2454" Type="http://schemas.openxmlformats.org/officeDocument/2006/relationships/hyperlink" Target="https://tnezki.github.io/physics/practice_sets/practice_sets_8_2/cyu_8_2.html" TargetMode="External"/><Relationship Id="rId1124" Type="http://schemas.openxmlformats.org/officeDocument/2006/relationships/hyperlink" Target="https://tnezki.github.io/physics/reviews/review4/review_4.html" TargetMode="External"/><Relationship Id="rId2455" Type="http://schemas.openxmlformats.org/officeDocument/2006/relationships/hyperlink" Target="https://tnezki.github.io/physics/progress/unit_8_progress/unit_8_progress.html" TargetMode="External"/><Relationship Id="rId1158" Type="http://schemas.openxmlformats.org/officeDocument/2006/relationships/hyperlink" Target="https://tnezki.github.io/physics/banks/unit4/unit4.html" TargetMode="External"/><Relationship Id="rId2005" Type="http://schemas.openxmlformats.org/officeDocument/2006/relationships/hyperlink" Target="https://tnezki.github.io/physics/activities/u6_5_act1/u6_5_act1.html" TargetMode="External"/><Relationship Id="rId2489" Type="http://schemas.openxmlformats.org/officeDocument/2006/relationships/hyperlink" Target="https://tnezki.github.io/physics/assessments_zxrtjp/unit8_summative/unit8_summative_assessment.html" TargetMode="External"/><Relationship Id="rId1159" Type="http://schemas.openxmlformats.org/officeDocument/2006/relationships/hyperlink" Target="https://tnezki.github.io/physics/warmups/unit_4_warmups/unit_4_warmups.html" TargetMode="External"/><Relationship Id="rId2006" Type="http://schemas.openxmlformats.org/officeDocument/2006/relationships/hyperlink" Target="https://tnezki.github.io/physics/practice_sets/practice_sets_6_5/practice_set_6_5.html" TargetMode="External"/><Relationship Id="rId2007" Type="http://schemas.openxmlformats.org/officeDocument/2006/relationships/hyperlink" Target="https://tnezki.github.io/physics/practice_sets/practice_sets_6_5/extra_practice_6_5.html" TargetMode="External"/><Relationship Id="rId2008" Type="http://schemas.openxmlformats.org/officeDocument/2006/relationships/hyperlink" Target="https://tnezki.github.io/physics/practice_sets/practice_sets_6_5/cyu_6_5.html" TargetMode="External"/><Relationship Id="rId2009" Type="http://schemas.openxmlformats.org/officeDocument/2006/relationships/hyperlink" Target="https://tnezki.github.io/physics/progress/unit_6_progress/unit_6_progress.html" TargetMode="External"/><Relationship Id="rId569" Type="http://schemas.openxmlformats.org/officeDocument/2006/relationships/hyperlink" Target="https://tnezki.github.io/physics/notes/u2_4_notes/u2_4_notes_teacher.html" TargetMode="External"/><Relationship Id="rId568" Type="http://schemas.openxmlformats.org/officeDocument/2006/relationships/hyperlink" Target="https://tnezki.github.io/physics/reviews/review2/review_2.html" TargetMode="External"/><Relationship Id="rId567" Type="http://schemas.openxmlformats.org/officeDocument/2006/relationships/hyperlink" Target="https://tnezki.github.io/physics/progress/unit_2_progress/unit_2_progress.html" TargetMode="External"/><Relationship Id="rId566" Type="http://schemas.openxmlformats.org/officeDocument/2006/relationships/hyperlink" Target="https://tnezki.github.io/physics/practice_sets/practice_sets_2_4/cyu_2_4.html" TargetMode="External"/><Relationship Id="rId2480" Type="http://schemas.openxmlformats.org/officeDocument/2006/relationships/hyperlink" Target="https://tnezki.github.io/physics/demo/u8_2_demo/u8_2_demo_teacher_guide.html" TargetMode="External"/><Relationship Id="rId561" Type="http://schemas.openxmlformats.org/officeDocument/2006/relationships/hyperlink" Target="https://tnezki.github.io/physics/notes/u2_4_notes/u2_4_notes.html" TargetMode="External"/><Relationship Id="rId1150" Type="http://schemas.openxmlformats.org/officeDocument/2006/relationships/hyperlink" Target="https://tnezki.github.io/physics/performance_task___5134zrt/u4_2_performance_task/u4_2_performance_task_teacher_guide.html" TargetMode="External"/><Relationship Id="rId2481" Type="http://schemas.openxmlformats.org/officeDocument/2006/relationships/hyperlink" Target="https://tnezki.github.io/physics/investigations/u8_2_investigation/u8_2_investigation_teacher_guide.html" TargetMode="External"/><Relationship Id="rId560" Type="http://schemas.openxmlformats.org/officeDocument/2006/relationships/hyperlink" Target="https://tnezki.github.io/physics/demo/u2_4_demo/u2_4_demo.html" TargetMode="External"/><Relationship Id="rId1151" Type="http://schemas.openxmlformats.org/officeDocument/2006/relationships/hyperlink" Target="https://tnezki.github.io/physics/assessments_zxrtjp/unit4_assessment_plan/unit4_assessment_plan.html" TargetMode="External"/><Relationship Id="rId2482" Type="http://schemas.openxmlformats.org/officeDocument/2006/relationships/hyperlink" Target="https://tnezki.github.io/physics/performance_task___5134zrt/u8_2_performance_task/u8_2_performance_task_teacher_guide.html" TargetMode="External"/><Relationship Id="rId1152" Type="http://schemas.openxmlformats.org/officeDocument/2006/relationships/hyperlink" Target="https://tnezki.github.io/physics/performance_task___5134zrt/u4_2_performance_task/u4_2_performance_task.html" TargetMode="External"/><Relationship Id="rId2483" Type="http://schemas.openxmlformats.org/officeDocument/2006/relationships/hyperlink" Target="https://tnezki.github.io/physics/assessments_zxrtjp/unit8_assessment_plan/unit8_assessment_plan.html" TargetMode="External"/><Relationship Id="rId1153" Type="http://schemas.openxmlformats.org/officeDocument/2006/relationships/hyperlink" Target="https://tnezki.github.io/physics/quick_check____htq5855/u4_2_quick_check/u4_2_quick_check.html" TargetMode="External"/><Relationship Id="rId2000" Type="http://schemas.openxmlformats.org/officeDocument/2006/relationships/hyperlink" Target="https://tnezki.github.io/physics/banks/unit6/unit6.html" TargetMode="External"/><Relationship Id="rId2484" Type="http://schemas.openxmlformats.org/officeDocument/2006/relationships/hyperlink" Target="https://tnezki.github.io/physics/performance_task___5134zrt/u8_2_performance_task/u8_2_performance_task.html" TargetMode="External"/><Relationship Id="rId565" Type="http://schemas.openxmlformats.org/officeDocument/2006/relationships/hyperlink" Target="https://tnezki.github.io/physics/practice_sets/practice_sets_2_4/extra_practice_2_4.html" TargetMode="External"/><Relationship Id="rId1154" Type="http://schemas.openxmlformats.org/officeDocument/2006/relationships/hyperlink" Target="https://tnezki.github.io/physics/exit/exit4/exit_4.html" TargetMode="External"/><Relationship Id="rId2001" Type="http://schemas.openxmlformats.org/officeDocument/2006/relationships/hyperlink" Target="https://tnezki.github.io/physics/warmups/unit_6_warmups/unit_6_warmups.html" TargetMode="External"/><Relationship Id="rId2485" Type="http://schemas.openxmlformats.org/officeDocument/2006/relationships/hyperlink" Target="https://tnezki.github.io/physics/quick_check____htq5855/u8_2_quick_check/u8_2_quick_check.html" TargetMode="External"/><Relationship Id="rId564" Type="http://schemas.openxmlformats.org/officeDocument/2006/relationships/hyperlink" Target="https://tnezki.github.io/physics/practice_sets/practice_sets_2_4/practice_set_2_4.html" TargetMode="External"/><Relationship Id="rId1155" Type="http://schemas.openxmlformats.org/officeDocument/2006/relationships/hyperlink" Target="https://tnezki.github.io/physics/practice_sets/practice_sets_4_2/practice_set_4_2_2.html" TargetMode="External"/><Relationship Id="rId2002" Type="http://schemas.openxmlformats.org/officeDocument/2006/relationships/hyperlink" Target="https://tnezki.github.io/physics/demo/u6_5_demo/u6_5_demo.html" TargetMode="External"/><Relationship Id="rId2486" Type="http://schemas.openxmlformats.org/officeDocument/2006/relationships/hyperlink" Target="https://tnezki.github.io/physics/exit/exit8/exit_8.html" TargetMode="External"/><Relationship Id="rId563" Type="http://schemas.openxmlformats.org/officeDocument/2006/relationships/hyperlink" Target="https://tnezki.github.io/physics/activities/u2_4_act1/u2_4_act1.html" TargetMode="External"/><Relationship Id="rId1156" Type="http://schemas.openxmlformats.org/officeDocument/2006/relationships/hyperlink" Target="https://tnezki.github.io/physics/practice_sets/practice_sets_4_2/practice_set_4_2_3.html" TargetMode="External"/><Relationship Id="rId2003" Type="http://schemas.openxmlformats.org/officeDocument/2006/relationships/hyperlink" Target="https://tnezki.github.io/physics/notes/u6_5_notes/u6_5_notes.html" TargetMode="External"/><Relationship Id="rId2487" Type="http://schemas.openxmlformats.org/officeDocument/2006/relationships/hyperlink" Target="https://tnezki.github.io/physics/practice_sets/practice_sets_8_2/practice_set_8_2_2.html" TargetMode="External"/><Relationship Id="rId562" Type="http://schemas.openxmlformats.org/officeDocument/2006/relationships/hyperlink" Target="https://tnezki.github.io/physics/investigations/u2_4_investigation/u2_4_investigation.html" TargetMode="External"/><Relationship Id="rId1157" Type="http://schemas.openxmlformats.org/officeDocument/2006/relationships/hyperlink" Target="https://tnezki.github.io/physics/assessments_zxrtjp/unit4_summative/unit4_summative_assessment.html" TargetMode="External"/><Relationship Id="rId2004" Type="http://schemas.openxmlformats.org/officeDocument/2006/relationships/hyperlink" Target="https://tnezki.github.io/physics/investigations/u6_5_investigation/u6_5_investigation.html" TargetMode="External"/><Relationship Id="rId2488" Type="http://schemas.openxmlformats.org/officeDocument/2006/relationships/hyperlink" Target="https://tnezki.github.io/physics/practice_sets/practice_sets_8_2/practice_set_8_2_3.html" TargetMode="External"/><Relationship Id="rId1147" Type="http://schemas.openxmlformats.org/officeDocument/2006/relationships/hyperlink" Target="https://tnezki.github.io/physics/notes/u4_2_notes/u4_2_notes_teacher.html" TargetMode="External"/><Relationship Id="rId2478" Type="http://schemas.openxmlformats.org/officeDocument/2006/relationships/hyperlink" Target="https://tnezki.github.io/physics/reviews/review8/review_8.html" TargetMode="External"/><Relationship Id="rId1148" Type="http://schemas.openxmlformats.org/officeDocument/2006/relationships/hyperlink" Target="https://tnezki.github.io/physics/demo/u4_2_demo/u4_2_demo_teacher_guide.html" TargetMode="External"/><Relationship Id="rId2479" Type="http://schemas.openxmlformats.org/officeDocument/2006/relationships/hyperlink" Target="https://tnezki.github.io/physics/notes/u8_2_notes/u8_2_notes_teacher.html" TargetMode="External"/><Relationship Id="rId1149" Type="http://schemas.openxmlformats.org/officeDocument/2006/relationships/hyperlink" Target="https://tnezki.github.io/physics/investigations/u4_2_investigation/u4_2_investigation_teacher_guide.html" TargetMode="External"/><Relationship Id="rId558" Type="http://schemas.openxmlformats.org/officeDocument/2006/relationships/hyperlink" Target="https://tnezki.github.io/physics/banks/unit2/unit2.html" TargetMode="External"/><Relationship Id="rId557" Type="http://schemas.openxmlformats.org/officeDocument/2006/relationships/hyperlink" Target="https://tnezki.github.io/physics/assessments_zxrtjp/unit2_summative/unit2_summative_assessment.html" TargetMode="External"/><Relationship Id="rId556" Type="http://schemas.openxmlformats.org/officeDocument/2006/relationships/hyperlink" Target="https://tnezki.github.io/physics/practice_sets/practice_sets_2_3/practice_set_2_3_3.html" TargetMode="External"/><Relationship Id="rId555" Type="http://schemas.openxmlformats.org/officeDocument/2006/relationships/hyperlink" Target="https://tnezki.github.io/physics/practice_sets/practice_sets_2_3/practice_set_2_3_2.html" TargetMode="External"/><Relationship Id="rId559" Type="http://schemas.openxmlformats.org/officeDocument/2006/relationships/hyperlink" Target="https://tnezki.github.io/physics/warmups/unit_2_warmups/unit_2_warmups.html" TargetMode="External"/><Relationship Id="rId550" Type="http://schemas.openxmlformats.org/officeDocument/2006/relationships/hyperlink" Target="https://tnezki.github.io/physics/performance_task___5134zrt/u2_3_performance_task/u2_3_performance_task_teacher_guide.html" TargetMode="External"/><Relationship Id="rId2470" Type="http://schemas.openxmlformats.org/officeDocument/2006/relationships/hyperlink" Target="https://tnezki.github.io/physics/demo/u8_2_demo/u8_2_demo.html" TargetMode="External"/><Relationship Id="rId1140" Type="http://schemas.openxmlformats.org/officeDocument/2006/relationships/hyperlink" Target="https://tnezki.github.io/physics/investigations/u4_2_investigation/u4_2_investigation.html" TargetMode="External"/><Relationship Id="rId2471" Type="http://schemas.openxmlformats.org/officeDocument/2006/relationships/hyperlink" Target="https://tnezki.github.io/physics/notes/u8_2_notes/u8_2_notes.html" TargetMode="External"/><Relationship Id="rId1141" Type="http://schemas.openxmlformats.org/officeDocument/2006/relationships/hyperlink" Target="https://tnezki.github.io/physics/activities/u4_2_act1/u4_2_act1.html" TargetMode="External"/><Relationship Id="rId2472" Type="http://schemas.openxmlformats.org/officeDocument/2006/relationships/hyperlink" Target="https://tnezki.github.io/physics/investigations/u8_2_investigation/u8_2_investigation.html" TargetMode="External"/><Relationship Id="rId1142" Type="http://schemas.openxmlformats.org/officeDocument/2006/relationships/hyperlink" Target="https://tnezki.github.io/physics/practice_sets/practice_sets_4_2/practice_set_4_2.html" TargetMode="External"/><Relationship Id="rId2473" Type="http://schemas.openxmlformats.org/officeDocument/2006/relationships/hyperlink" Target="https://tnezki.github.io/physics/activities/u8_2_act1/u8_2_act1.html" TargetMode="External"/><Relationship Id="rId554" Type="http://schemas.openxmlformats.org/officeDocument/2006/relationships/hyperlink" Target="https://tnezki.github.io/physics/exit/exit2/exit_2.html" TargetMode="External"/><Relationship Id="rId1143" Type="http://schemas.openxmlformats.org/officeDocument/2006/relationships/hyperlink" Target="https://tnezki.github.io/physics/practice_sets/practice_sets_4_2/extra_practice_4_2.html" TargetMode="External"/><Relationship Id="rId2474" Type="http://schemas.openxmlformats.org/officeDocument/2006/relationships/hyperlink" Target="https://tnezki.github.io/physics/practice_sets/practice_sets_8_2/practice_set_8_2.html" TargetMode="External"/><Relationship Id="rId553" Type="http://schemas.openxmlformats.org/officeDocument/2006/relationships/hyperlink" Target="https://tnezki.github.io/physics/quick_check____htq5855/u2_3_quick_check/u2_3_quick_check.html" TargetMode="External"/><Relationship Id="rId1144" Type="http://schemas.openxmlformats.org/officeDocument/2006/relationships/hyperlink" Target="https://tnezki.github.io/physics/practice_sets/practice_sets_4_2/cyu_4_2.html" TargetMode="External"/><Relationship Id="rId2475" Type="http://schemas.openxmlformats.org/officeDocument/2006/relationships/hyperlink" Target="https://tnezki.github.io/physics/practice_sets/practice_sets_8_2/extra_practice_8_2.html" TargetMode="External"/><Relationship Id="rId552" Type="http://schemas.openxmlformats.org/officeDocument/2006/relationships/hyperlink" Target="https://tnezki.github.io/physics/performance_task___5134zrt/u2_3_performance_task/u2_3_performance_task.html" TargetMode="External"/><Relationship Id="rId1145" Type="http://schemas.openxmlformats.org/officeDocument/2006/relationships/hyperlink" Target="https://tnezki.github.io/physics/progress/unit_4_progress/unit_4_progress.html" TargetMode="External"/><Relationship Id="rId2476" Type="http://schemas.openxmlformats.org/officeDocument/2006/relationships/hyperlink" Target="https://tnezki.github.io/physics/practice_sets/practice_sets_8_2/cyu_8_2.html" TargetMode="External"/><Relationship Id="rId551" Type="http://schemas.openxmlformats.org/officeDocument/2006/relationships/hyperlink" Target="https://tnezki.github.io/physics/assessments_zxrtjp/unit2_assessment_plan/unit2_assessment_plan.html" TargetMode="External"/><Relationship Id="rId1146" Type="http://schemas.openxmlformats.org/officeDocument/2006/relationships/hyperlink" Target="https://tnezki.github.io/physics/reviews/review4/review_4.html" TargetMode="External"/><Relationship Id="rId2477" Type="http://schemas.openxmlformats.org/officeDocument/2006/relationships/hyperlink" Target="https://tnezki.github.io/physics/progress/unit_8_progress/unit_8_progress.html" TargetMode="External"/><Relationship Id="rId2090" Type="http://schemas.openxmlformats.org/officeDocument/2006/relationships/hyperlink" Target="https://tnezki.github.io/physics/assessments_zxrtjp/unit7_summative/unit7_summative_assessment.html" TargetMode="External"/><Relationship Id="rId2091" Type="http://schemas.openxmlformats.org/officeDocument/2006/relationships/hyperlink" Target="https://tnezki.github.io/physics/banks/unit7/unit7.html" TargetMode="External"/><Relationship Id="rId2092" Type="http://schemas.openxmlformats.org/officeDocument/2006/relationships/hyperlink" Target="https://tnezki.github.io/physics/warmups/unit_7_warmups/unit_7_warmups.html" TargetMode="External"/><Relationship Id="rId2093" Type="http://schemas.openxmlformats.org/officeDocument/2006/relationships/hyperlink" Target="https://tnezki.github.io/physics/demo/u7_2_demo/u7_2_demo.html" TargetMode="External"/><Relationship Id="rId2094" Type="http://schemas.openxmlformats.org/officeDocument/2006/relationships/hyperlink" Target="https://tnezki.github.io/physics/notes/u7_2_notes/u7_2_notes.html" TargetMode="External"/><Relationship Id="rId2095" Type="http://schemas.openxmlformats.org/officeDocument/2006/relationships/hyperlink" Target="https://tnezki.github.io/physics/investigations/u7_2_investigation/u7_2_investigation.html" TargetMode="External"/><Relationship Id="rId2096" Type="http://schemas.openxmlformats.org/officeDocument/2006/relationships/hyperlink" Target="https://tnezki.github.io/physics/activities/u7_2_act1/u7_2_act1.html" TargetMode="External"/><Relationship Id="rId2097" Type="http://schemas.openxmlformats.org/officeDocument/2006/relationships/hyperlink" Target="https://tnezki.github.io/physics/practice_sets/practice_sets_7_2/practice_set_7_2.html" TargetMode="External"/><Relationship Id="rId2098" Type="http://schemas.openxmlformats.org/officeDocument/2006/relationships/hyperlink" Target="https://tnezki.github.io/physics/practice_sets/practice_sets_7_2/extra_practice_7_2.html" TargetMode="External"/><Relationship Id="rId2099" Type="http://schemas.openxmlformats.org/officeDocument/2006/relationships/hyperlink" Target="https://tnezki.github.io/physics/practice_sets/practice_sets_7_2/cyu_7_2.html" TargetMode="External"/><Relationship Id="rId2060" Type="http://schemas.openxmlformats.org/officeDocument/2006/relationships/hyperlink" Target="https://tnezki.github.io/physics/investigations/u7_1_investigation/u7_1_investigation_teacher_guide.html" TargetMode="External"/><Relationship Id="rId2061" Type="http://schemas.openxmlformats.org/officeDocument/2006/relationships/hyperlink" Target="https://tnezki.github.io/physics/performance_task___5134zrt/u7_1_performance_task/u7_1_performance_task_teacher_guide.html" TargetMode="External"/><Relationship Id="rId2062" Type="http://schemas.openxmlformats.org/officeDocument/2006/relationships/hyperlink" Target="https://tnezki.github.io/physics/assessments_zxrtjp/unit7_assessment_plan/unit7_assessment_plan.html" TargetMode="External"/><Relationship Id="rId2063" Type="http://schemas.openxmlformats.org/officeDocument/2006/relationships/hyperlink" Target="https://tnezki.github.io/physics/performance_task___5134zrt/u7_1_performance_task/u7_1_performance_task.html" TargetMode="External"/><Relationship Id="rId2064" Type="http://schemas.openxmlformats.org/officeDocument/2006/relationships/hyperlink" Target="https://tnezki.github.io/physics/quick_check____htq5855/u7_1_quick_check/u7_1_quick_check.html" TargetMode="External"/><Relationship Id="rId2065" Type="http://schemas.openxmlformats.org/officeDocument/2006/relationships/hyperlink" Target="https://tnezki.github.io/physics/exit/exit7/exit_7.html" TargetMode="External"/><Relationship Id="rId2066" Type="http://schemas.openxmlformats.org/officeDocument/2006/relationships/hyperlink" Target="https://tnezki.github.io/physics/practice_sets/practice_sets_7_1/practice_set_7_1_2.html" TargetMode="External"/><Relationship Id="rId2067" Type="http://schemas.openxmlformats.org/officeDocument/2006/relationships/hyperlink" Target="https://tnezki.github.io/physics/practice_sets/practice_sets_7_1/practice_set_7_1_3.html" TargetMode="External"/><Relationship Id="rId2068" Type="http://schemas.openxmlformats.org/officeDocument/2006/relationships/hyperlink" Target="https://tnezki.github.io/physics/assessments_zxrtjp/unit7_summative/unit7_summative_assessment.html" TargetMode="External"/><Relationship Id="rId2069" Type="http://schemas.openxmlformats.org/officeDocument/2006/relationships/hyperlink" Target="https://tnezki.github.io/physics/banks/unit7/unit7.html" TargetMode="External"/><Relationship Id="rId2050" Type="http://schemas.openxmlformats.org/officeDocument/2006/relationships/hyperlink" Target="https://tnezki.github.io/physics/notes/u7_1_notes/u7_1_notes.html" TargetMode="External"/><Relationship Id="rId2051" Type="http://schemas.openxmlformats.org/officeDocument/2006/relationships/hyperlink" Target="https://tnezki.github.io/physics/investigations/u7_1_investigation/u7_1_investigation.html" TargetMode="External"/><Relationship Id="rId495" Type="http://schemas.openxmlformats.org/officeDocument/2006/relationships/hyperlink" Target="https://tnezki.github.io/physics/notes/u2_3_notes/u2_3_notes.html" TargetMode="External"/><Relationship Id="rId2052" Type="http://schemas.openxmlformats.org/officeDocument/2006/relationships/hyperlink" Target="https://tnezki.github.io/physics/activities/u7_1_act1/u7_1_act1.html" TargetMode="External"/><Relationship Id="rId494" Type="http://schemas.openxmlformats.org/officeDocument/2006/relationships/hyperlink" Target="https://tnezki.github.io/physics/demo/u2_3_demo/u2_3_demo.html" TargetMode="External"/><Relationship Id="rId2053" Type="http://schemas.openxmlformats.org/officeDocument/2006/relationships/hyperlink" Target="https://tnezki.github.io/physics/practice_sets/practice_sets_7_1/practice_set_7_1.html" TargetMode="External"/><Relationship Id="rId493" Type="http://schemas.openxmlformats.org/officeDocument/2006/relationships/hyperlink" Target="https://tnezki.github.io/physics/warmups/unit_2_warmups/unit_2_warmups.html" TargetMode="External"/><Relationship Id="rId2054" Type="http://schemas.openxmlformats.org/officeDocument/2006/relationships/hyperlink" Target="https://tnezki.github.io/physics/practice_sets/practice_sets_7_1/extra_practice_7_1.html" TargetMode="External"/><Relationship Id="rId492" Type="http://schemas.openxmlformats.org/officeDocument/2006/relationships/hyperlink" Target="https://tnezki.github.io/physics/banks/unit2/unit2.html" TargetMode="External"/><Relationship Id="rId2055" Type="http://schemas.openxmlformats.org/officeDocument/2006/relationships/hyperlink" Target="https://tnezki.github.io/physics/practice_sets/practice_sets_7_1/cyu_7_1.html" TargetMode="External"/><Relationship Id="rId499" Type="http://schemas.openxmlformats.org/officeDocument/2006/relationships/hyperlink" Target="https://tnezki.github.io/physics/practice_sets/practice_sets_2_3/extra_practice_2_3.html" TargetMode="External"/><Relationship Id="rId2056" Type="http://schemas.openxmlformats.org/officeDocument/2006/relationships/hyperlink" Target="https://tnezki.github.io/physics/progress/unit_7_progress/unit_7_progress.html" TargetMode="External"/><Relationship Id="rId498" Type="http://schemas.openxmlformats.org/officeDocument/2006/relationships/hyperlink" Target="https://tnezki.github.io/physics/practice_sets/practice_sets_2_3/practice_set_2_3.html" TargetMode="External"/><Relationship Id="rId2057" Type="http://schemas.openxmlformats.org/officeDocument/2006/relationships/hyperlink" Target="https://tnezki.github.io/physics/reviews/review7/review_7.html" TargetMode="External"/><Relationship Id="rId497" Type="http://schemas.openxmlformats.org/officeDocument/2006/relationships/hyperlink" Target="https://tnezki.github.io/physics/activities/u2_3_act1/u2_3_act1.html" TargetMode="External"/><Relationship Id="rId2058" Type="http://schemas.openxmlformats.org/officeDocument/2006/relationships/hyperlink" Target="https://tnezki.github.io/physics/notes/u7_1_notes/u7_1_notes_teacher.html" TargetMode="External"/><Relationship Id="rId496" Type="http://schemas.openxmlformats.org/officeDocument/2006/relationships/hyperlink" Target="https://tnezki.github.io/physics/investigations/u2_3_investigation/u2_3_investigation.html" TargetMode="External"/><Relationship Id="rId2059" Type="http://schemas.openxmlformats.org/officeDocument/2006/relationships/hyperlink" Target="https://tnezki.github.io/physics/demo/u7_1_demo/u7_1_demo_teacher_guide.html" TargetMode="External"/><Relationship Id="rId2080" Type="http://schemas.openxmlformats.org/officeDocument/2006/relationships/hyperlink" Target="https://tnezki.github.io/physics/notes/u7_1_notes/u7_1_notes_teacher.html" TargetMode="External"/><Relationship Id="rId2081" Type="http://schemas.openxmlformats.org/officeDocument/2006/relationships/hyperlink" Target="https://tnezki.github.io/physics/demo/u7_1_demo/u7_1_demo_teacher_guide.html" TargetMode="External"/><Relationship Id="rId2082" Type="http://schemas.openxmlformats.org/officeDocument/2006/relationships/hyperlink" Target="https://tnezki.github.io/physics/investigations/u7_1_investigation/u7_1_investigation_teacher_guide.html" TargetMode="External"/><Relationship Id="rId2083" Type="http://schemas.openxmlformats.org/officeDocument/2006/relationships/hyperlink" Target="https://tnezki.github.io/physics/performance_task___5134zrt/u7_1_performance_task/u7_1_performance_task_teacher_guide.html" TargetMode="External"/><Relationship Id="rId2084" Type="http://schemas.openxmlformats.org/officeDocument/2006/relationships/hyperlink" Target="https://tnezki.github.io/physics/assessments_zxrtjp/unit7_assessment_plan/unit7_assessment_plan.html" TargetMode="External"/><Relationship Id="rId2085" Type="http://schemas.openxmlformats.org/officeDocument/2006/relationships/hyperlink" Target="https://tnezki.github.io/physics/performance_task___5134zrt/u7_1_performance_task/u7_1_performance_task.html" TargetMode="External"/><Relationship Id="rId2086" Type="http://schemas.openxmlformats.org/officeDocument/2006/relationships/hyperlink" Target="https://tnezki.github.io/physics/quick_check____htq5855/u7_1_quick_check/u7_1_quick_check.html" TargetMode="External"/><Relationship Id="rId2087" Type="http://schemas.openxmlformats.org/officeDocument/2006/relationships/hyperlink" Target="https://tnezki.github.io/physics/exit/exit7/exit_7.html" TargetMode="External"/><Relationship Id="rId2088" Type="http://schemas.openxmlformats.org/officeDocument/2006/relationships/hyperlink" Target="https://tnezki.github.io/physics/practice_sets/practice_sets_7_1/practice_set_7_1_2.html" TargetMode="External"/><Relationship Id="rId2089" Type="http://schemas.openxmlformats.org/officeDocument/2006/relationships/hyperlink" Target="https://tnezki.github.io/physics/practice_sets/practice_sets_7_1/practice_set_7_1_3.html" TargetMode="External"/><Relationship Id="rId2070" Type="http://schemas.openxmlformats.org/officeDocument/2006/relationships/hyperlink" Target="https://tnezki.github.io/physics/warmups/unit_7_warmups/unit_7_warmups.html" TargetMode="External"/><Relationship Id="rId2071" Type="http://schemas.openxmlformats.org/officeDocument/2006/relationships/hyperlink" Target="https://tnezki.github.io/physics/demo/u7_1_demo/u7_1_demo.html" TargetMode="External"/><Relationship Id="rId2072" Type="http://schemas.openxmlformats.org/officeDocument/2006/relationships/hyperlink" Target="https://tnezki.github.io/physics/notes/u7_1_notes/u7_1_notes.html" TargetMode="External"/><Relationship Id="rId2073" Type="http://schemas.openxmlformats.org/officeDocument/2006/relationships/hyperlink" Target="https://tnezki.github.io/physics/investigations/u7_1_investigation/u7_1_investigation.html" TargetMode="External"/><Relationship Id="rId2074" Type="http://schemas.openxmlformats.org/officeDocument/2006/relationships/hyperlink" Target="https://tnezki.github.io/physics/activities/u7_1_act1/u7_1_act1.html" TargetMode="External"/><Relationship Id="rId2075" Type="http://schemas.openxmlformats.org/officeDocument/2006/relationships/hyperlink" Target="https://tnezki.github.io/physics/practice_sets/practice_sets_7_1/practice_set_7_1.html" TargetMode="External"/><Relationship Id="rId2076" Type="http://schemas.openxmlformats.org/officeDocument/2006/relationships/hyperlink" Target="https://tnezki.github.io/physics/practice_sets/practice_sets_7_1/extra_practice_7_1.html" TargetMode="External"/><Relationship Id="rId2077" Type="http://schemas.openxmlformats.org/officeDocument/2006/relationships/hyperlink" Target="https://tnezki.github.io/physics/practice_sets/practice_sets_7_1/cyu_7_1.html" TargetMode="External"/><Relationship Id="rId2078" Type="http://schemas.openxmlformats.org/officeDocument/2006/relationships/hyperlink" Target="https://tnezki.github.io/physics/progress/unit_7_progress/unit_7_progress.html" TargetMode="External"/><Relationship Id="rId2079" Type="http://schemas.openxmlformats.org/officeDocument/2006/relationships/hyperlink" Target="https://tnezki.github.io/physics/reviews/review7/review_7.html" TargetMode="External"/><Relationship Id="rId1610" Type="http://schemas.openxmlformats.org/officeDocument/2006/relationships/hyperlink" Target="https://tnezki.github.io/physics/progress/unit_5_progress/unit_5_progress.html" TargetMode="External"/><Relationship Id="rId1611" Type="http://schemas.openxmlformats.org/officeDocument/2006/relationships/hyperlink" Target="https://tnezki.github.io/physics/reviews/review5/review_5.html" TargetMode="External"/><Relationship Id="rId1612" Type="http://schemas.openxmlformats.org/officeDocument/2006/relationships/hyperlink" Target="https://tnezki.github.io/physics/notes/u5_4_notes/u5_4_notes_teacher.html" TargetMode="External"/><Relationship Id="rId1613" Type="http://schemas.openxmlformats.org/officeDocument/2006/relationships/hyperlink" Target="https://tnezki.github.io/physics/demo/u5_4_demo/u5_4_demo_teacher_guide.html" TargetMode="External"/><Relationship Id="rId1614" Type="http://schemas.openxmlformats.org/officeDocument/2006/relationships/hyperlink" Target="https://tnezki.github.io/physics/investigations/u5_4_investigation/u5_4_investigation_teacher_guide.html" TargetMode="External"/><Relationship Id="rId1615" Type="http://schemas.openxmlformats.org/officeDocument/2006/relationships/hyperlink" Target="https://tnezki.github.io/physics/performance_task___5134zrt/u5_4_performance_task/u5_4_performance_task_teacher_guide.html" TargetMode="External"/><Relationship Id="rId1616" Type="http://schemas.openxmlformats.org/officeDocument/2006/relationships/hyperlink" Target="https://tnezki.github.io/physics/assessments_zxrtjp/unit5_assessment_plan/unit5_assessment_plan.html" TargetMode="External"/><Relationship Id="rId907" Type="http://schemas.openxmlformats.org/officeDocument/2006/relationships/hyperlink" Target="https://tnezki.github.io/physics/performance_task___5134zrt/u3_4_performance_task/u3_4_performance_task.html" TargetMode="External"/><Relationship Id="rId1617" Type="http://schemas.openxmlformats.org/officeDocument/2006/relationships/hyperlink" Target="https://tnezki.github.io/physics/performance_task___5134zrt/u5_4_performance_task/u5_4_performance_task.html" TargetMode="External"/><Relationship Id="rId906" Type="http://schemas.openxmlformats.org/officeDocument/2006/relationships/hyperlink" Target="https://tnezki.github.io/physics/assessments_zxrtjp/unit3_assessment_plan/unit3_assessment_plan.html" TargetMode="External"/><Relationship Id="rId1618" Type="http://schemas.openxmlformats.org/officeDocument/2006/relationships/hyperlink" Target="https://tnezki.github.io/physics/quick_check____htq5855/u5_4_quick_check/u5_4_quick_check.html" TargetMode="External"/><Relationship Id="rId905" Type="http://schemas.openxmlformats.org/officeDocument/2006/relationships/hyperlink" Target="https://tnezki.github.io/physics/performance_task___5134zrt/u3_4_performance_task/u3_4_performance_task_teacher_guide.html" TargetMode="External"/><Relationship Id="rId1619" Type="http://schemas.openxmlformats.org/officeDocument/2006/relationships/hyperlink" Target="https://tnezki.github.io/physics/exit/exit5/exit_5.html" TargetMode="External"/><Relationship Id="rId904" Type="http://schemas.openxmlformats.org/officeDocument/2006/relationships/hyperlink" Target="https://tnezki.github.io/physics/investigations/u3_4_investigation/u3_4_investigation_teacher_guide.html" TargetMode="External"/><Relationship Id="rId909" Type="http://schemas.openxmlformats.org/officeDocument/2006/relationships/hyperlink" Target="https://tnezki.github.io/physics/exit/exit3/exit_3.html" TargetMode="External"/><Relationship Id="rId908" Type="http://schemas.openxmlformats.org/officeDocument/2006/relationships/hyperlink" Target="https://tnezki.github.io/physics/quick_check____htq5855/u3_4_quick_check/u3_4_quick_check.html" TargetMode="External"/><Relationship Id="rId903" Type="http://schemas.openxmlformats.org/officeDocument/2006/relationships/hyperlink" Target="https://tnezki.github.io/physics/demo/u3_4_demo/u3_4_demo_teacher_guide.html" TargetMode="External"/><Relationship Id="rId902" Type="http://schemas.openxmlformats.org/officeDocument/2006/relationships/hyperlink" Target="https://tnezki.github.io/physics/notes/u3_4_notes/u3_4_notes_teacher.html" TargetMode="External"/><Relationship Id="rId901" Type="http://schemas.openxmlformats.org/officeDocument/2006/relationships/hyperlink" Target="https://tnezki.github.io/physics/reviews/review3/review_3.html" TargetMode="External"/><Relationship Id="rId900" Type="http://schemas.openxmlformats.org/officeDocument/2006/relationships/hyperlink" Target="https://tnezki.github.io/physics/progress/unit_3_progress/unit_3_progress.html" TargetMode="External"/><Relationship Id="rId1600" Type="http://schemas.openxmlformats.org/officeDocument/2006/relationships/hyperlink" Target="https://tnezki.github.io/physics/assessments_zxrtjp/unit5_summative/unit5_summative_assessment.html" TargetMode="External"/><Relationship Id="rId1601" Type="http://schemas.openxmlformats.org/officeDocument/2006/relationships/hyperlink" Target="https://tnezki.github.io/physics/banks/unit5/unit5.html" TargetMode="External"/><Relationship Id="rId1602" Type="http://schemas.openxmlformats.org/officeDocument/2006/relationships/hyperlink" Target="https://tnezki.github.io/physics/warmups/unit_5_warmups/unit_5_warmups.html" TargetMode="External"/><Relationship Id="rId1603" Type="http://schemas.openxmlformats.org/officeDocument/2006/relationships/hyperlink" Target="https://tnezki.github.io/physics/demo/u5_4_demo/u5_4_demo.html" TargetMode="External"/><Relationship Id="rId1604" Type="http://schemas.openxmlformats.org/officeDocument/2006/relationships/hyperlink" Target="https://tnezki.github.io/physics/notes/u5_4_notes/u5_4_notes.html" TargetMode="External"/><Relationship Id="rId1605" Type="http://schemas.openxmlformats.org/officeDocument/2006/relationships/hyperlink" Target="https://tnezki.github.io/physics/investigations/u5_4_investigation/u5_4_investigation.html" TargetMode="External"/><Relationship Id="rId1606" Type="http://schemas.openxmlformats.org/officeDocument/2006/relationships/hyperlink" Target="https://tnezki.github.io/physics/activities/u5_4_act1/u5_4_act1.html" TargetMode="External"/><Relationship Id="rId1607" Type="http://schemas.openxmlformats.org/officeDocument/2006/relationships/hyperlink" Target="https://tnezki.github.io/physics/practice_sets/practice_sets_5_4/practice_set_5_4.html" TargetMode="External"/><Relationship Id="rId1608" Type="http://schemas.openxmlformats.org/officeDocument/2006/relationships/hyperlink" Target="https://tnezki.github.io/physics/practice_sets/practice_sets_5_4/extra_practice_5_4.html" TargetMode="External"/><Relationship Id="rId1609" Type="http://schemas.openxmlformats.org/officeDocument/2006/relationships/hyperlink" Target="https://tnezki.github.io/physics/practice_sets/practice_sets_5_4/cyu_5_4.html" TargetMode="External"/><Relationship Id="rId1631" Type="http://schemas.openxmlformats.org/officeDocument/2006/relationships/hyperlink" Target="https://tnezki.github.io/physics/practice_sets/practice_sets_5_5/cyu_5_5.html" TargetMode="External"/><Relationship Id="rId1632" Type="http://schemas.openxmlformats.org/officeDocument/2006/relationships/hyperlink" Target="https://tnezki.github.io/physics/progress/unit_5_progress/unit_5_progress.html" TargetMode="External"/><Relationship Id="rId1633" Type="http://schemas.openxmlformats.org/officeDocument/2006/relationships/hyperlink" Target="https://tnezki.github.io/physics/reviews/review5/review_5.html" TargetMode="External"/><Relationship Id="rId1634" Type="http://schemas.openxmlformats.org/officeDocument/2006/relationships/hyperlink" Target="https://tnezki.github.io/physics/notes/u5_5_notes/u5_5_notes_teacher.html" TargetMode="External"/><Relationship Id="rId1635" Type="http://schemas.openxmlformats.org/officeDocument/2006/relationships/hyperlink" Target="https://tnezki.github.io/physics/demo/u5_5_demo/u5_5_demo_teacher_guide.html" TargetMode="External"/><Relationship Id="rId1636" Type="http://schemas.openxmlformats.org/officeDocument/2006/relationships/hyperlink" Target="https://tnezki.github.io/physics/investigations/u5_5_investigation/u5_5_investigation_teacher_guide.html" TargetMode="External"/><Relationship Id="rId1637" Type="http://schemas.openxmlformats.org/officeDocument/2006/relationships/hyperlink" Target="https://tnezki.github.io/physics/performance_task___5134zrt/u5_5_performance_task/u5_5_performance_task_teacher_guide.html" TargetMode="External"/><Relationship Id="rId1638" Type="http://schemas.openxmlformats.org/officeDocument/2006/relationships/hyperlink" Target="https://tnezki.github.io/physics/assessments_zxrtjp/unit5_assessment_plan/unit5_assessment_plan.html" TargetMode="External"/><Relationship Id="rId929" Type="http://schemas.openxmlformats.org/officeDocument/2006/relationships/hyperlink" Target="https://tnezki.github.io/physics/performance_task___5134zrt/u3_4_performance_task/u3_4_performance_task.html" TargetMode="External"/><Relationship Id="rId1639" Type="http://schemas.openxmlformats.org/officeDocument/2006/relationships/hyperlink" Target="https://tnezki.github.io/physics/performance_task___5134zrt/u5_5_performance_task/u5_5_performance_task.html" TargetMode="External"/><Relationship Id="rId928" Type="http://schemas.openxmlformats.org/officeDocument/2006/relationships/hyperlink" Target="https://tnezki.github.io/physics/assessments_zxrtjp/unit3_assessment_plan/unit3_assessment_plan.html" TargetMode="External"/><Relationship Id="rId927" Type="http://schemas.openxmlformats.org/officeDocument/2006/relationships/hyperlink" Target="https://tnezki.github.io/physics/performance_task___5134zrt/u3_4_performance_task/u3_4_performance_task_teacher_guide.html" TargetMode="External"/><Relationship Id="rId926" Type="http://schemas.openxmlformats.org/officeDocument/2006/relationships/hyperlink" Target="https://tnezki.github.io/physics/investigations/u3_4_investigation/u3_4_investigation_teacher_guide.html" TargetMode="External"/><Relationship Id="rId921" Type="http://schemas.openxmlformats.org/officeDocument/2006/relationships/hyperlink" Target="https://tnezki.github.io/physics/practice_sets/practice_sets_3_4/cyu_3_4.html" TargetMode="External"/><Relationship Id="rId920" Type="http://schemas.openxmlformats.org/officeDocument/2006/relationships/hyperlink" Target="https://tnezki.github.io/physics/practice_sets/practice_sets_3_4/extra_practice_3_4.html" TargetMode="External"/><Relationship Id="rId925" Type="http://schemas.openxmlformats.org/officeDocument/2006/relationships/hyperlink" Target="https://tnezki.github.io/physics/demo/u3_4_demo/u3_4_demo_teacher_guide.html" TargetMode="External"/><Relationship Id="rId924" Type="http://schemas.openxmlformats.org/officeDocument/2006/relationships/hyperlink" Target="https://tnezki.github.io/physics/notes/u3_4_notes/u3_4_notes_teacher.html" TargetMode="External"/><Relationship Id="rId923" Type="http://schemas.openxmlformats.org/officeDocument/2006/relationships/hyperlink" Target="https://tnezki.github.io/physics/reviews/review3/review_3.html" TargetMode="External"/><Relationship Id="rId922" Type="http://schemas.openxmlformats.org/officeDocument/2006/relationships/hyperlink" Target="https://tnezki.github.io/physics/progress/unit_3_progress/unit_3_progress.html" TargetMode="External"/><Relationship Id="rId1630" Type="http://schemas.openxmlformats.org/officeDocument/2006/relationships/hyperlink" Target="https://tnezki.github.io/physics/practice_sets/practice_sets_5_5/extra_practice_5_5.html" TargetMode="External"/><Relationship Id="rId1620" Type="http://schemas.openxmlformats.org/officeDocument/2006/relationships/hyperlink" Target="https://tnezki.github.io/physics/practice_sets/practice_sets_5_4/practice_set_5_4_2.html" TargetMode="External"/><Relationship Id="rId1621" Type="http://schemas.openxmlformats.org/officeDocument/2006/relationships/hyperlink" Target="https://tnezki.github.io/physics/practice_sets/practice_sets_5_4/practice_set_5_4_3.html" TargetMode="External"/><Relationship Id="rId1622" Type="http://schemas.openxmlformats.org/officeDocument/2006/relationships/hyperlink" Target="https://tnezki.github.io/physics/assessments_zxrtjp/unit5_summative/unit5_summative_assessment.html" TargetMode="External"/><Relationship Id="rId1623" Type="http://schemas.openxmlformats.org/officeDocument/2006/relationships/hyperlink" Target="https://tnezki.github.io/physics/banks/unit5/unit5.html" TargetMode="External"/><Relationship Id="rId1624" Type="http://schemas.openxmlformats.org/officeDocument/2006/relationships/hyperlink" Target="https://tnezki.github.io/physics/warmups/unit_5_warmups/unit_5_warmups.html" TargetMode="External"/><Relationship Id="rId1625" Type="http://schemas.openxmlformats.org/officeDocument/2006/relationships/hyperlink" Target="https://tnezki.github.io/physics/demo/u5_5_demo/u5_5_demo.html" TargetMode="External"/><Relationship Id="rId1626" Type="http://schemas.openxmlformats.org/officeDocument/2006/relationships/hyperlink" Target="https://tnezki.github.io/physics/notes/u5_5_notes/u5_5_notes.html" TargetMode="External"/><Relationship Id="rId1627" Type="http://schemas.openxmlformats.org/officeDocument/2006/relationships/hyperlink" Target="https://tnezki.github.io/physics/investigations/u5_5_investigation/u5_5_investigation.html" TargetMode="External"/><Relationship Id="rId918" Type="http://schemas.openxmlformats.org/officeDocument/2006/relationships/hyperlink" Target="https://tnezki.github.io/physics/activities/u3_4_act1/u3_4_act1.html" TargetMode="External"/><Relationship Id="rId1628" Type="http://schemas.openxmlformats.org/officeDocument/2006/relationships/hyperlink" Target="https://tnezki.github.io/physics/activities/u5_5_act1/u5_5_act1.html" TargetMode="External"/><Relationship Id="rId917" Type="http://schemas.openxmlformats.org/officeDocument/2006/relationships/hyperlink" Target="https://tnezki.github.io/physics/investigations/u3_4_investigation/u3_4_investigation.html" TargetMode="External"/><Relationship Id="rId1629" Type="http://schemas.openxmlformats.org/officeDocument/2006/relationships/hyperlink" Target="https://tnezki.github.io/physics/practice_sets/practice_sets_5_5/practice_set_5_5.html" TargetMode="External"/><Relationship Id="rId916" Type="http://schemas.openxmlformats.org/officeDocument/2006/relationships/hyperlink" Target="https://tnezki.github.io/physics/notes/u3_4_notes/u3_4_notes.html" TargetMode="External"/><Relationship Id="rId915" Type="http://schemas.openxmlformats.org/officeDocument/2006/relationships/hyperlink" Target="https://tnezki.github.io/physics/demo/u3_4_demo/u3_4_demo.html" TargetMode="External"/><Relationship Id="rId919" Type="http://schemas.openxmlformats.org/officeDocument/2006/relationships/hyperlink" Target="https://tnezki.github.io/physics/practice_sets/practice_sets_3_4/practice_set_3_4.html" TargetMode="External"/><Relationship Id="rId910" Type="http://schemas.openxmlformats.org/officeDocument/2006/relationships/hyperlink" Target="https://tnezki.github.io/physics/practice_sets/practice_sets_3_4/practice_set_3_4_2.html" TargetMode="External"/><Relationship Id="rId914" Type="http://schemas.openxmlformats.org/officeDocument/2006/relationships/hyperlink" Target="https://tnezki.github.io/physics/warmups/unit_3_warmups/unit_3_warmups.html" TargetMode="External"/><Relationship Id="rId913" Type="http://schemas.openxmlformats.org/officeDocument/2006/relationships/hyperlink" Target="https://tnezki.github.io/physics/banks/unit3/unit3.html" TargetMode="External"/><Relationship Id="rId912" Type="http://schemas.openxmlformats.org/officeDocument/2006/relationships/hyperlink" Target="https://tnezki.github.io/physics/assessments_zxrtjp/unit3_summative/unit3_summative_assessment.html" TargetMode="External"/><Relationship Id="rId911" Type="http://schemas.openxmlformats.org/officeDocument/2006/relationships/hyperlink" Target="https://tnezki.github.io/physics/practice_sets/practice_sets_3_4/practice_set_3_4_3.html" TargetMode="External"/><Relationship Id="rId1213" Type="http://schemas.openxmlformats.org/officeDocument/2006/relationships/hyperlink" Target="https://tnezki.github.io/physics/notes/u4_3_notes/u4_3_notes_teacher.html" TargetMode="External"/><Relationship Id="rId1697" Type="http://schemas.openxmlformats.org/officeDocument/2006/relationships/hyperlink" Target="https://tnezki.github.io/physics/activities/u6_1_act1/u6_1_act1.html" TargetMode="External"/><Relationship Id="rId2544" Type="http://schemas.openxmlformats.org/officeDocument/2006/relationships/hyperlink" Target="https://tnezki.github.io/physics/reviews/review8/review_8.html" TargetMode="External"/><Relationship Id="rId1214" Type="http://schemas.openxmlformats.org/officeDocument/2006/relationships/hyperlink" Target="https://tnezki.github.io/physics/demo/u4_3_demo/u4_3_demo_teacher_guide.html" TargetMode="External"/><Relationship Id="rId1698" Type="http://schemas.openxmlformats.org/officeDocument/2006/relationships/hyperlink" Target="https://tnezki.github.io/physics/practice_sets/practice_sets_6_1/practice_set_6_1.html" TargetMode="External"/><Relationship Id="rId2545" Type="http://schemas.openxmlformats.org/officeDocument/2006/relationships/hyperlink" Target="https://tnezki.github.io/physics/notes/u8_3_notes/u8_3_notes_teacher.html" TargetMode="External"/><Relationship Id="rId1215" Type="http://schemas.openxmlformats.org/officeDocument/2006/relationships/hyperlink" Target="https://tnezki.github.io/physics/investigations/u4_3_investigation/u4_3_investigation_teacher_guide.html" TargetMode="External"/><Relationship Id="rId1699" Type="http://schemas.openxmlformats.org/officeDocument/2006/relationships/hyperlink" Target="https://tnezki.github.io/physics/practice_sets/practice_sets_6_1/extra_practice_6_1.html" TargetMode="External"/><Relationship Id="rId2546" Type="http://schemas.openxmlformats.org/officeDocument/2006/relationships/hyperlink" Target="https://tnezki.github.io/physics/demo/u8_3_demo/u8_3_demo_teacher_guide.html" TargetMode="External"/><Relationship Id="rId1216" Type="http://schemas.openxmlformats.org/officeDocument/2006/relationships/hyperlink" Target="https://tnezki.github.io/physics/performance_task___5134zrt/u4_3_performance_task/u4_3_performance_task_teacher_guide.html" TargetMode="External"/><Relationship Id="rId2547" Type="http://schemas.openxmlformats.org/officeDocument/2006/relationships/hyperlink" Target="https://tnezki.github.io/physics/investigations/u8_3_investigation/u8_3_investigation_teacher_guide.html" TargetMode="External"/><Relationship Id="rId1217" Type="http://schemas.openxmlformats.org/officeDocument/2006/relationships/hyperlink" Target="https://tnezki.github.io/physics/assessments_zxrtjp/unit4_assessment_plan/unit4_assessment_plan.html" TargetMode="External"/><Relationship Id="rId2548" Type="http://schemas.openxmlformats.org/officeDocument/2006/relationships/hyperlink" Target="https://tnezki.github.io/physics/performance_task___5134zrt/u8_3_performance_task/u8_3_performance_task_teacher_guide.html" TargetMode="External"/><Relationship Id="rId1218" Type="http://schemas.openxmlformats.org/officeDocument/2006/relationships/hyperlink" Target="https://tnezki.github.io/physics/performance_task___5134zrt/u4_3_performance_task/u4_3_performance_task.html" TargetMode="External"/><Relationship Id="rId2549" Type="http://schemas.openxmlformats.org/officeDocument/2006/relationships/hyperlink" Target="https://tnezki.github.io/physics/assessments_zxrtjp/unit8_assessment_plan/unit8_assessment_plan.html" TargetMode="External"/><Relationship Id="rId1219" Type="http://schemas.openxmlformats.org/officeDocument/2006/relationships/hyperlink" Target="https://tnezki.github.io/physics/quick_check____htq5855/u4_3_quick_check/u4_3_quick_check.html" TargetMode="External"/><Relationship Id="rId866" Type="http://schemas.openxmlformats.org/officeDocument/2006/relationships/hyperlink" Target="https://tnezki.github.io/physics/practice_sets/practice_sets_3_3/practice_set_3_3_2.html" TargetMode="External"/><Relationship Id="rId865" Type="http://schemas.openxmlformats.org/officeDocument/2006/relationships/hyperlink" Target="https://tnezki.github.io/physics/exit/exit3/exit_3.html" TargetMode="External"/><Relationship Id="rId864" Type="http://schemas.openxmlformats.org/officeDocument/2006/relationships/hyperlink" Target="https://tnezki.github.io/physics/quick_check____htq5855/u3_3_quick_check/u3_3_quick_check.html" TargetMode="External"/><Relationship Id="rId863" Type="http://schemas.openxmlformats.org/officeDocument/2006/relationships/hyperlink" Target="https://tnezki.github.io/physics/performance_task___5134zrt/u3_3_performance_task/u3_3_performance_task.html" TargetMode="External"/><Relationship Id="rId869" Type="http://schemas.openxmlformats.org/officeDocument/2006/relationships/hyperlink" Target="https://tnezki.github.io/physics/banks/unit3/unit3.html" TargetMode="External"/><Relationship Id="rId868" Type="http://schemas.openxmlformats.org/officeDocument/2006/relationships/hyperlink" Target="https://tnezki.github.io/physics/assessments_zxrtjp/unit3_summative/unit3_summative_assessment.html" TargetMode="External"/><Relationship Id="rId867" Type="http://schemas.openxmlformats.org/officeDocument/2006/relationships/hyperlink" Target="https://tnezki.github.io/physics/practice_sets/practice_sets_3_3/practice_set_3_3_3.html" TargetMode="External"/><Relationship Id="rId1690" Type="http://schemas.openxmlformats.org/officeDocument/2006/relationships/hyperlink" Target="https://tnezki.github.io/physics/assessments_zxrtjp/unit5_summative/unit5_summative_assessment.html" TargetMode="External"/><Relationship Id="rId1691" Type="http://schemas.openxmlformats.org/officeDocument/2006/relationships/hyperlink" Target="https://tnezki.github.io/physics/banks/unit5/unit5.html" TargetMode="External"/><Relationship Id="rId1692" Type="http://schemas.openxmlformats.org/officeDocument/2006/relationships/hyperlink" Target="https://tnezki.github.io/physics/assessments_zxrtjp/unit5_assessment_plan/unit5_assessment_plan.html" TargetMode="External"/><Relationship Id="rId862" Type="http://schemas.openxmlformats.org/officeDocument/2006/relationships/hyperlink" Target="https://tnezki.github.io/physics/assessments_zxrtjp/unit3_assessment_plan/unit3_assessment_plan.html" TargetMode="External"/><Relationship Id="rId1693" Type="http://schemas.openxmlformats.org/officeDocument/2006/relationships/hyperlink" Target="https://tnezki.github.io/physics/warmups/unit_6_warmups/unit_6_warmups.html" TargetMode="External"/><Relationship Id="rId2540" Type="http://schemas.openxmlformats.org/officeDocument/2006/relationships/hyperlink" Target="https://tnezki.github.io/physics/practice_sets/practice_sets_8_3/practice_set_8_3.html" TargetMode="External"/><Relationship Id="rId861" Type="http://schemas.openxmlformats.org/officeDocument/2006/relationships/hyperlink" Target="https://tnezki.github.io/physics/performance_task___5134zrt/u3_3_performance_task/u3_3_performance_task_teacher_guide.html" TargetMode="External"/><Relationship Id="rId1210" Type="http://schemas.openxmlformats.org/officeDocument/2006/relationships/hyperlink" Target="https://tnezki.github.io/physics/practice_sets/practice_sets_4_3/cyu_4_3.html" TargetMode="External"/><Relationship Id="rId1694" Type="http://schemas.openxmlformats.org/officeDocument/2006/relationships/hyperlink" Target="https://tnezki.github.io/physics/demo/u6_1_demo/u6_1_demo.html" TargetMode="External"/><Relationship Id="rId2541" Type="http://schemas.openxmlformats.org/officeDocument/2006/relationships/hyperlink" Target="https://tnezki.github.io/physics/practice_sets/practice_sets_8_3/extra_practice_8_3.html" TargetMode="External"/><Relationship Id="rId860" Type="http://schemas.openxmlformats.org/officeDocument/2006/relationships/hyperlink" Target="https://tnezki.github.io/physics/investigations/u3_3_investigation/u3_3_investigation_teacher_guide.html" TargetMode="External"/><Relationship Id="rId1211" Type="http://schemas.openxmlformats.org/officeDocument/2006/relationships/hyperlink" Target="https://tnezki.github.io/physics/progress/unit_4_progress/unit_4_progress.html" TargetMode="External"/><Relationship Id="rId1695" Type="http://schemas.openxmlformats.org/officeDocument/2006/relationships/hyperlink" Target="https://tnezki.github.io/physics/notes/u6_1_notes/u6_1_notes.html" TargetMode="External"/><Relationship Id="rId2542" Type="http://schemas.openxmlformats.org/officeDocument/2006/relationships/hyperlink" Target="https://tnezki.github.io/physics/practice_sets/practice_sets_8_3/cyu_8_3.html" TargetMode="External"/><Relationship Id="rId1212" Type="http://schemas.openxmlformats.org/officeDocument/2006/relationships/hyperlink" Target="https://tnezki.github.io/physics/reviews/review4/review_4.html" TargetMode="External"/><Relationship Id="rId1696" Type="http://schemas.openxmlformats.org/officeDocument/2006/relationships/hyperlink" Target="https://tnezki.github.io/physics/investigations/u6_1_investigation/u6_1_investigation.html" TargetMode="External"/><Relationship Id="rId2543" Type="http://schemas.openxmlformats.org/officeDocument/2006/relationships/hyperlink" Target="https://tnezki.github.io/physics/progress/unit_8_progress/unit_8_progress.html" TargetMode="External"/><Relationship Id="rId1202" Type="http://schemas.openxmlformats.org/officeDocument/2006/relationships/hyperlink" Target="https://tnezki.github.io/physics/banks/unit4/unit4.html" TargetMode="External"/><Relationship Id="rId1686" Type="http://schemas.openxmlformats.org/officeDocument/2006/relationships/hyperlink" Target="https://tnezki.github.io/physics/practice_sets/practice_sets_5_5/practice_set_5_5_2.html" TargetMode="External"/><Relationship Id="rId2533" Type="http://schemas.openxmlformats.org/officeDocument/2006/relationships/hyperlink" Target="https://tnezki.github.io/physics/assessments_zxrtjp/unit8_summative/unit8_summative_assessment.html" TargetMode="External"/><Relationship Id="rId1203" Type="http://schemas.openxmlformats.org/officeDocument/2006/relationships/hyperlink" Target="https://tnezki.github.io/physics/warmups/unit_4_warmups/unit_4_warmups.html" TargetMode="External"/><Relationship Id="rId1687" Type="http://schemas.openxmlformats.org/officeDocument/2006/relationships/hyperlink" Target="https://tnezki.github.io/physics/practice_sets/practice_sets_5_5/practice_set_5_5_3.html" TargetMode="External"/><Relationship Id="rId2534" Type="http://schemas.openxmlformats.org/officeDocument/2006/relationships/hyperlink" Target="https://tnezki.github.io/physics/banks/unit8/unit8.html" TargetMode="External"/><Relationship Id="rId1204" Type="http://schemas.openxmlformats.org/officeDocument/2006/relationships/hyperlink" Target="https://tnezki.github.io/physics/demo/u4_3_demo/u4_3_demo.html" TargetMode="External"/><Relationship Id="rId1688" Type="http://schemas.openxmlformats.org/officeDocument/2006/relationships/hyperlink" Target="https://tnezki.github.io/physics/assessments_zxrtjp/unit5_summative/unit5_summative_assessment.html" TargetMode="External"/><Relationship Id="rId2535" Type="http://schemas.openxmlformats.org/officeDocument/2006/relationships/hyperlink" Target="https://tnezki.github.io/physics/warmups/unit_8_warmups/unit_8_warmups.html" TargetMode="External"/><Relationship Id="rId1205" Type="http://schemas.openxmlformats.org/officeDocument/2006/relationships/hyperlink" Target="https://tnezki.github.io/physics/notes/u4_3_notes/u4_3_notes.html" TargetMode="External"/><Relationship Id="rId1689" Type="http://schemas.openxmlformats.org/officeDocument/2006/relationships/hyperlink" Target="https://tnezki.github.io/physics/banks/unit5/unit5.html" TargetMode="External"/><Relationship Id="rId2536" Type="http://schemas.openxmlformats.org/officeDocument/2006/relationships/hyperlink" Target="https://tnezki.github.io/physics/demo/u8_3_demo/u8_3_demo.html" TargetMode="External"/><Relationship Id="rId1206" Type="http://schemas.openxmlformats.org/officeDocument/2006/relationships/hyperlink" Target="https://tnezki.github.io/physics/investigations/u4_3_investigation/u4_3_investigation.html" TargetMode="External"/><Relationship Id="rId2537" Type="http://schemas.openxmlformats.org/officeDocument/2006/relationships/hyperlink" Target="https://tnezki.github.io/physics/notes/u8_3_notes/u8_3_notes.html" TargetMode="External"/><Relationship Id="rId1207" Type="http://schemas.openxmlformats.org/officeDocument/2006/relationships/hyperlink" Target="https://tnezki.github.io/physics/activities/u4_3_act1/u4_3_act1.html" TargetMode="External"/><Relationship Id="rId2538" Type="http://schemas.openxmlformats.org/officeDocument/2006/relationships/hyperlink" Target="https://tnezki.github.io/physics/investigations/u8_3_investigation/u8_3_investigation.html" TargetMode="External"/><Relationship Id="rId1208" Type="http://schemas.openxmlformats.org/officeDocument/2006/relationships/hyperlink" Target="https://tnezki.github.io/physics/practice_sets/practice_sets_4_3/practice_set_4_3.html" TargetMode="External"/><Relationship Id="rId2539" Type="http://schemas.openxmlformats.org/officeDocument/2006/relationships/hyperlink" Target="https://tnezki.github.io/physics/activities/u8_3_act1/u8_3_act1.html" TargetMode="External"/><Relationship Id="rId1209" Type="http://schemas.openxmlformats.org/officeDocument/2006/relationships/hyperlink" Target="https://tnezki.github.io/physics/practice_sets/practice_sets_4_3/extra_practice_4_3.html" TargetMode="External"/><Relationship Id="rId855" Type="http://schemas.openxmlformats.org/officeDocument/2006/relationships/hyperlink" Target="https://tnezki.github.io/physics/practice_sets/practice_sets_3_3/cyu_3_3.html" TargetMode="External"/><Relationship Id="rId854" Type="http://schemas.openxmlformats.org/officeDocument/2006/relationships/hyperlink" Target="https://tnezki.github.io/physics/practice_sets/practice_sets_3_3/extra_practice_3_3.html" TargetMode="External"/><Relationship Id="rId853" Type="http://schemas.openxmlformats.org/officeDocument/2006/relationships/hyperlink" Target="https://tnezki.github.io/physics/practice_sets/practice_sets_3_3/practice_set_3_3.html" TargetMode="External"/><Relationship Id="rId852" Type="http://schemas.openxmlformats.org/officeDocument/2006/relationships/hyperlink" Target="https://tnezki.github.io/physics/activities/u3_3_act1/u3_3_act1.html" TargetMode="External"/><Relationship Id="rId859" Type="http://schemas.openxmlformats.org/officeDocument/2006/relationships/hyperlink" Target="https://tnezki.github.io/physics/demo/u3_3_demo/u3_3_demo_teacher_guide.html" TargetMode="External"/><Relationship Id="rId858" Type="http://schemas.openxmlformats.org/officeDocument/2006/relationships/hyperlink" Target="https://tnezki.github.io/physics/notes/u3_3_notes/u3_3_notes_teacher.html" TargetMode="External"/><Relationship Id="rId857" Type="http://schemas.openxmlformats.org/officeDocument/2006/relationships/hyperlink" Target="https://tnezki.github.io/physics/reviews/review3/review_3.html" TargetMode="External"/><Relationship Id="rId856" Type="http://schemas.openxmlformats.org/officeDocument/2006/relationships/hyperlink" Target="https://tnezki.github.io/physics/progress/unit_3_progress/unit_3_progress.html" TargetMode="External"/><Relationship Id="rId1680" Type="http://schemas.openxmlformats.org/officeDocument/2006/relationships/hyperlink" Target="https://tnezki.github.io/physics/investigations/u5_5_investigation/u5_5_investigation_teacher_guide.html" TargetMode="External"/><Relationship Id="rId1681" Type="http://schemas.openxmlformats.org/officeDocument/2006/relationships/hyperlink" Target="https://tnezki.github.io/physics/performance_task___5134zrt/u5_5_performance_task/u5_5_performance_task_teacher_guide.html" TargetMode="External"/><Relationship Id="rId851" Type="http://schemas.openxmlformats.org/officeDocument/2006/relationships/hyperlink" Target="https://tnezki.github.io/physics/investigations/u3_3_investigation/u3_3_investigation.html" TargetMode="External"/><Relationship Id="rId1682" Type="http://schemas.openxmlformats.org/officeDocument/2006/relationships/hyperlink" Target="https://tnezki.github.io/physics/assessments_zxrtjp/unit5_assessment_plan/unit5_assessment_plan.html" TargetMode="External"/><Relationship Id="rId850" Type="http://schemas.openxmlformats.org/officeDocument/2006/relationships/hyperlink" Target="https://tnezki.github.io/physics/notes/u3_3_notes/u3_3_notes.html" TargetMode="External"/><Relationship Id="rId1683" Type="http://schemas.openxmlformats.org/officeDocument/2006/relationships/hyperlink" Target="https://tnezki.github.io/physics/performance_task___5134zrt/u5_5_performance_task/u5_5_performance_task.html" TargetMode="External"/><Relationship Id="rId2530" Type="http://schemas.openxmlformats.org/officeDocument/2006/relationships/hyperlink" Target="https://tnezki.github.io/physics/exit/exit8/exit_8.html" TargetMode="External"/><Relationship Id="rId1200" Type="http://schemas.openxmlformats.org/officeDocument/2006/relationships/hyperlink" Target="https://tnezki.github.io/physics/practice_sets/practice_sets_4_3/practice_set_4_3_3.html" TargetMode="External"/><Relationship Id="rId1684" Type="http://schemas.openxmlformats.org/officeDocument/2006/relationships/hyperlink" Target="https://tnezki.github.io/physics/quick_check____htq5855/u5_5_quick_check/u5_5_quick_check.html" TargetMode="External"/><Relationship Id="rId2531" Type="http://schemas.openxmlformats.org/officeDocument/2006/relationships/hyperlink" Target="https://tnezki.github.io/physics/practice_sets/practice_sets_8_3/practice_set_8_3_2.html" TargetMode="External"/><Relationship Id="rId1201" Type="http://schemas.openxmlformats.org/officeDocument/2006/relationships/hyperlink" Target="https://tnezki.github.io/physics/assessments_zxrtjp/unit4_summative/unit4_summative_assessment.html" TargetMode="External"/><Relationship Id="rId1685" Type="http://schemas.openxmlformats.org/officeDocument/2006/relationships/hyperlink" Target="https://tnezki.github.io/physics/exit/exit5/exit_5.html" TargetMode="External"/><Relationship Id="rId2532" Type="http://schemas.openxmlformats.org/officeDocument/2006/relationships/hyperlink" Target="https://tnezki.github.io/physics/practice_sets/practice_sets_8_3/practice_set_8_3_3.html" TargetMode="External"/><Relationship Id="rId1235" Type="http://schemas.openxmlformats.org/officeDocument/2006/relationships/hyperlink" Target="https://tnezki.github.io/physics/notes/u4_4_notes/u4_4_notes_teacher.html" TargetMode="External"/><Relationship Id="rId2566" Type="http://schemas.openxmlformats.org/officeDocument/2006/relationships/hyperlink" Target="https://tnezki.github.io/physics/reviews/review8/review_8.html" TargetMode="External"/><Relationship Id="rId1236" Type="http://schemas.openxmlformats.org/officeDocument/2006/relationships/hyperlink" Target="https://tnezki.github.io/physics/demo/u4_4_demo/u4_4_demo_teacher_guide.html" TargetMode="External"/><Relationship Id="rId2567" Type="http://schemas.openxmlformats.org/officeDocument/2006/relationships/hyperlink" Target="https://tnezki.github.io/physics/notes/u8_4_notes/u8_4_notes_teacher.html" TargetMode="External"/><Relationship Id="rId1237" Type="http://schemas.openxmlformats.org/officeDocument/2006/relationships/hyperlink" Target="https://tnezki.github.io/physics/investigations/u4_4_investigation/u4_4_investigation_teacher_guide.html" TargetMode="External"/><Relationship Id="rId2568" Type="http://schemas.openxmlformats.org/officeDocument/2006/relationships/hyperlink" Target="https://tnezki.github.io/physics/demo/u8_4_demo/u8_4_demo_teacher_guide.html" TargetMode="External"/><Relationship Id="rId1238" Type="http://schemas.openxmlformats.org/officeDocument/2006/relationships/hyperlink" Target="https://tnezki.github.io/physics/performance_task___5134zrt/u4_4_performance_task/u4_4_performance_task_teacher_guide.html" TargetMode="External"/><Relationship Id="rId2569" Type="http://schemas.openxmlformats.org/officeDocument/2006/relationships/hyperlink" Target="https://tnezki.github.io/physics/investigations/u8_4_investigation/u8_4_investigation_teacher_guide.html" TargetMode="External"/><Relationship Id="rId1239" Type="http://schemas.openxmlformats.org/officeDocument/2006/relationships/hyperlink" Target="https://tnezki.github.io/physics/assessments_zxrtjp/unit4_assessment_plan/unit4_assessment_plan.html" TargetMode="External"/><Relationship Id="rId409" Type="http://schemas.openxmlformats.org/officeDocument/2006/relationships/hyperlink" Target="https://tnezki.github.io/physics/activities/u2_1_act1/u2_1_act1.html" TargetMode="External"/><Relationship Id="rId404" Type="http://schemas.openxmlformats.org/officeDocument/2006/relationships/hyperlink" Target="https://tnezki.github.io/physics/banks/unit2/unit2.html" TargetMode="External"/><Relationship Id="rId888" Type="http://schemas.openxmlformats.org/officeDocument/2006/relationships/hyperlink" Target="https://tnezki.github.io/physics/practice_sets/practice_sets_3_3/practice_set_3_3_2.html" TargetMode="External"/><Relationship Id="rId403" Type="http://schemas.openxmlformats.org/officeDocument/2006/relationships/hyperlink" Target="https://tnezki.github.io/physics/assessments_zxrtjp/unit2_summative/unit2_summative_assessment.html" TargetMode="External"/><Relationship Id="rId887" Type="http://schemas.openxmlformats.org/officeDocument/2006/relationships/hyperlink" Target="https://tnezki.github.io/physics/exit/exit3/exit_3.html" TargetMode="External"/><Relationship Id="rId402" Type="http://schemas.openxmlformats.org/officeDocument/2006/relationships/hyperlink" Target="https://tnezki.github.io/physics/practice_sets/practice_sets_2_1/practice_set_2_1_3.html" TargetMode="External"/><Relationship Id="rId886" Type="http://schemas.openxmlformats.org/officeDocument/2006/relationships/hyperlink" Target="https://tnezki.github.io/physics/quick_check____htq5855/u3_3_quick_check/u3_3_quick_check.html" TargetMode="External"/><Relationship Id="rId401" Type="http://schemas.openxmlformats.org/officeDocument/2006/relationships/hyperlink" Target="https://tnezki.github.io/physics/practice_sets/practice_sets_2_1/practice_set_2_1_2.html" TargetMode="External"/><Relationship Id="rId885" Type="http://schemas.openxmlformats.org/officeDocument/2006/relationships/hyperlink" Target="https://tnezki.github.io/physics/performance_task___5134zrt/u3_3_performance_task/u3_3_performance_task.html" TargetMode="External"/><Relationship Id="rId408" Type="http://schemas.openxmlformats.org/officeDocument/2006/relationships/hyperlink" Target="https://tnezki.github.io/physics/investigations/u2_1_investigation/u2_1_investigation.html" TargetMode="External"/><Relationship Id="rId407" Type="http://schemas.openxmlformats.org/officeDocument/2006/relationships/hyperlink" Target="https://tnezki.github.io/physics/notes/u2_1_notes/u2_1_notes.html" TargetMode="External"/><Relationship Id="rId406" Type="http://schemas.openxmlformats.org/officeDocument/2006/relationships/hyperlink" Target="https://tnezki.github.io/physics/demo/u2_1_demo/u2_1_demo.html" TargetMode="External"/><Relationship Id="rId405" Type="http://schemas.openxmlformats.org/officeDocument/2006/relationships/hyperlink" Target="https://tnezki.github.io/physics/warmups/unit_2_warmups/unit_2_warmups.html" TargetMode="External"/><Relationship Id="rId889" Type="http://schemas.openxmlformats.org/officeDocument/2006/relationships/hyperlink" Target="https://tnezki.github.io/physics/practice_sets/practice_sets_3_3/practice_set_3_3_3.html" TargetMode="External"/><Relationship Id="rId880" Type="http://schemas.openxmlformats.org/officeDocument/2006/relationships/hyperlink" Target="https://tnezki.github.io/physics/notes/u3_3_notes/u3_3_notes_teacher.html" TargetMode="External"/><Relationship Id="rId2560" Type="http://schemas.openxmlformats.org/officeDocument/2006/relationships/hyperlink" Target="https://tnezki.github.io/physics/investigations/u8_4_investigation/u8_4_investigation.html" TargetMode="External"/><Relationship Id="rId1230" Type="http://schemas.openxmlformats.org/officeDocument/2006/relationships/hyperlink" Target="https://tnezki.github.io/physics/practice_sets/practice_sets_4_4/practice_set_4_4.html" TargetMode="External"/><Relationship Id="rId2561" Type="http://schemas.openxmlformats.org/officeDocument/2006/relationships/hyperlink" Target="https://tnezki.github.io/physics/activities/u8_4_act1/u8_4_act1.html" TargetMode="External"/><Relationship Id="rId400" Type="http://schemas.openxmlformats.org/officeDocument/2006/relationships/hyperlink" Target="https://tnezki.github.io/physics/exit/exit2/exit_2.html" TargetMode="External"/><Relationship Id="rId884" Type="http://schemas.openxmlformats.org/officeDocument/2006/relationships/hyperlink" Target="https://tnezki.github.io/physics/assessments_zxrtjp/unit3_assessment_plan/unit3_assessment_plan.html" TargetMode="External"/><Relationship Id="rId1231" Type="http://schemas.openxmlformats.org/officeDocument/2006/relationships/hyperlink" Target="https://tnezki.github.io/physics/practice_sets/practice_sets_4_4/extra_practice_4_4.html" TargetMode="External"/><Relationship Id="rId2562" Type="http://schemas.openxmlformats.org/officeDocument/2006/relationships/hyperlink" Target="https://tnezki.github.io/physics/practice_sets/practice_sets_8_4/practice_set_8_4.html" TargetMode="External"/><Relationship Id="rId883" Type="http://schemas.openxmlformats.org/officeDocument/2006/relationships/hyperlink" Target="https://tnezki.github.io/physics/performance_task___5134zrt/u3_3_performance_task/u3_3_performance_task_teacher_guide.html" TargetMode="External"/><Relationship Id="rId1232" Type="http://schemas.openxmlformats.org/officeDocument/2006/relationships/hyperlink" Target="https://tnezki.github.io/physics/practice_sets/practice_sets_4_4/cyu_4_4.html" TargetMode="External"/><Relationship Id="rId2563" Type="http://schemas.openxmlformats.org/officeDocument/2006/relationships/hyperlink" Target="https://tnezki.github.io/physics/practice_sets/practice_sets_8_4/extra_practice_8_4.html" TargetMode="External"/><Relationship Id="rId882" Type="http://schemas.openxmlformats.org/officeDocument/2006/relationships/hyperlink" Target="https://tnezki.github.io/physics/investigations/u3_3_investigation/u3_3_investigation_teacher_guide.html" TargetMode="External"/><Relationship Id="rId1233" Type="http://schemas.openxmlformats.org/officeDocument/2006/relationships/hyperlink" Target="https://tnezki.github.io/physics/progress/unit_4_progress/unit_4_progress.html" TargetMode="External"/><Relationship Id="rId2564" Type="http://schemas.openxmlformats.org/officeDocument/2006/relationships/hyperlink" Target="https://tnezki.github.io/physics/practice_sets/practice_sets_8_4/cyu_8_4.html" TargetMode="External"/><Relationship Id="rId881" Type="http://schemas.openxmlformats.org/officeDocument/2006/relationships/hyperlink" Target="https://tnezki.github.io/physics/demo/u3_3_demo/u3_3_demo_teacher_guide.html" TargetMode="External"/><Relationship Id="rId1234" Type="http://schemas.openxmlformats.org/officeDocument/2006/relationships/hyperlink" Target="https://tnezki.github.io/physics/reviews/review4/review_4.html" TargetMode="External"/><Relationship Id="rId2565" Type="http://schemas.openxmlformats.org/officeDocument/2006/relationships/hyperlink" Target="https://tnezki.github.io/physics/progress/unit_8_progress/unit_8_progress.html" TargetMode="External"/><Relationship Id="rId1224" Type="http://schemas.openxmlformats.org/officeDocument/2006/relationships/hyperlink" Target="https://tnezki.github.io/physics/banks/unit4/unit4.html" TargetMode="External"/><Relationship Id="rId2555" Type="http://schemas.openxmlformats.org/officeDocument/2006/relationships/hyperlink" Target="https://tnezki.github.io/physics/assessments_zxrtjp/unit8_summative/unit8_summative_assessment.html" TargetMode="External"/><Relationship Id="rId1225" Type="http://schemas.openxmlformats.org/officeDocument/2006/relationships/hyperlink" Target="https://tnezki.github.io/physics/warmups/unit_4_warmups/unit_4_warmups.html" TargetMode="External"/><Relationship Id="rId2556" Type="http://schemas.openxmlformats.org/officeDocument/2006/relationships/hyperlink" Target="https://tnezki.github.io/physics/banks/unit8/unit8.html" TargetMode="External"/><Relationship Id="rId1226" Type="http://schemas.openxmlformats.org/officeDocument/2006/relationships/hyperlink" Target="https://tnezki.github.io/physics/demo/u4_4_demo/u4_4_demo.html" TargetMode="External"/><Relationship Id="rId2557" Type="http://schemas.openxmlformats.org/officeDocument/2006/relationships/hyperlink" Target="https://tnezki.github.io/physics/warmups/unit_8_warmups/unit_8_warmups.html" TargetMode="External"/><Relationship Id="rId1227" Type="http://schemas.openxmlformats.org/officeDocument/2006/relationships/hyperlink" Target="https://tnezki.github.io/physics/notes/u4_4_notes/u4_4_notes.html" TargetMode="External"/><Relationship Id="rId2558" Type="http://schemas.openxmlformats.org/officeDocument/2006/relationships/hyperlink" Target="https://tnezki.github.io/physics/demo/u8_4_demo/u8_4_demo.html" TargetMode="External"/><Relationship Id="rId1228" Type="http://schemas.openxmlformats.org/officeDocument/2006/relationships/hyperlink" Target="https://tnezki.github.io/physics/investigations/u4_4_investigation/u4_4_investigation.html" TargetMode="External"/><Relationship Id="rId2559" Type="http://schemas.openxmlformats.org/officeDocument/2006/relationships/hyperlink" Target="https://tnezki.github.io/physics/notes/u8_4_notes/u8_4_notes.html" TargetMode="External"/><Relationship Id="rId1229" Type="http://schemas.openxmlformats.org/officeDocument/2006/relationships/hyperlink" Target="https://tnezki.github.io/physics/activities/u4_4_act1/u4_4_act1.html" TargetMode="External"/><Relationship Id="rId877" Type="http://schemas.openxmlformats.org/officeDocument/2006/relationships/hyperlink" Target="https://tnezki.github.io/physics/practice_sets/practice_sets_3_3/cyu_3_3.html" TargetMode="External"/><Relationship Id="rId876" Type="http://schemas.openxmlformats.org/officeDocument/2006/relationships/hyperlink" Target="https://tnezki.github.io/physics/practice_sets/practice_sets_3_3/extra_practice_3_3.html" TargetMode="External"/><Relationship Id="rId875" Type="http://schemas.openxmlformats.org/officeDocument/2006/relationships/hyperlink" Target="https://tnezki.github.io/physics/practice_sets/practice_sets_3_3/practice_set_3_3.html" TargetMode="External"/><Relationship Id="rId874" Type="http://schemas.openxmlformats.org/officeDocument/2006/relationships/hyperlink" Target="https://tnezki.github.io/physics/activities/u3_3_act1/u3_3_act1.html" TargetMode="External"/><Relationship Id="rId879" Type="http://schemas.openxmlformats.org/officeDocument/2006/relationships/hyperlink" Target="https://tnezki.github.io/physics/reviews/review3/review_3.html" TargetMode="External"/><Relationship Id="rId878" Type="http://schemas.openxmlformats.org/officeDocument/2006/relationships/hyperlink" Target="https://tnezki.github.io/physics/progress/unit_3_progress/unit_3_progress.html" TargetMode="External"/><Relationship Id="rId2550" Type="http://schemas.openxmlformats.org/officeDocument/2006/relationships/hyperlink" Target="https://tnezki.github.io/physics/performance_task___5134zrt/u8_3_performance_task/u8_3_performance_task.html" TargetMode="External"/><Relationship Id="rId873" Type="http://schemas.openxmlformats.org/officeDocument/2006/relationships/hyperlink" Target="https://tnezki.github.io/physics/investigations/u3_3_investigation/u3_3_investigation.html" TargetMode="External"/><Relationship Id="rId1220" Type="http://schemas.openxmlformats.org/officeDocument/2006/relationships/hyperlink" Target="https://tnezki.github.io/physics/exit/exit4/exit_4.html" TargetMode="External"/><Relationship Id="rId2551" Type="http://schemas.openxmlformats.org/officeDocument/2006/relationships/hyperlink" Target="https://tnezki.github.io/physics/quick_check____htq5855/u8_3_quick_check/u8_3_quick_check.html" TargetMode="External"/><Relationship Id="rId872" Type="http://schemas.openxmlformats.org/officeDocument/2006/relationships/hyperlink" Target="https://tnezki.github.io/physics/notes/u3_3_notes/u3_3_notes.html" TargetMode="External"/><Relationship Id="rId1221" Type="http://schemas.openxmlformats.org/officeDocument/2006/relationships/hyperlink" Target="https://tnezki.github.io/physics/practice_sets/practice_sets_4_3/practice_set_4_3_2.html" TargetMode="External"/><Relationship Id="rId2552" Type="http://schemas.openxmlformats.org/officeDocument/2006/relationships/hyperlink" Target="https://tnezki.github.io/physics/exit/exit8/exit_8.html" TargetMode="External"/><Relationship Id="rId871" Type="http://schemas.openxmlformats.org/officeDocument/2006/relationships/hyperlink" Target="https://tnezki.github.io/physics/demo/u3_3_demo/u3_3_demo.html" TargetMode="External"/><Relationship Id="rId1222" Type="http://schemas.openxmlformats.org/officeDocument/2006/relationships/hyperlink" Target="https://tnezki.github.io/physics/practice_sets/practice_sets_4_3/practice_set_4_3_3.html" TargetMode="External"/><Relationship Id="rId2553" Type="http://schemas.openxmlformats.org/officeDocument/2006/relationships/hyperlink" Target="https://tnezki.github.io/physics/practice_sets/practice_sets_8_3/practice_set_8_3_2.html" TargetMode="External"/><Relationship Id="rId870" Type="http://schemas.openxmlformats.org/officeDocument/2006/relationships/hyperlink" Target="https://tnezki.github.io/physics/warmups/unit_3_warmups/unit_3_warmups.html" TargetMode="External"/><Relationship Id="rId1223" Type="http://schemas.openxmlformats.org/officeDocument/2006/relationships/hyperlink" Target="https://tnezki.github.io/physics/assessments_zxrtjp/unit4_summative/unit4_summative_assessment.html" TargetMode="External"/><Relationship Id="rId2554" Type="http://schemas.openxmlformats.org/officeDocument/2006/relationships/hyperlink" Target="https://tnezki.github.io/physics/practice_sets/practice_sets_8_3/practice_set_8_3_3.html" TargetMode="External"/><Relationship Id="rId1653" Type="http://schemas.openxmlformats.org/officeDocument/2006/relationships/hyperlink" Target="https://tnezki.github.io/physics/practice_sets/practice_sets_5_5/cyu_5_5.html" TargetMode="External"/><Relationship Id="rId2500" Type="http://schemas.openxmlformats.org/officeDocument/2006/relationships/hyperlink" Target="https://tnezki.github.io/physics/reviews/review8/review_8.html" TargetMode="External"/><Relationship Id="rId1654" Type="http://schemas.openxmlformats.org/officeDocument/2006/relationships/hyperlink" Target="https://tnezki.github.io/physics/progress/unit_5_progress/unit_5_progress.html" TargetMode="External"/><Relationship Id="rId2501" Type="http://schemas.openxmlformats.org/officeDocument/2006/relationships/hyperlink" Target="https://tnezki.github.io/physics/notes/u8_3_notes/u8_3_notes_teacher.html" TargetMode="External"/><Relationship Id="rId1655" Type="http://schemas.openxmlformats.org/officeDocument/2006/relationships/hyperlink" Target="https://tnezki.github.io/physics/reviews/review5/review_5.html" TargetMode="External"/><Relationship Id="rId2502" Type="http://schemas.openxmlformats.org/officeDocument/2006/relationships/hyperlink" Target="https://tnezki.github.io/physics/demo/u8_3_demo/u8_3_demo_teacher_guide.html" TargetMode="External"/><Relationship Id="rId1656" Type="http://schemas.openxmlformats.org/officeDocument/2006/relationships/hyperlink" Target="https://tnezki.github.io/physics/notes/u5_5_notes/u5_5_notes_teacher.html" TargetMode="External"/><Relationship Id="rId2503" Type="http://schemas.openxmlformats.org/officeDocument/2006/relationships/hyperlink" Target="https://tnezki.github.io/physics/investigations/u8_3_investigation/u8_3_investigation_teacher_guide.html" TargetMode="External"/><Relationship Id="rId1657" Type="http://schemas.openxmlformats.org/officeDocument/2006/relationships/hyperlink" Target="https://tnezki.github.io/physics/demo/u5_5_demo/u5_5_demo_teacher_guide.html" TargetMode="External"/><Relationship Id="rId2504" Type="http://schemas.openxmlformats.org/officeDocument/2006/relationships/hyperlink" Target="https://tnezki.github.io/physics/performance_task___5134zrt/u8_3_performance_task/u8_3_performance_task_teacher_guide.html" TargetMode="External"/><Relationship Id="rId1658" Type="http://schemas.openxmlformats.org/officeDocument/2006/relationships/hyperlink" Target="https://tnezki.github.io/physics/investigations/u5_5_investigation/u5_5_investigation_teacher_guide.html" TargetMode="External"/><Relationship Id="rId2505" Type="http://schemas.openxmlformats.org/officeDocument/2006/relationships/hyperlink" Target="https://tnezki.github.io/physics/assessments_zxrtjp/unit8_assessment_plan/unit8_assessment_plan.html" TargetMode="External"/><Relationship Id="rId1659" Type="http://schemas.openxmlformats.org/officeDocument/2006/relationships/hyperlink" Target="https://tnezki.github.io/physics/performance_task___5134zrt/u5_5_performance_task/u5_5_performance_task_teacher_guide.html" TargetMode="External"/><Relationship Id="rId2506" Type="http://schemas.openxmlformats.org/officeDocument/2006/relationships/hyperlink" Target="https://tnezki.github.io/physics/performance_task___5134zrt/u8_3_performance_task/u8_3_performance_task.html" TargetMode="External"/><Relationship Id="rId2507" Type="http://schemas.openxmlformats.org/officeDocument/2006/relationships/hyperlink" Target="https://tnezki.github.io/physics/quick_check____htq5855/u8_3_quick_check/u8_3_quick_check.html" TargetMode="External"/><Relationship Id="rId2508" Type="http://schemas.openxmlformats.org/officeDocument/2006/relationships/hyperlink" Target="https://tnezki.github.io/physics/exit/exit8/exit_8.html" TargetMode="External"/><Relationship Id="rId829" Type="http://schemas.openxmlformats.org/officeDocument/2006/relationships/hyperlink" Target="https://tnezki.github.io/physics/investigations/u3_3_investigation/u3_3_investigation.html" TargetMode="External"/><Relationship Id="rId2509" Type="http://schemas.openxmlformats.org/officeDocument/2006/relationships/hyperlink" Target="https://tnezki.github.io/physics/practice_sets/practice_sets_8_3/practice_set_8_3_2.html" TargetMode="External"/><Relationship Id="rId828" Type="http://schemas.openxmlformats.org/officeDocument/2006/relationships/hyperlink" Target="https://tnezki.github.io/physics/notes/u3_3_notes/u3_3_notes.html" TargetMode="External"/><Relationship Id="rId827" Type="http://schemas.openxmlformats.org/officeDocument/2006/relationships/hyperlink" Target="https://tnezki.github.io/physics/demo/u3_3_demo/u3_3_demo.html" TargetMode="External"/><Relationship Id="rId822" Type="http://schemas.openxmlformats.org/officeDocument/2006/relationships/hyperlink" Target="https://tnezki.github.io/physics/practice_sets/practice_sets_3_2/practice_set_3_2_2.html" TargetMode="External"/><Relationship Id="rId821" Type="http://schemas.openxmlformats.org/officeDocument/2006/relationships/hyperlink" Target="https://tnezki.github.io/physics/exit/exit3/exit_3.html" TargetMode="External"/><Relationship Id="rId820" Type="http://schemas.openxmlformats.org/officeDocument/2006/relationships/hyperlink" Target="https://tnezki.github.io/physics/quick_check____htq5855/u3_2_quick_check/u3_2_quick_check.html" TargetMode="External"/><Relationship Id="rId826" Type="http://schemas.openxmlformats.org/officeDocument/2006/relationships/hyperlink" Target="https://tnezki.github.io/physics/warmups/unit_3_warmups/unit_3_warmups.html" TargetMode="External"/><Relationship Id="rId825" Type="http://schemas.openxmlformats.org/officeDocument/2006/relationships/hyperlink" Target="https://tnezki.github.io/physics/banks/unit3/unit3.html" TargetMode="External"/><Relationship Id="rId824" Type="http://schemas.openxmlformats.org/officeDocument/2006/relationships/hyperlink" Target="https://tnezki.github.io/physics/assessments_zxrtjp/unit3_summative/unit3_summative_assessment.html" TargetMode="External"/><Relationship Id="rId823" Type="http://schemas.openxmlformats.org/officeDocument/2006/relationships/hyperlink" Target="https://tnezki.github.io/physics/practice_sets/practice_sets_3_2/practice_set_3_2_3.html" TargetMode="External"/><Relationship Id="rId1650" Type="http://schemas.openxmlformats.org/officeDocument/2006/relationships/hyperlink" Target="https://tnezki.github.io/physics/activities/u5_5_act1/u5_5_act1.html" TargetMode="External"/><Relationship Id="rId1651" Type="http://schemas.openxmlformats.org/officeDocument/2006/relationships/hyperlink" Target="https://tnezki.github.io/physics/practice_sets/practice_sets_5_5/practice_set_5_5.html" TargetMode="External"/><Relationship Id="rId1652" Type="http://schemas.openxmlformats.org/officeDocument/2006/relationships/hyperlink" Target="https://tnezki.github.io/physics/practice_sets/practice_sets_5_5/extra_practice_5_5.html" TargetMode="External"/><Relationship Id="rId1642" Type="http://schemas.openxmlformats.org/officeDocument/2006/relationships/hyperlink" Target="https://tnezki.github.io/physics/practice_sets/practice_sets_5_5/practice_set_5_5_2.html" TargetMode="External"/><Relationship Id="rId1643" Type="http://schemas.openxmlformats.org/officeDocument/2006/relationships/hyperlink" Target="https://tnezki.github.io/physics/practice_sets/practice_sets_5_5/practice_set_5_5_3.html" TargetMode="External"/><Relationship Id="rId1644" Type="http://schemas.openxmlformats.org/officeDocument/2006/relationships/hyperlink" Target="https://tnezki.github.io/physics/assessments_zxrtjp/unit5_summative/unit5_summative_assessment.html" TargetMode="External"/><Relationship Id="rId1645" Type="http://schemas.openxmlformats.org/officeDocument/2006/relationships/hyperlink" Target="https://tnezki.github.io/physics/banks/unit5/unit5.html" TargetMode="External"/><Relationship Id="rId1646" Type="http://schemas.openxmlformats.org/officeDocument/2006/relationships/hyperlink" Target="https://tnezki.github.io/physics/warmups/unit_5_warmups/unit_5_warmups.html" TargetMode="External"/><Relationship Id="rId1647" Type="http://schemas.openxmlformats.org/officeDocument/2006/relationships/hyperlink" Target="https://tnezki.github.io/physics/demo/u5_5_demo/u5_5_demo.html" TargetMode="External"/><Relationship Id="rId1648" Type="http://schemas.openxmlformats.org/officeDocument/2006/relationships/hyperlink" Target="https://tnezki.github.io/physics/notes/u5_5_notes/u5_5_notes.html" TargetMode="External"/><Relationship Id="rId1649" Type="http://schemas.openxmlformats.org/officeDocument/2006/relationships/hyperlink" Target="https://tnezki.github.io/physics/investigations/u5_5_investigation/u5_5_investigation.html" TargetMode="External"/><Relationship Id="rId819" Type="http://schemas.openxmlformats.org/officeDocument/2006/relationships/hyperlink" Target="https://tnezki.github.io/physics/performance_task___5134zrt/u3_2_performance_task/u3_2_performance_task.html" TargetMode="External"/><Relationship Id="rId818" Type="http://schemas.openxmlformats.org/officeDocument/2006/relationships/hyperlink" Target="https://tnezki.github.io/physics/assessments_zxrtjp/unit3_assessment_plan/unit3_assessment_plan.html" TargetMode="External"/><Relationship Id="rId817" Type="http://schemas.openxmlformats.org/officeDocument/2006/relationships/hyperlink" Target="https://tnezki.github.io/physics/performance_task___5134zrt/u3_2_performance_task/u3_2_performance_task_teacher_guide.html" TargetMode="External"/><Relationship Id="rId816" Type="http://schemas.openxmlformats.org/officeDocument/2006/relationships/hyperlink" Target="https://tnezki.github.io/physics/investigations/u3_2_investigation/u3_2_investigation_teacher_guide.html" TargetMode="External"/><Relationship Id="rId811" Type="http://schemas.openxmlformats.org/officeDocument/2006/relationships/hyperlink" Target="https://tnezki.github.io/physics/practice_sets/practice_sets_3_2/cyu_3_2.html" TargetMode="External"/><Relationship Id="rId810" Type="http://schemas.openxmlformats.org/officeDocument/2006/relationships/hyperlink" Target="https://tnezki.github.io/physics/practice_sets/practice_sets_3_2/extra_practice_3_2.html" TargetMode="External"/><Relationship Id="rId815" Type="http://schemas.openxmlformats.org/officeDocument/2006/relationships/hyperlink" Target="https://tnezki.github.io/physics/demo/u3_2_demo/u3_2_demo_teacher_guide.html" TargetMode="External"/><Relationship Id="rId814" Type="http://schemas.openxmlformats.org/officeDocument/2006/relationships/hyperlink" Target="https://tnezki.github.io/physics/notes/u3_2_notes/u3_2_notes_teacher.html" TargetMode="External"/><Relationship Id="rId813" Type="http://schemas.openxmlformats.org/officeDocument/2006/relationships/hyperlink" Target="https://tnezki.github.io/physics/reviews/review3/review_3.html" TargetMode="External"/><Relationship Id="rId812" Type="http://schemas.openxmlformats.org/officeDocument/2006/relationships/hyperlink" Target="https://tnezki.github.io/physics/progress/unit_3_progress/unit_3_progress.html" TargetMode="External"/><Relationship Id="rId1640" Type="http://schemas.openxmlformats.org/officeDocument/2006/relationships/hyperlink" Target="https://tnezki.github.io/physics/quick_check____htq5855/u5_5_quick_check/u5_5_quick_check.html" TargetMode="External"/><Relationship Id="rId1641" Type="http://schemas.openxmlformats.org/officeDocument/2006/relationships/hyperlink" Target="https://tnezki.github.io/physics/exit/exit5/exit_5.html" TargetMode="External"/><Relationship Id="rId1675" Type="http://schemas.openxmlformats.org/officeDocument/2006/relationships/hyperlink" Target="https://tnezki.github.io/physics/practice_sets/practice_sets_5_5/cyu_5_5.html" TargetMode="External"/><Relationship Id="rId2522" Type="http://schemas.openxmlformats.org/officeDocument/2006/relationships/hyperlink" Target="https://tnezki.github.io/physics/reviews/review8/review_8.html" TargetMode="External"/><Relationship Id="rId1676" Type="http://schemas.openxmlformats.org/officeDocument/2006/relationships/hyperlink" Target="https://tnezki.github.io/physics/progress/unit_5_progress/unit_5_progress.html" TargetMode="External"/><Relationship Id="rId2523" Type="http://schemas.openxmlformats.org/officeDocument/2006/relationships/hyperlink" Target="https://tnezki.github.io/physics/notes/u8_3_notes/u8_3_notes_teacher.html" TargetMode="External"/><Relationship Id="rId1677" Type="http://schemas.openxmlformats.org/officeDocument/2006/relationships/hyperlink" Target="https://tnezki.github.io/physics/reviews/review5/review_5.html" TargetMode="External"/><Relationship Id="rId2524" Type="http://schemas.openxmlformats.org/officeDocument/2006/relationships/hyperlink" Target="https://tnezki.github.io/physics/demo/u8_3_demo/u8_3_demo_teacher_guide.html" TargetMode="External"/><Relationship Id="rId1678" Type="http://schemas.openxmlformats.org/officeDocument/2006/relationships/hyperlink" Target="https://tnezki.github.io/physics/notes/u5_5_notes/u5_5_notes_teacher.html" TargetMode="External"/><Relationship Id="rId2525" Type="http://schemas.openxmlformats.org/officeDocument/2006/relationships/hyperlink" Target="https://tnezki.github.io/physics/investigations/u8_3_investigation/u8_3_investigation_teacher_guide.html" TargetMode="External"/><Relationship Id="rId1679" Type="http://schemas.openxmlformats.org/officeDocument/2006/relationships/hyperlink" Target="https://tnezki.github.io/physics/demo/u5_5_demo/u5_5_demo_teacher_guide.html" TargetMode="External"/><Relationship Id="rId2526" Type="http://schemas.openxmlformats.org/officeDocument/2006/relationships/hyperlink" Target="https://tnezki.github.io/physics/performance_task___5134zrt/u8_3_performance_task/u8_3_performance_task_teacher_guide.html" TargetMode="External"/><Relationship Id="rId2527" Type="http://schemas.openxmlformats.org/officeDocument/2006/relationships/hyperlink" Target="https://tnezki.github.io/physics/assessments_zxrtjp/unit8_assessment_plan/unit8_assessment_plan.html" TargetMode="External"/><Relationship Id="rId2528" Type="http://schemas.openxmlformats.org/officeDocument/2006/relationships/hyperlink" Target="https://tnezki.github.io/physics/performance_task___5134zrt/u8_3_performance_task/u8_3_performance_task.html" TargetMode="External"/><Relationship Id="rId2529" Type="http://schemas.openxmlformats.org/officeDocument/2006/relationships/hyperlink" Target="https://tnezki.github.io/physics/quick_check____htq5855/u8_3_quick_check/u8_3_quick_check.html" TargetMode="External"/><Relationship Id="rId849" Type="http://schemas.openxmlformats.org/officeDocument/2006/relationships/hyperlink" Target="https://tnezki.github.io/physics/demo/u3_3_demo/u3_3_demo.html" TargetMode="External"/><Relationship Id="rId844" Type="http://schemas.openxmlformats.org/officeDocument/2006/relationships/hyperlink" Target="https://tnezki.github.io/physics/practice_sets/practice_sets_3_3/practice_set_3_3_2.html" TargetMode="External"/><Relationship Id="rId843" Type="http://schemas.openxmlformats.org/officeDocument/2006/relationships/hyperlink" Target="https://tnezki.github.io/physics/exit/exit3/exit_3.html" TargetMode="External"/><Relationship Id="rId842" Type="http://schemas.openxmlformats.org/officeDocument/2006/relationships/hyperlink" Target="https://tnezki.github.io/physics/quick_check____htq5855/u3_3_quick_check/u3_3_quick_check.html" TargetMode="External"/><Relationship Id="rId841" Type="http://schemas.openxmlformats.org/officeDocument/2006/relationships/hyperlink" Target="https://tnezki.github.io/physics/performance_task___5134zrt/u3_3_performance_task/u3_3_performance_task.html" TargetMode="External"/><Relationship Id="rId848" Type="http://schemas.openxmlformats.org/officeDocument/2006/relationships/hyperlink" Target="https://tnezki.github.io/physics/warmups/unit_3_warmups/unit_3_warmups.html" TargetMode="External"/><Relationship Id="rId847" Type="http://schemas.openxmlformats.org/officeDocument/2006/relationships/hyperlink" Target="https://tnezki.github.io/physics/banks/unit3/unit3.html" TargetMode="External"/><Relationship Id="rId846" Type="http://schemas.openxmlformats.org/officeDocument/2006/relationships/hyperlink" Target="https://tnezki.github.io/physics/assessments_zxrtjp/unit3_summative/unit3_summative_assessment.html" TargetMode="External"/><Relationship Id="rId845" Type="http://schemas.openxmlformats.org/officeDocument/2006/relationships/hyperlink" Target="https://tnezki.github.io/physics/practice_sets/practice_sets_3_3/practice_set_3_3_3.html" TargetMode="External"/><Relationship Id="rId1670" Type="http://schemas.openxmlformats.org/officeDocument/2006/relationships/hyperlink" Target="https://tnezki.github.io/physics/notes/u5_5_notes/u5_5_notes.html" TargetMode="External"/><Relationship Id="rId840" Type="http://schemas.openxmlformats.org/officeDocument/2006/relationships/hyperlink" Target="https://tnezki.github.io/physics/assessments_zxrtjp/unit3_assessment_plan/unit3_assessment_plan.html" TargetMode="External"/><Relationship Id="rId1671" Type="http://schemas.openxmlformats.org/officeDocument/2006/relationships/hyperlink" Target="https://tnezki.github.io/physics/investigations/u5_5_investigation/u5_5_investigation.html" TargetMode="External"/><Relationship Id="rId1672" Type="http://schemas.openxmlformats.org/officeDocument/2006/relationships/hyperlink" Target="https://tnezki.github.io/physics/activities/u5_5_act1/u5_5_act1.html" TargetMode="External"/><Relationship Id="rId1673" Type="http://schemas.openxmlformats.org/officeDocument/2006/relationships/hyperlink" Target="https://tnezki.github.io/physics/practice_sets/practice_sets_5_5/practice_set_5_5.html" TargetMode="External"/><Relationship Id="rId2520" Type="http://schemas.openxmlformats.org/officeDocument/2006/relationships/hyperlink" Target="https://tnezki.github.io/physics/practice_sets/practice_sets_8_3/cyu_8_3.html" TargetMode="External"/><Relationship Id="rId1674" Type="http://schemas.openxmlformats.org/officeDocument/2006/relationships/hyperlink" Target="https://tnezki.github.io/physics/practice_sets/practice_sets_5_5/extra_practice_5_5.html" TargetMode="External"/><Relationship Id="rId2521" Type="http://schemas.openxmlformats.org/officeDocument/2006/relationships/hyperlink" Target="https://tnezki.github.io/physics/progress/unit_8_progress/unit_8_progress.html" TargetMode="External"/><Relationship Id="rId1664" Type="http://schemas.openxmlformats.org/officeDocument/2006/relationships/hyperlink" Target="https://tnezki.github.io/physics/practice_sets/practice_sets_5_5/practice_set_5_5_2.html" TargetMode="External"/><Relationship Id="rId2511" Type="http://schemas.openxmlformats.org/officeDocument/2006/relationships/hyperlink" Target="https://tnezki.github.io/physics/assessments_zxrtjp/unit8_summative/unit8_summative_assessment.html" TargetMode="External"/><Relationship Id="rId1665" Type="http://schemas.openxmlformats.org/officeDocument/2006/relationships/hyperlink" Target="https://tnezki.github.io/physics/practice_sets/practice_sets_5_5/practice_set_5_5_3.html" TargetMode="External"/><Relationship Id="rId2512" Type="http://schemas.openxmlformats.org/officeDocument/2006/relationships/hyperlink" Target="https://tnezki.github.io/physics/banks/unit8/unit8.html" TargetMode="External"/><Relationship Id="rId1666" Type="http://schemas.openxmlformats.org/officeDocument/2006/relationships/hyperlink" Target="https://tnezki.github.io/physics/assessments_zxrtjp/unit5_summative/unit5_summative_assessment.html" TargetMode="External"/><Relationship Id="rId2513" Type="http://schemas.openxmlformats.org/officeDocument/2006/relationships/hyperlink" Target="https://tnezki.github.io/physics/warmups/unit_8_warmups/unit_8_warmups.html" TargetMode="External"/><Relationship Id="rId1667" Type="http://schemas.openxmlformats.org/officeDocument/2006/relationships/hyperlink" Target="https://tnezki.github.io/physics/banks/unit5/unit5.html" TargetMode="External"/><Relationship Id="rId2514" Type="http://schemas.openxmlformats.org/officeDocument/2006/relationships/hyperlink" Target="https://tnezki.github.io/physics/demo/u8_3_demo/u8_3_demo.html" TargetMode="External"/><Relationship Id="rId1668" Type="http://schemas.openxmlformats.org/officeDocument/2006/relationships/hyperlink" Target="https://tnezki.github.io/physics/warmups/unit_5_warmups/unit_5_warmups.html" TargetMode="External"/><Relationship Id="rId2515" Type="http://schemas.openxmlformats.org/officeDocument/2006/relationships/hyperlink" Target="https://tnezki.github.io/physics/notes/u8_3_notes/u8_3_notes.html" TargetMode="External"/><Relationship Id="rId1669" Type="http://schemas.openxmlformats.org/officeDocument/2006/relationships/hyperlink" Target="https://tnezki.github.io/physics/demo/u5_5_demo/u5_5_demo.html" TargetMode="External"/><Relationship Id="rId2516" Type="http://schemas.openxmlformats.org/officeDocument/2006/relationships/hyperlink" Target="https://tnezki.github.io/physics/investigations/u8_3_investigation/u8_3_investigation.html" TargetMode="External"/><Relationship Id="rId2517" Type="http://schemas.openxmlformats.org/officeDocument/2006/relationships/hyperlink" Target="https://tnezki.github.io/physics/activities/u8_3_act1/u8_3_act1.html" TargetMode="External"/><Relationship Id="rId2518" Type="http://schemas.openxmlformats.org/officeDocument/2006/relationships/hyperlink" Target="https://tnezki.github.io/physics/practice_sets/practice_sets_8_3/practice_set_8_3.html" TargetMode="External"/><Relationship Id="rId2519" Type="http://schemas.openxmlformats.org/officeDocument/2006/relationships/hyperlink" Target="https://tnezki.github.io/physics/practice_sets/practice_sets_8_3/extra_practice_8_3.html" TargetMode="External"/><Relationship Id="rId839" Type="http://schemas.openxmlformats.org/officeDocument/2006/relationships/hyperlink" Target="https://tnezki.github.io/physics/performance_task___5134zrt/u3_3_performance_task/u3_3_performance_task_teacher_guide.html" TargetMode="External"/><Relationship Id="rId838" Type="http://schemas.openxmlformats.org/officeDocument/2006/relationships/hyperlink" Target="https://tnezki.github.io/physics/investigations/u3_3_investigation/u3_3_investigation_teacher_guide.html" TargetMode="External"/><Relationship Id="rId833" Type="http://schemas.openxmlformats.org/officeDocument/2006/relationships/hyperlink" Target="https://tnezki.github.io/physics/practice_sets/practice_sets_3_3/cyu_3_3.html" TargetMode="External"/><Relationship Id="rId832" Type="http://schemas.openxmlformats.org/officeDocument/2006/relationships/hyperlink" Target="https://tnezki.github.io/physics/practice_sets/practice_sets_3_3/extra_practice_3_3.html" TargetMode="External"/><Relationship Id="rId831" Type="http://schemas.openxmlformats.org/officeDocument/2006/relationships/hyperlink" Target="https://tnezki.github.io/physics/practice_sets/practice_sets_3_3/practice_set_3_3.html" TargetMode="External"/><Relationship Id="rId830" Type="http://schemas.openxmlformats.org/officeDocument/2006/relationships/hyperlink" Target="https://tnezki.github.io/physics/activities/u3_3_act1/u3_3_act1.html" TargetMode="External"/><Relationship Id="rId837" Type="http://schemas.openxmlformats.org/officeDocument/2006/relationships/hyperlink" Target="https://tnezki.github.io/physics/demo/u3_3_demo/u3_3_demo_teacher_guide.html" TargetMode="External"/><Relationship Id="rId836" Type="http://schemas.openxmlformats.org/officeDocument/2006/relationships/hyperlink" Target="https://tnezki.github.io/physics/notes/u3_3_notes/u3_3_notes_teacher.html" TargetMode="External"/><Relationship Id="rId835" Type="http://schemas.openxmlformats.org/officeDocument/2006/relationships/hyperlink" Target="https://tnezki.github.io/physics/reviews/review3/review_3.html" TargetMode="External"/><Relationship Id="rId834" Type="http://schemas.openxmlformats.org/officeDocument/2006/relationships/hyperlink" Target="https://tnezki.github.io/physics/progress/unit_3_progress/unit_3_progress.html" TargetMode="External"/><Relationship Id="rId1660" Type="http://schemas.openxmlformats.org/officeDocument/2006/relationships/hyperlink" Target="https://tnezki.github.io/physics/assessments_zxrtjp/unit5_assessment_plan/unit5_assessment_plan.html" TargetMode="External"/><Relationship Id="rId1661" Type="http://schemas.openxmlformats.org/officeDocument/2006/relationships/hyperlink" Target="https://tnezki.github.io/physics/performance_task___5134zrt/u5_5_performance_task/u5_5_performance_task.html" TargetMode="External"/><Relationship Id="rId1662" Type="http://schemas.openxmlformats.org/officeDocument/2006/relationships/hyperlink" Target="https://tnezki.github.io/physics/quick_check____htq5855/u5_5_quick_check/u5_5_quick_check.html" TargetMode="External"/><Relationship Id="rId1663" Type="http://schemas.openxmlformats.org/officeDocument/2006/relationships/hyperlink" Target="https://tnezki.github.io/physics/exit/exit5/exit_5.html" TargetMode="External"/><Relationship Id="rId2510" Type="http://schemas.openxmlformats.org/officeDocument/2006/relationships/hyperlink" Target="https://tnezki.github.io/physics/practice_sets/practice_sets_8_3/practice_set_8_3_3.html" TargetMode="External"/><Relationship Id="rId2148" Type="http://schemas.openxmlformats.org/officeDocument/2006/relationships/hyperlink" Target="https://tnezki.github.io/physics/investigations/u7_2_investigation/u7_2_investigation_teacher_guide.html" TargetMode="External"/><Relationship Id="rId2149" Type="http://schemas.openxmlformats.org/officeDocument/2006/relationships/hyperlink" Target="https://tnezki.github.io/physics/performance_task___5134zrt/u7_2_performance_task/u7_2_performance_task_teacher_guide.html" TargetMode="External"/><Relationship Id="rId469" Type="http://schemas.openxmlformats.org/officeDocument/2006/relationships/hyperlink" Target="https://tnezki.github.io/physics/assessments_zxrtjp/unit2_summative/unit2_summative_assessment.html" TargetMode="External"/><Relationship Id="rId468" Type="http://schemas.openxmlformats.org/officeDocument/2006/relationships/hyperlink" Target="https://tnezki.github.io/physics/practice_sets/practice_sets_2_2/practice_set_2_2_3.html" TargetMode="External"/><Relationship Id="rId467" Type="http://schemas.openxmlformats.org/officeDocument/2006/relationships/hyperlink" Target="https://tnezki.github.io/physics/practice_sets/practice_sets_2_2/practice_set_2_2_2.html" TargetMode="External"/><Relationship Id="rId1290" Type="http://schemas.openxmlformats.org/officeDocument/2006/relationships/hyperlink" Target="https://tnezki.github.io/physics/banks/unit4/unit4.html" TargetMode="External"/><Relationship Id="rId1291" Type="http://schemas.openxmlformats.org/officeDocument/2006/relationships/hyperlink" Target="https://tnezki.github.io/physics/warmups/unit_4_warmups/unit_4_warmups.html" TargetMode="External"/><Relationship Id="rId1292" Type="http://schemas.openxmlformats.org/officeDocument/2006/relationships/hyperlink" Target="https://tnezki.github.io/physics/demo/u4_5_demo/u4_5_demo.html" TargetMode="External"/><Relationship Id="rId462" Type="http://schemas.openxmlformats.org/officeDocument/2006/relationships/hyperlink" Target="https://tnezki.github.io/physics/performance_task___5134zrt/u2_2_performance_task/u2_2_performance_task_teacher_guide.html" TargetMode="External"/><Relationship Id="rId1293" Type="http://schemas.openxmlformats.org/officeDocument/2006/relationships/hyperlink" Target="https://tnezki.github.io/physics/notes/u4_5_notes/u4_5_notes.html" TargetMode="External"/><Relationship Id="rId2140" Type="http://schemas.openxmlformats.org/officeDocument/2006/relationships/hyperlink" Target="https://tnezki.github.io/physics/activities/u7_2_act1/u7_2_act1.html" TargetMode="External"/><Relationship Id="rId461" Type="http://schemas.openxmlformats.org/officeDocument/2006/relationships/hyperlink" Target="https://tnezki.github.io/physics/investigations/u2_2_investigation/u2_2_investigation_teacher_guide.html" TargetMode="External"/><Relationship Id="rId1294" Type="http://schemas.openxmlformats.org/officeDocument/2006/relationships/hyperlink" Target="https://tnezki.github.io/physics/investigations/u4_5_investigation/u4_5_investigation.html" TargetMode="External"/><Relationship Id="rId2141" Type="http://schemas.openxmlformats.org/officeDocument/2006/relationships/hyperlink" Target="https://tnezki.github.io/physics/practice_sets/practice_sets_7_2/practice_set_7_2.html" TargetMode="External"/><Relationship Id="rId460" Type="http://schemas.openxmlformats.org/officeDocument/2006/relationships/hyperlink" Target="https://tnezki.github.io/physics/demo/u2_2_demo/u2_2_demo_teacher_guide.html" TargetMode="External"/><Relationship Id="rId1295" Type="http://schemas.openxmlformats.org/officeDocument/2006/relationships/hyperlink" Target="https://tnezki.github.io/physics/activities/u4_5_act1/u4_5_act1.html" TargetMode="External"/><Relationship Id="rId2142" Type="http://schemas.openxmlformats.org/officeDocument/2006/relationships/hyperlink" Target="https://tnezki.github.io/physics/practice_sets/practice_sets_7_2/extra_practice_7_2.html" TargetMode="External"/><Relationship Id="rId1296" Type="http://schemas.openxmlformats.org/officeDocument/2006/relationships/hyperlink" Target="https://tnezki.github.io/physics/practice_sets/practice_sets_4_5/practice_set_4_5.html" TargetMode="External"/><Relationship Id="rId2143" Type="http://schemas.openxmlformats.org/officeDocument/2006/relationships/hyperlink" Target="https://tnezki.github.io/physics/practice_sets/practice_sets_7_2/cyu_7_2.html" TargetMode="External"/><Relationship Id="rId466" Type="http://schemas.openxmlformats.org/officeDocument/2006/relationships/hyperlink" Target="https://tnezki.github.io/physics/exit/exit2/exit_2.html" TargetMode="External"/><Relationship Id="rId1297" Type="http://schemas.openxmlformats.org/officeDocument/2006/relationships/hyperlink" Target="https://tnezki.github.io/physics/practice_sets/practice_sets_4_5/extra_practice_4_5.html" TargetMode="External"/><Relationship Id="rId2144" Type="http://schemas.openxmlformats.org/officeDocument/2006/relationships/hyperlink" Target="https://tnezki.github.io/physics/progress/unit_7_progress/unit_7_progress.html" TargetMode="External"/><Relationship Id="rId465" Type="http://schemas.openxmlformats.org/officeDocument/2006/relationships/hyperlink" Target="https://tnezki.github.io/physics/quick_check____htq5855/u2_2_quick_check/u2_2_quick_check.html" TargetMode="External"/><Relationship Id="rId1298" Type="http://schemas.openxmlformats.org/officeDocument/2006/relationships/hyperlink" Target="https://tnezki.github.io/physics/practice_sets/practice_sets_4_5/cyu_4_5.html" TargetMode="External"/><Relationship Id="rId2145" Type="http://schemas.openxmlformats.org/officeDocument/2006/relationships/hyperlink" Target="https://tnezki.github.io/physics/reviews/review7/review_7.html" TargetMode="External"/><Relationship Id="rId464" Type="http://schemas.openxmlformats.org/officeDocument/2006/relationships/hyperlink" Target="https://tnezki.github.io/physics/performance_task___5134zrt/u2_2_performance_task/u2_2_performance_task.html" TargetMode="External"/><Relationship Id="rId1299" Type="http://schemas.openxmlformats.org/officeDocument/2006/relationships/hyperlink" Target="https://tnezki.github.io/physics/progress/unit_4_progress/unit_4_progress.html" TargetMode="External"/><Relationship Id="rId2146" Type="http://schemas.openxmlformats.org/officeDocument/2006/relationships/hyperlink" Target="https://tnezki.github.io/physics/notes/u7_2_notes/u7_2_notes_teacher.html" TargetMode="External"/><Relationship Id="rId463" Type="http://schemas.openxmlformats.org/officeDocument/2006/relationships/hyperlink" Target="https://tnezki.github.io/physics/assessments_zxrtjp/unit2_assessment_plan/unit2_assessment_plan.html" TargetMode="External"/><Relationship Id="rId2147" Type="http://schemas.openxmlformats.org/officeDocument/2006/relationships/hyperlink" Target="https://tnezki.github.io/physics/demo/u7_2_demo/u7_2_demo_teacher_guide.html" TargetMode="External"/><Relationship Id="rId2137" Type="http://schemas.openxmlformats.org/officeDocument/2006/relationships/hyperlink" Target="https://tnezki.github.io/physics/demo/u7_2_demo/u7_2_demo.html" TargetMode="External"/><Relationship Id="rId2138" Type="http://schemas.openxmlformats.org/officeDocument/2006/relationships/hyperlink" Target="https://tnezki.github.io/physics/notes/u7_2_notes/u7_2_notes.html" TargetMode="External"/><Relationship Id="rId2139" Type="http://schemas.openxmlformats.org/officeDocument/2006/relationships/hyperlink" Target="https://tnezki.github.io/physics/investigations/u7_2_investigation/u7_2_investigation.html" TargetMode="External"/><Relationship Id="rId459" Type="http://schemas.openxmlformats.org/officeDocument/2006/relationships/hyperlink" Target="https://tnezki.github.io/physics/notes/u2_2_notes/u2_2_notes_teacher.html" TargetMode="External"/><Relationship Id="rId458" Type="http://schemas.openxmlformats.org/officeDocument/2006/relationships/hyperlink" Target="https://tnezki.github.io/physics/reviews/review2/review_2.html" TargetMode="External"/><Relationship Id="rId457" Type="http://schemas.openxmlformats.org/officeDocument/2006/relationships/hyperlink" Target="https://tnezki.github.io/physics/progress/unit_2_progress/unit_2_progress.html" TargetMode="External"/><Relationship Id="rId456" Type="http://schemas.openxmlformats.org/officeDocument/2006/relationships/hyperlink" Target="https://tnezki.github.io/physics/practice_sets/practice_sets_2_2/cyu_2_2.html" TargetMode="External"/><Relationship Id="rId1280" Type="http://schemas.openxmlformats.org/officeDocument/2006/relationships/hyperlink" Target="https://tnezki.github.io/physics/demo/u4_4_demo/u4_4_demo_teacher_guide.html" TargetMode="External"/><Relationship Id="rId1281" Type="http://schemas.openxmlformats.org/officeDocument/2006/relationships/hyperlink" Target="https://tnezki.github.io/physics/investigations/u4_4_investigation/u4_4_investigation_teacher_guide.html" TargetMode="External"/><Relationship Id="rId451" Type="http://schemas.openxmlformats.org/officeDocument/2006/relationships/hyperlink" Target="https://tnezki.github.io/physics/notes/u2_2_notes/u2_2_notes.html" TargetMode="External"/><Relationship Id="rId1282" Type="http://schemas.openxmlformats.org/officeDocument/2006/relationships/hyperlink" Target="https://tnezki.github.io/physics/performance_task___5134zrt/u4_4_performance_task/u4_4_performance_task_teacher_guide.html" TargetMode="External"/><Relationship Id="rId450" Type="http://schemas.openxmlformats.org/officeDocument/2006/relationships/hyperlink" Target="https://tnezki.github.io/physics/demo/u2_2_demo/u2_2_demo.html" TargetMode="External"/><Relationship Id="rId1283" Type="http://schemas.openxmlformats.org/officeDocument/2006/relationships/hyperlink" Target="https://tnezki.github.io/physics/assessments_zxrtjp/unit4_assessment_plan/unit4_assessment_plan.html" TargetMode="External"/><Relationship Id="rId2130" Type="http://schemas.openxmlformats.org/officeDocument/2006/relationships/hyperlink" Target="https://tnezki.github.io/physics/quick_check____htq5855/u7_2_quick_check/u7_2_quick_check.html" TargetMode="External"/><Relationship Id="rId1284" Type="http://schemas.openxmlformats.org/officeDocument/2006/relationships/hyperlink" Target="https://tnezki.github.io/physics/performance_task___5134zrt/u4_4_performance_task/u4_4_performance_task.html" TargetMode="External"/><Relationship Id="rId2131" Type="http://schemas.openxmlformats.org/officeDocument/2006/relationships/hyperlink" Target="https://tnezki.github.io/physics/exit/exit7/exit_7.html" TargetMode="External"/><Relationship Id="rId1285" Type="http://schemas.openxmlformats.org/officeDocument/2006/relationships/hyperlink" Target="https://tnezki.github.io/physics/quick_check____htq5855/u4_4_quick_check/u4_4_quick_check.html" TargetMode="External"/><Relationship Id="rId2132" Type="http://schemas.openxmlformats.org/officeDocument/2006/relationships/hyperlink" Target="https://tnezki.github.io/physics/practice_sets/practice_sets_7_2/practice_set_7_2_2.html" TargetMode="External"/><Relationship Id="rId455" Type="http://schemas.openxmlformats.org/officeDocument/2006/relationships/hyperlink" Target="https://tnezki.github.io/physics/practice_sets/practice_sets_2_2/extra_practice_2_2.html" TargetMode="External"/><Relationship Id="rId1286" Type="http://schemas.openxmlformats.org/officeDocument/2006/relationships/hyperlink" Target="https://tnezki.github.io/physics/exit/exit4/exit_4.html" TargetMode="External"/><Relationship Id="rId2133" Type="http://schemas.openxmlformats.org/officeDocument/2006/relationships/hyperlink" Target="https://tnezki.github.io/physics/practice_sets/practice_sets_7_2/practice_set_7_2_3.html" TargetMode="External"/><Relationship Id="rId454" Type="http://schemas.openxmlformats.org/officeDocument/2006/relationships/hyperlink" Target="https://tnezki.github.io/physics/practice_sets/practice_sets_2_2/practice_set_2_2.html" TargetMode="External"/><Relationship Id="rId1287" Type="http://schemas.openxmlformats.org/officeDocument/2006/relationships/hyperlink" Target="https://tnezki.github.io/physics/practice_sets/practice_sets_4_4/practice_set_4_4_2.html" TargetMode="External"/><Relationship Id="rId2134" Type="http://schemas.openxmlformats.org/officeDocument/2006/relationships/hyperlink" Target="https://tnezki.github.io/physics/assessments_zxrtjp/unit7_summative/unit7_summative_assessment.html" TargetMode="External"/><Relationship Id="rId453" Type="http://schemas.openxmlformats.org/officeDocument/2006/relationships/hyperlink" Target="https://tnezki.github.io/physics/activities/u2_2_act1/u2_2_act1.html" TargetMode="External"/><Relationship Id="rId1288" Type="http://schemas.openxmlformats.org/officeDocument/2006/relationships/hyperlink" Target="https://tnezki.github.io/physics/practice_sets/practice_sets_4_4/practice_set_4_4_3.html" TargetMode="External"/><Relationship Id="rId2135" Type="http://schemas.openxmlformats.org/officeDocument/2006/relationships/hyperlink" Target="https://tnezki.github.io/physics/banks/unit7/unit7.html" TargetMode="External"/><Relationship Id="rId452" Type="http://schemas.openxmlformats.org/officeDocument/2006/relationships/hyperlink" Target="https://tnezki.github.io/physics/investigations/u2_2_investigation/u2_2_investigation.html" TargetMode="External"/><Relationship Id="rId1289" Type="http://schemas.openxmlformats.org/officeDocument/2006/relationships/hyperlink" Target="https://tnezki.github.io/physics/assessments_zxrtjp/unit4_summative/unit4_summative_assessment.html" TargetMode="External"/><Relationship Id="rId2136" Type="http://schemas.openxmlformats.org/officeDocument/2006/relationships/hyperlink" Target="https://tnezki.github.io/physics/warmups/unit_7_warmups/unit_7_warmups.html" TargetMode="External"/><Relationship Id="rId491" Type="http://schemas.openxmlformats.org/officeDocument/2006/relationships/hyperlink" Target="https://tnezki.github.io/physics/assessments_zxrtjp/unit2_summative/unit2_summative_assessment.html" TargetMode="External"/><Relationship Id="rId490" Type="http://schemas.openxmlformats.org/officeDocument/2006/relationships/hyperlink" Target="https://tnezki.github.io/physics/practice_sets/practice_sets_2_2/practice_set_2_2_3.html" TargetMode="External"/><Relationship Id="rId489" Type="http://schemas.openxmlformats.org/officeDocument/2006/relationships/hyperlink" Target="https://tnezki.github.io/physics/practice_sets/practice_sets_2_2/practice_set_2_2_2.html" TargetMode="External"/><Relationship Id="rId2160" Type="http://schemas.openxmlformats.org/officeDocument/2006/relationships/hyperlink" Target="https://tnezki.github.io/physics/notes/u7_3_notes/u7_3_notes.html" TargetMode="External"/><Relationship Id="rId2161" Type="http://schemas.openxmlformats.org/officeDocument/2006/relationships/hyperlink" Target="https://tnezki.github.io/physics/investigations/u7_3_investigation/u7_3_investigation.html" TargetMode="External"/><Relationship Id="rId484" Type="http://schemas.openxmlformats.org/officeDocument/2006/relationships/hyperlink" Target="https://tnezki.github.io/physics/performance_task___5134zrt/u2_2_performance_task/u2_2_performance_task_teacher_guide.html" TargetMode="External"/><Relationship Id="rId2162" Type="http://schemas.openxmlformats.org/officeDocument/2006/relationships/hyperlink" Target="https://tnezki.github.io/physics/activities/u7_3_act1/u7_3_act1.html" TargetMode="External"/><Relationship Id="rId483" Type="http://schemas.openxmlformats.org/officeDocument/2006/relationships/hyperlink" Target="https://tnezki.github.io/physics/investigations/u2_2_investigation/u2_2_investigation_teacher_guide.html" TargetMode="External"/><Relationship Id="rId2163" Type="http://schemas.openxmlformats.org/officeDocument/2006/relationships/hyperlink" Target="https://tnezki.github.io/physics/practice_sets/practice_sets_7_3/practice_set_7_3.html" TargetMode="External"/><Relationship Id="rId482" Type="http://schemas.openxmlformats.org/officeDocument/2006/relationships/hyperlink" Target="https://tnezki.github.io/physics/demo/u2_2_demo/u2_2_demo_teacher_guide.html" TargetMode="External"/><Relationship Id="rId2164" Type="http://schemas.openxmlformats.org/officeDocument/2006/relationships/hyperlink" Target="https://tnezki.github.io/physics/practice_sets/practice_sets_7_3/extra_practice_7_3.html" TargetMode="External"/><Relationship Id="rId481" Type="http://schemas.openxmlformats.org/officeDocument/2006/relationships/hyperlink" Target="https://tnezki.github.io/physics/notes/u2_2_notes/u2_2_notes_teacher.html" TargetMode="External"/><Relationship Id="rId2165" Type="http://schemas.openxmlformats.org/officeDocument/2006/relationships/hyperlink" Target="https://tnezki.github.io/physics/practice_sets/practice_sets_7_3/cyu_7_3.html" TargetMode="External"/><Relationship Id="rId488" Type="http://schemas.openxmlformats.org/officeDocument/2006/relationships/hyperlink" Target="https://tnezki.github.io/physics/exit/exit2/exit_2.html" TargetMode="External"/><Relationship Id="rId2166" Type="http://schemas.openxmlformats.org/officeDocument/2006/relationships/hyperlink" Target="https://tnezki.github.io/physics/progress/unit_7_progress/unit_7_progress.html" TargetMode="External"/><Relationship Id="rId487" Type="http://schemas.openxmlformats.org/officeDocument/2006/relationships/hyperlink" Target="https://tnezki.github.io/physics/quick_check____htq5855/u2_2_quick_check/u2_2_quick_check.html" TargetMode="External"/><Relationship Id="rId2167" Type="http://schemas.openxmlformats.org/officeDocument/2006/relationships/hyperlink" Target="https://tnezki.github.io/physics/reviews/review7/review_7.html" TargetMode="External"/><Relationship Id="rId486" Type="http://schemas.openxmlformats.org/officeDocument/2006/relationships/hyperlink" Target="https://tnezki.github.io/physics/performance_task___5134zrt/u2_2_performance_task/u2_2_performance_task.html" TargetMode="External"/><Relationship Id="rId2168" Type="http://schemas.openxmlformats.org/officeDocument/2006/relationships/hyperlink" Target="https://tnezki.github.io/physics/notes/u7_3_notes/u7_3_notes_teacher.html" TargetMode="External"/><Relationship Id="rId485" Type="http://schemas.openxmlformats.org/officeDocument/2006/relationships/hyperlink" Target="https://tnezki.github.io/physics/assessments_zxrtjp/unit2_assessment_plan/unit2_assessment_plan.html" TargetMode="External"/><Relationship Id="rId2169" Type="http://schemas.openxmlformats.org/officeDocument/2006/relationships/hyperlink" Target="https://tnezki.github.io/physics/demo/u7_3_demo/u7_3_demo_teacher_guide.html" TargetMode="External"/><Relationship Id="rId2159" Type="http://schemas.openxmlformats.org/officeDocument/2006/relationships/hyperlink" Target="https://tnezki.github.io/physics/demo/u7_3_demo/u7_3_demo.html" TargetMode="External"/><Relationship Id="rId480" Type="http://schemas.openxmlformats.org/officeDocument/2006/relationships/hyperlink" Target="https://tnezki.github.io/physics/reviews/review2/review_2.html" TargetMode="External"/><Relationship Id="rId479" Type="http://schemas.openxmlformats.org/officeDocument/2006/relationships/hyperlink" Target="https://tnezki.github.io/physics/progress/unit_2_progress/unit_2_progress.html" TargetMode="External"/><Relationship Id="rId478" Type="http://schemas.openxmlformats.org/officeDocument/2006/relationships/hyperlink" Target="https://tnezki.github.io/physics/practice_sets/practice_sets_2_2/cyu_2_2.html" TargetMode="External"/><Relationship Id="rId2150" Type="http://schemas.openxmlformats.org/officeDocument/2006/relationships/hyperlink" Target="https://tnezki.github.io/physics/assessments_zxrtjp/unit7_assessment_plan/unit7_assessment_plan.html" TargetMode="External"/><Relationship Id="rId473" Type="http://schemas.openxmlformats.org/officeDocument/2006/relationships/hyperlink" Target="https://tnezki.github.io/physics/notes/u2_2_notes/u2_2_notes.html" TargetMode="External"/><Relationship Id="rId2151" Type="http://schemas.openxmlformats.org/officeDocument/2006/relationships/hyperlink" Target="https://tnezki.github.io/physics/performance_task___5134zrt/u7_2_performance_task/u7_2_performance_task.html" TargetMode="External"/><Relationship Id="rId472" Type="http://schemas.openxmlformats.org/officeDocument/2006/relationships/hyperlink" Target="https://tnezki.github.io/physics/demo/u2_2_demo/u2_2_demo.html" TargetMode="External"/><Relationship Id="rId2152" Type="http://schemas.openxmlformats.org/officeDocument/2006/relationships/hyperlink" Target="https://tnezki.github.io/physics/quick_check____htq5855/u7_2_quick_check/u7_2_quick_check.html" TargetMode="External"/><Relationship Id="rId471" Type="http://schemas.openxmlformats.org/officeDocument/2006/relationships/hyperlink" Target="https://tnezki.github.io/physics/warmups/unit_2_warmups/unit_2_warmups.html" TargetMode="External"/><Relationship Id="rId2153" Type="http://schemas.openxmlformats.org/officeDocument/2006/relationships/hyperlink" Target="https://tnezki.github.io/physics/exit/exit7/exit_7.html" TargetMode="External"/><Relationship Id="rId470" Type="http://schemas.openxmlformats.org/officeDocument/2006/relationships/hyperlink" Target="https://tnezki.github.io/physics/banks/unit2/unit2.html" TargetMode="External"/><Relationship Id="rId2154" Type="http://schemas.openxmlformats.org/officeDocument/2006/relationships/hyperlink" Target="https://tnezki.github.io/physics/practice_sets/practice_sets_7_2/practice_set_7_2_2.html" TargetMode="External"/><Relationship Id="rId477" Type="http://schemas.openxmlformats.org/officeDocument/2006/relationships/hyperlink" Target="https://tnezki.github.io/physics/practice_sets/practice_sets_2_2/extra_practice_2_2.html" TargetMode="External"/><Relationship Id="rId2155" Type="http://schemas.openxmlformats.org/officeDocument/2006/relationships/hyperlink" Target="https://tnezki.github.io/physics/practice_sets/practice_sets_7_2/practice_set_7_2_3.html" TargetMode="External"/><Relationship Id="rId476" Type="http://schemas.openxmlformats.org/officeDocument/2006/relationships/hyperlink" Target="https://tnezki.github.io/physics/practice_sets/practice_sets_2_2/practice_set_2_2.html" TargetMode="External"/><Relationship Id="rId2156" Type="http://schemas.openxmlformats.org/officeDocument/2006/relationships/hyperlink" Target="https://tnezki.github.io/physics/assessments_zxrtjp/unit7_summative/unit7_summative_assessment.html" TargetMode="External"/><Relationship Id="rId475" Type="http://schemas.openxmlformats.org/officeDocument/2006/relationships/hyperlink" Target="https://tnezki.github.io/physics/activities/u2_2_act1/u2_2_act1.html" TargetMode="External"/><Relationship Id="rId2157" Type="http://schemas.openxmlformats.org/officeDocument/2006/relationships/hyperlink" Target="https://tnezki.github.io/physics/banks/unit7/unit7.html" TargetMode="External"/><Relationship Id="rId474" Type="http://schemas.openxmlformats.org/officeDocument/2006/relationships/hyperlink" Target="https://tnezki.github.io/physics/investigations/u2_2_investigation/u2_2_investigation.html" TargetMode="External"/><Relationship Id="rId2158" Type="http://schemas.openxmlformats.org/officeDocument/2006/relationships/hyperlink" Target="https://tnezki.github.io/physics/warmups/unit_7_warmups/unit_7_warmups.html" TargetMode="External"/><Relationship Id="rId1257" Type="http://schemas.openxmlformats.org/officeDocument/2006/relationships/hyperlink" Target="https://tnezki.github.io/physics/notes/u4_4_notes/u4_4_notes_teacher.html" TargetMode="External"/><Relationship Id="rId2104" Type="http://schemas.openxmlformats.org/officeDocument/2006/relationships/hyperlink" Target="https://tnezki.github.io/physics/investigations/u7_2_investigation/u7_2_investigation_teacher_guide.html" TargetMode="External"/><Relationship Id="rId2588" Type="http://schemas.openxmlformats.org/officeDocument/2006/relationships/hyperlink" Target="https://tnezki.github.io/physics/reviews/review8/review_8.html" TargetMode="External"/><Relationship Id="rId1258" Type="http://schemas.openxmlformats.org/officeDocument/2006/relationships/hyperlink" Target="https://tnezki.github.io/physics/demo/u4_4_demo/u4_4_demo_teacher_guide.html" TargetMode="External"/><Relationship Id="rId2105" Type="http://schemas.openxmlformats.org/officeDocument/2006/relationships/hyperlink" Target="https://tnezki.github.io/physics/performance_task___5134zrt/u7_2_performance_task/u7_2_performance_task_teacher_guide.html" TargetMode="External"/><Relationship Id="rId2589" Type="http://schemas.openxmlformats.org/officeDocument/2006/relationships/hyperlink" Target="https://tnezki.github.io/physics/notes/u8_4_notes/u8_4_notes_teacher.html" TargetMode="External"/><Relationship Id="rId1259" Type="http://schemas.openxmlformats.org/officeDocument/2006/relationships/hyperlink" Target="https://tnezki.github.io/physics/investigations/u4_4_investigation/u4_4_investigation_teacher_guide.html" TargetMode="External"/><Relationship Id="rId2106" Type="http://schemas.openxmlformats.org/officeDocument/2006/relationships/hyperlink" Target="https://tnezki.github.io/physics/assessments_zxrtjp/unit7_assessment_plan/unit7_assessment_plan.html" TargetMode="External"/><Relationship Id="rId2107" Type="http://schemas.openxmlformats.org/officeDocument/2006/relationships/hyperlink" Target="https://tnezki.github.io/physics/performance_task___5134zrt/u7_2_performance_task/u7_2_performance_task.html" TargetMode="External"/><Relationship Id="rId2108" Type="http://schemas.openxmlformats.org/officeDocument/2006/relationships/hyperlink" Target="https://tnezki.github.io/physics/quick_check____htq5855/u7_2_quick_check/u7_2_quick_check.html" TargetMode="External"/><Relationship Id="rId2109" Type="http://schemas.openxmlformats.org/officeDocument/2006/relationships/hyperlink" Target="https://tnezki.github.io/physics/exit/exit7/exit_7.html" TargetMode="External"/><Relationship Id="rId426" Type="http://schemas.openxmlformats.org/officeDocument/2006/relationships/hyperlink" Target="https://tnezki.github.io/physics/banks/unit2/unit2.html" TargetMode="External"/><Relationship Id="rId425" Type="http://schemas.openxmlformats.org/officeDocument/2006/relationships/hyperlink" Target="https://tnezki.github.io/physics/assessments_zxrtjp/unit2_summative/unit2_summative_assessment.html" TargetMode="External"/><Relationship Id="rId424" Type="http://schemas.openxmlformats.org/officeDocument/2006/relationships/hyperlink" Target="https://tnezki.github.io/physics/practice_sets/practice_sets_2_1/practice_set_2_1_3.html" TargetMode="External"/><Relationship Id="rId423" Type="http://schemas.openxmlformats.org/officeDocument/2006/relationships/hyperlink" Target="https://tnezki.github.io/physics/practice_sets/practice_sets_2_1/practice_set_2_1_2.html" TargetMode="External"/><Relationship Id="rId429" Type="http://schemas.openxmlformats.org/officeDocument/2006/relationships/hyperlink" Target="https://tnezki.github.io/physics/notes/u2_2_notes/u2_2_notes.html" TargetMode="External"/><Relationship Id="rId428" Type="http://schemas.openxmlformats.org/officeDocument/2006/relationships/hyperlink" Target="https://tnezki.github.io/physics/demo/u2_2_demo/u2_2_demo.html" TargetMode="External"/><Relationship Id="rId427" Type="http://schemas.openxmlformats.org/officeDocument/2006/relationships/hyperlink" Target="https://tnezki.github.io/physics/warmups/unit_2_warmups/unit_2_warmups.html" TargetMode="External"/><Relationship Id="rId2580" Type="http://schemas.openxmlformats.org/officeDocument/2006/relationships/hyperlink" Target="https://tnezki.github.io/physics/demo/u8_4_demo/u8_4_demo.html" TargetMode="External"/><Relationship Id="rId1250" Type="http://schemas.openxmlformats.org/officeDocument/2006/relationships/hyperlink" Target="https://tnezki.github.io/physics/investigations/u4_4_investigation/u4_4_investigation.html" TargetMode="External"/><Relationship Id="rId2581" Type="http://schemas.openxmlformats.org/officeDocument/2006/relationships/hyperlink" Target="https://tnezki.github.io/physics/notes/u8_4_notes/u8_4_notes.html" TargetMode="External"/><Relationship Id="rId1251" Type="http://schemas.openxmlformats.org/officeDocument/2006/relationships/hyperlink" Target="https://tnezki.github.io/physics/activities/u4_4_act1/u4_4_act1.html" TargetMode="External"/><Relationship Id="rId2582" Type="http://schemas.openxmlformats.org/officeDocument/2006/relationships/hyperlink" Target="https://tnezki.github.io/physics/investigations/u8_4_investigation/u8_4_investigation.html" TargetMode="External"/><Relationship Id="rId1252" Type="http://schemas.openxmlformats.org/officeDocument/2006/relationships/hyperlink" Target="https://tnezki.github.io/physics/practice_sets/practice_sets_4_4/practice_set_4_4.html" TargetMode="External"/><Relationship Id="rId2583" Type="http://schemas.openxmlformats.org/officeDocument/2006/relationships/hyperlink" Target="https://tnezki.github.io/physics/activities/u8_4_act1/u8_4_act1.html" TargetMode="External"/><Relationship Id="rId422" Type="http://schemas.openxmlformats.org/officeDocument/2006/relationships/hyperlink" Target="https://tnezki.github.io/physics/exit/exit2/exit_2.html" TargetMode="External"/><Relationship Id="rId1253" Type="http://schemas.openxmlformats.org/officeDocument/2006/relationships/hyperlink" Target="https://tnezki.github.io/physics/practice_sets/practice_sets_4_4/extra_practice_4_4.html" TargetMode="External"/><Relationship Id="rId2100" Type="http://schemas.openxmlformats.org/officeDocument/2006/relationships/hyperlink" Target="https://tnezki.github.io/physics/progress/unit_7_progress/unit_7_progress.html" TargetMode="External"/><Relationship Id="rId2584" Type="http://schemas.openxmlformats.org/officeDocument/2006/relationships/hyperlink" Target="https://tnezki.github.io/physics/practice_sets/practice_sets_8_4/practice_set_8_4.html" TargetMode="External"/><Relationship Id="rId421" Type="http://schemas.openxmlformats.org/officeDocument/2006/relationships/hyperlink" Target="https://tnezki.github.io/physics/quick_check____htq5855/u2_1_quick_check/u2_1_quick_check.html" TargetMode="External"/><Relationship Id="rId1254" Type="http://schemas.openxmlformats.org/officeDocument/2006/relationships/hyperlink" Target="https://tnezki.github.io/physics/practice_sets/practice_sets_4_4/cyu_4_4.html" TargetMode="External"/><Relationship Id="rId2101" Type="http://schemas.openxmlformats.org/officeDocument/2006/relationships/hyperlink" Target="https://tnezki.github.io/physics/reviews/review7/review_7.html" TargetMode="External"/><Relationship Id="rId2585" Type="http://schemas.openxmlformats.org/officeDocument/2006/relationships/hyperlink" Target="https://tnezki.github.io/physics/practice_sets/practice_sets_8_4/extra_practice_8_4.html" TargetMode="External"/><Relationship Id="rId420" Type="http://schemas.openxmlformats.org/officeDocument/2006/relationships/hyperlink" Target="https://tnezki.github.io/physics/performance_task___5134zrt/u2_1_performance_task/u2_1_performance_task.html" TargetMode="External"/><Relationship Id="rId1255" Type="http://schemas.openxmlformats.org/officeDocument/2006/relationships/hyperlink" Target="https://tnezki.github.io/physics/progress/unit_4_progress/unit_4_progress.html" TargetMode="External"/><Relationship Id="rId2102" Type="http://schemas.openxmlformats.org/officeDocument/2006/relationships/hyperlink" Target="https://tnezki.github.io/physics/notes/u7_2_notes/u7_2_notes_teacher.html" TargetMode="External"/><Relationship Id="rId2586" Type="http://schemas.openxmlformats.org/officeDocument/2006/relationships/hyperlink" Target="https://tnezki.github.io/physics/practice_sets/practice_sets_8_4/cyu_8_4.html" TargetMode="External"/><Relationship Id="rId1256" Type="http://schemas.openxmlformats.org/officeDocument/2006/relationships/hyperlink" Target="https://tnezki.github.io/physics/reviews/review4/review_4.html" TargetMode="External"/><Relationship Id="rId2103" Type="http://schemas.openxmlformats.org/officeDocument/2006/relationships/hyperlink" Target="https://tnezki.github.io/physics/demo/u7_2_demo/u7_2_demo_teacher_guide.html" TargetMode="External"/><Relationship Id="rId2587" Type="http://schemas.openxmlformats.org/officeDocument/2006/relationships/hyperlink" Target="https://tnezki.github.io/physics/progress/unit_8_progress/unit_8_progress.html" TargetMode="External"/><Relationship Id="rId1246" Type="http://schemas.openxmlformats.org/officeDocument/2006/relationships/hyperlink" Target="https://tnezki.github.io/physics/banks/unit4/unit4.html" TargetMode="External"/><Relationship Id="rId2577" Type="http://schemas.openxmlformats.org/officeDocument/2006/relationships/hyperlink" Target="https://tnezki.github.io/physics/assessments_zxrtjp/unit8_summative/unit8_summative_assessment.html" TargetMode="External"/><Relationship Id="rId1247" Type="http://schemas.openxmlformats.org/officeDocument/2006/relationships/hyperlink" Target="https://tnezki.github.io/physics/warmups/unit_4_warmups/unit_4_warmups.html" TargetMode="External"/><Relationship Id="rId2578" Type="http://schemas.openxmlformats.org/officeDocument/2006/relationships/hyperlink" Target="https://tnezki.github.io/physics/banks/unit8/unit8.html" TargetMode="External"/><Relationship Id="rId1248" Type="http://schemas.openxmlformats.org/officeDocument/2006/relationships/hyperlink" Target="https://tnezki.github.io/physics/demo/u4_4_demo/u4_4_demo.html" TargetMode="External"/><Relationship Id="rId2579" Type="http://schemas.openxmlformats.org/officeDocument/2006/relationships/hyperlink" Target="https://tnezki.github.io/physics/warmups/unit_8_warmups/unit_8_warmups.html" TargetMode="External"/><Relationship Id="rId1249" Type="http://schemas.openxmlformats.org/officeDocument/2006/relationships/hyperlink" Target="https://tnezki.github.io/physics/notes/u4_4_notes/u4_4_notes.html" TargetMode="External"/><Relationship Id="rId415" Type="http://schemas.openxmlformats.org/officeDocument/2006/relationships/hyperlink" Target="https://tnezki.github.io/physics/notes/u2_1_notes/u2_1_notes_teacher.html" TargetMode="External"/><Relationship Id="rId899" Type="http://schemas.openxmlformats.org/officeDocument/2006/relationships/hyperlink" Target="https://tnezki.github.io/physics/practice_sets/practice_sets_3_4/cyu_3_4.html" TargetMode="External"/><Relationship Id="rId414" Type="http://schemas.openxmlformats.org/officeDocument/2006/relationships/hyperlink" Target="https://tnezki.github.io/physics/reviews/review2/review_2.html" TargetMode="External"/><Relationship Id="rId898" Type="http://schemas.openxmlformats.org/officeDocument/2006/relationships/hyperlink" Target="https://tnezki.github.io/physics/practice_sets/practice_sets_3_4/extra_practice_3_4.html" TargetMode="External"/><Relationship Id="rId413" Type="http://schemas.openxmlformats.org/officeDocument/2006/relationships/hyperlink" Target="https://tnezki.github.io/physics/progress/unit_2_progress/unit_2_progress.html" TargetMode="External"/><Relationship Id="rId897" Type="http://schemas.openxmlformats.org/officeDocument/2006/relationships/hyperlink" Target="https://tnezki.github.io/physics/practice_sets/practice_sets_3_4/practice_set_3_4.html" TargetMode="External"/><Relationship Id="rId412" Type="http://schemas.openxmlformats.org/officeDocument/2006/relationships/hyperlink" Target="https://tnezki.github.io/physics/practice_sets/practice_sets_2_1/cyu_2_1.html" TargetMode="External"/><Relationship Id="rId896" Type="http://schemas.openxmlformats.org/officeDocument/2006/relationships/hyperlink" Target="https://tnezki.github.io/physics/activities/u3_4_act1/u3_4_act1.html" TargetMode="External"/><Relationship Id="rId419" Type="http://schemas.openxmlformats.org/officeDocument/2006/relationships/hyperlink" Target="https://tnezki.github.io/physics/assessments_zxrtjp/unit2_assessment_plan/unit2_assessment_plan.html" TargetMode="External"/><Relationship Id="rId418" Type="http://schemas.openxmlformats.org/officeDocument/2006/relationships/hyperlink" Target="https://tnezki.github.io/physics/performance_task___5134zrt/u2_1_performance_task/u2_1_performance_task_teacher_guide.html" TargetMode="External"/><Relationship Id="rId417" Type="http://schemas.openxmlformats.org/officeDocument/2006/relationships/hyperlink" Target="https://tnezki.github.io/physics/investigations/u2_1_investigation/u2_1_investigation_teacher_guide.html" TargetMode="External"/><Relationship Id="rId416" Type="http://schemas.openxmlformats.org/officeDocument/2006/relationships/hyperlink" Target="https://tnezki.github.io/physics/demo/u2_1_demo/u2_1_demo_teacher_guide.html" TargetMode="External"/><Relationship Id="rId891" Type="http://schemas.openxmlformats.org/officeDocument/2006/relationships/hyperlink" Target="https://tnezki.github.io/physics/banks/unit3/unit3.html" TargetMode="External"/><Relationship Id="rId890" Type="http://schemas.openxmlformats.org/officeDocument/2006/relationships/hyperlink" Target="https://tnezki.github.io/physics/assessments_zxrtjp/unit3_summative/unit3_summative_assessment.html" TargetMode="External"/><Relationship Id="rId2570" Type="http://schemas.openxmlformats.org/officeDocument/2006/relationships/hyperlink" Target="https://tnezki.github.io/physics/performance_task___5134zrt/u8_4_performance_task/u8_4_performance_task_teacher_guide.html" TargetMode="External"/><Relationship Id="rId1240" Type="http://schemas.openxmlformats.org/officeDocument/2006/relationships/hyperlink" Target="https://tnezki.github.io/physics/performance_task___5134zrt/u4_4_performance_task/u4_4_performance_task.html" TargetMode="External"/><Relationship Id="rId2571" Type="http://schemas.openxmlformats.org/officeDocument/2006/relationships/hyperlink" Target="https://tnezki.github.io/physics/assessments_zxrtjp/unit8_assessment_plan/unit8_assessment_plan.html" TargetMode="External"/><Relationship Id="rId1241" Type="http://schemas.openxmlformats.org/officeDocument/2006/relationships/hyperlink" Target="https://tnezki.github.io/physics/quick_check____htq5855/u4_4_quick_check/u4_4_quick_check.html" TargetMode="External"/><Relationship Id="rId2572" Type="http://schemas.openxmlformats.org/officeDocument/2006/relationships/hyperlink" Target="https://tnezki.github.io/physics/performance_task___5134zrt/u8_4_performance_task/u8_4_performance_task.html" TargetMode="External"/><Relationship Id="rId411" Type="http://schemas.openxmlformats.org/officeDocument/2006/relationships/hyperlink" Target="https://tnezki.github.io/physics/practice_sets/practice_sets_2_1/extra_practice_2_1.html" TargetMode="External"/><Relationship Id="rId895" Type="http://schemas.openxmlformats.org/officeDocument/2006/relationships/hyperlink" Target="https://tnezki.github.io/physics/investigations/u3_4_investigation/u3_4_investigation.html" TargetMode="External"/><Relationship Id="rId1242" Type="http://schemas.openxmlformats.org/officeDocument/2006/relationships/hyperlink" Target="https://tnezki.github.io/physics/exit/exit4/exit_4.html" TargetMode="External"/><Relationship Id="rId2573" Type="http://schemas.openxmlformats.org/officeDocument/2006/relationships/hyperlink" Target="https://tnezki.github.io/physics/quick_check____htq5855/u8_4_quick_check/u8_4_quick_check.html" TargetMode="External"/><Relationship Id="rId410" Type="http://schemas.openxmlformats.org/officeDocument/2006/relationships/hyperlink" Target="https://tnezki.github.io/physics/practice_sets/practice_sets_2_1/practice_set_2_1.html" TargetMode="External"/><Relationship Id="rId894" Type="http://schemas.openxmlformats.org/officeDocument/2006/relationships/hyperlink" Target="https://tnezki.github.io/physics/notes/u3_4_notes/u3_4_notes.html" TargetMode="External"/><Relationship Id="rId1243" Type="http://schemas.openxmlformats.org/officeDocument/2006/relationships/hyperlink" Target="https://tnezki.github.io/physics/practice_sets/practice_sets_4_4/practice_set_4_4_2.html" TargetMode="External"/><Relationship Id="rId2574" Type="http://schemas.openxmlformats.org/officeDocument/2006/relationships/hyperlink" Target="https://tnezki.github.io/physics/exit/exit8/exit_8.html" TargetMode="External"/><Relationship Id="rId893" Type="http://schemas.openxmlformats.org/officeDocument/2006/relationships/hyperlink" Target="https://tnezki.github.io/physics/demo/u3_4_demo/u3_4_demo.html" TargetMode="External"/><Relationship Id="rId1244" Type="http://schemas.openxmlformats.org/officeDocument/2006/relationships/hyperlink" Target="https://tnezki.github.io/physics/practice_sets/practice_sets_4_4/practice_set_4_4_3.html" TargetMode="External"/><Relationship Id="rId2575" Type="http://schemas.openxmlformats.org/officeDocument/2006/relationships/hyperlink" Target="https://tnezki.github.io/physics/practice_sets/practice_sets_8_4/practice_set_8_4_2.html" TargetMode="External"/><Relationship Id="rId892" Type="http://schemas.openxmlformats.org/officeDocument/2006/relationships/hyperlink" Target="https://tnezki.github.io/physics/warmups/unit_3_warmups/unit_3_warmups.html" TargetMode="External"/><Relationship Id="rId1245" Type="http://schemas.openxmlformats.org/officeDocument/2006/relationships/hyperlink" Target="https://tnezki.github.io/physics/assessments_zxrtjp/unit4_summative/unit4_summative_assessment.html" TargetMode="External"/><Relationship Id="rId2576" Type="http://schemas.openxmlformats.org/officeDocument/2006/relationships/hyperlink" Target="https://tnezki.github.io/physics/practice_sets/practice_sets_8_4/practice_set_8_4_3.html" TargetMode="External"/><Relationship Id="rId1279" Type="http://schemas.openxmlformats.org/officeDocument/2006/relationships/hyperlink" Target="https://tnezki.github.io/physics/notes/u4_4_notes/u4_4_notes_teacher.html" TargetMode="External"/><Relationship Id="rId2126" Type="http://schemas.openxmlformats.org/officeDocument/2006/relationships/hyperlink" Target="https://tnezki.github.io/physics/investigations/u7_2_investigation/u7_2_investigation_teacher_guide.html" TargetMode="External"/><Relationship Id="rId2127" Type="http://schemas.openxmlformats.org/officeDocument/2006/relationships/hyperlink" Target="https://tnezki.github.io/physics/performance_task___5134zrt/u7_2_performance_task/u7_2_performance_task_teacher_guide.html" TargetMode="External"/><Relationship Id="rId2128" Type="http://schemas.openxmlformats.org/officeDocument/2006/relationships/hyperlink" Target="https://tnezki.github.io/physics/assessments_zxrtjp/unit7_assessment_plan/unit7_assessment_plan.html" TargetMode="External"/><Relationship Id="rId2129" Type="http://schemas.openxmlformats.org/officeDocument/2006/relationships/hyperlink" Target="https://tnezki.github.io/physics/performance_task___5134zrt/u7_2_performance_task/u7_2_performance_task.html" TargetMode="External"/><Relationship Id="rId448" Type="http://schemas.openxmlformats.org/officeDocument/2006/relationships/hyperlink" Target="https://tnezki.github.io/physics/banks/unit2/unit2.html" TargetMode="External"/><Relationship Id="rId447" Type="http://schemas.openxmlformats.org/officeDocument/2006/relationships/hyperlink" Target="https://tnezki.github.io/physics/assessments_zxrtjp/unit2_summative/unit2_summative_assessment.html" TargetMode="External"/><Relationship Id="rId446" Type="http://schemas.openxmlformats.org/officeDocument/2006/relationships/hyperlink" Target="https://tnezki.github.io/physics/practice_sets/practice_sets_2_2/practice_set_2_2_3.html" TargetMode="External"/><Relationship Id="rId445" Type="http://schemas.openxmlformats.org/officeDocument/2006/relationships/hyperlink" Target="https://tnezki.github.io/physics/practice_sets/practice_sets_2_2/practice_set_2_2_2.html" TargetMode="External"/><Relationship Id="rId449" Type="http://schemas.openxmlformats.org/officeDocument/2006/relationships/hyperlink" Target="https://tnezki.github.io/physics/warmups/unit_2_warmups/unit_2_warmups.html" TargetMode="External"/><Relationship Id="rId1270" Type="http://schemas.openxmlformats.org/officeDocument/2006/relationships/hyperlink" Target="https://tnezki.github.io/physics/demo/u4_4_demo/u4_4_demo.html" TargetMode="External"/><Relationship Id="rId440" Type="http://schemas.openxmlformats.org/officeDocument/2006/relationships/hyperlink" Target="https://tnezki.github.io/physics/performance_task___5134zrt/u2_2_performance_task/u2_2_performance_task_teacher_guide.html" TargetMode="External"/><Relationship Id="rId1271" Type="http://schemas.openxmlformats.org/officeDocument/2006/relationships/hyperlink" Target="https://tnezki.github.io/physics/notes/u4_4_notes/u4_4_notes.html" TargetMode="External"/><Relationship Id="rId1272" Type="http://schemas.openxmlformats.org/officeDocument/2006/relationships/hyperlink" Target="https://tnezki.github.io/physics/investigations/u4_4_investigation/u4_4_investigation.html" TargetMode="External"/><Relationship Id="rId1273" Type="http://schemas.openxmlformats.org/officeDocument/2006/relationships/hyperlink" Target="https://tnezki.github.io/physics/activities/u4_4_act1/u4_4_act1.html" TargetMode="External"/><Relationship Id="rId2120" Type="http://schemas.openxmlformats.org/officeDocument/2006/relationships/hyperlink" Target="https://tnezki.github.io/physics/practice_sets/practice_sets_7_2/extra_practice_7_2.html" TargetMode="External"/><Relationship Id="rId1274" Type="http://schemas.openxmlformats.org/officeDocument/2006/relationships/hyperlink" Target="https://tnezki.github.io/physics/practice_sets/practice_sets_4_4/practice_set_4_4.html" TargetMode="External"/><Relationship Id="rId2121" Type="http://schemas.openxmlformats.org/officeDocument/2006/relationships/hyperlink" Target="https://tnezki.github.io/physics/practice_sets/practice_sets_7_2/cyu_7_2.html" TargetMode="External"/><Relationship Id="rId444" Type="http://schemas.openxmlformats.org/officeDocument/2006/relationships/hyperlink" Target="https://tnezki.github.io/physics/exit/exit2/exit_2.html" TargetMode="External"/><Relationship Id="rId1275" Type="http://schemas.openxmlformats.org/officeDocument/2006/relationships/hyperlink" Target="https://tnezki.github.io/physics/practice_sets/practice_sets_4_4/extra_practice_4_4.html" TargetMode="External"/><Relationship Id="rId2122" Type="http://schemas.openxmlformats.org/officeDocument/2006/relationships/hyperlink" Target="https://tnezki.github.io/physics/progress/unit_7_progress/unit_7_progress.html" TargetMode="External"/><Relationship Id="rId443" Type="http://schemas.openxmlformats.org/officeDocument/2006/relationships/hyperlink" Target="https://tnezki.github.io/physics/quick_check____htq5855/u2_2_quick_check/u2_2_quick_check.html" TargetMode="External"/><Relationship Id="rId1276" Type="http://schemas.openxmlformats.org/officeDocument/2006/relationships/hyperlink" Target="https://tnezki.github.io/physics/practice_sets/practice_sets_4_4/cyu_4_4.html" TargetMode="External"/><Relationship Id="rId2123" Type="http://schemas.openxmlformats.org/officeDocument/2006/relationships/hyperlink" Target="https://tnezki.github.io/physics/reviews/review7/review_7.html" TargetMode="External"/><Relationship Id="rId442" Type="http://schemas.openxmlformats.org/officeDocument/2006/relationships/hyperlink" Target="https://tnezki.github.io/physics/performance_task___5134zrt/u2_2_performance_task/u2_2_performance_task.html" TargetMode="External"/><Relationship Id="rId1277" Type="http://schemas.openxmlformats.org/officeDocument/2006/relationships/hyperlink" Target="https://tnezki.github.io/physics/progress/unit_4_progress/unit_4_progress.html" TargetMode="External"/><Relationship Id="rId2124" Type="http://schemas.openxmlformats.org/officeDocument/2006/relationships/hyperlink" Target="https://tnezki.github.io/physics/notes/u7_2_notes/u7_2_notes_teacher.html" TargetMode="External"/><Relationship Id="rId441" Type="http://schemas.openxmlformats.org/officeDocument/2006/relationships/hyperlink" Target="https://tnezki.github.io/physics/assessments_zxrtjp/unit2_assessment_plan/unit2_assessment_plan.html" TargetMode="External"/><Relationship Id="rId1278" Type="http://schemas.openxmlformats.org/officeDocument/2006/relationships/hyperlink" Target="https://tnezki.github.io/physics/reviews/review4/review_4.html" TargetMode="External"/><Relationship Id="rId2125" Type="http://schemas.openxmlformats.org/officeDocument/2006/relationships/hyperlink" Target="https://tnezki.github.io/physics/demo/u7_2_demo/u7_2_demo_teacher_guide.html" TargetMode="External"/><Relationship Id="rId1268" Type="http://schemas.openxmlformats.org/officeDocument/2006/relationships/hyperlink" Target="https://tnezki.github.io/physics/banks/unit4/unit4.html" TargetMode="External"/><Relationship Id="rId2115" Type="http://schemas.openxmlformats.org/officeDocument/2006/relationships/hyperlink" Target="https://tnezki.github.io/physics/demo/u7_2_demo/u7_2_demo.html" TargetMode="External"/><Relationship Id="rId2599" Type="http://schemas.openxmlformats.org/officeDocument/2006/relationships/hyperlink" Target="https://tnezki.github.io/physics/assessments_zxrtjp/unit8_summative/unit8_summative_assessment.html" TargetMode="External"/><Relationship Id="rId1269" Type="http://schemas.openxmlformats.org/officeDocument/2006/relationships/hyperlink" Target="https://tnezki.github.io/physics/warmups/unit_4_warmups/unit_4_warmups.html" TargetMode="External"/><Relationship Id="rId2116" Type="http://schemas.openxmlformats.org/officeDocument/2006/relationships/hyperlink" Target="https://tnezki.github.io/physics/notes/u7_2_notes/u7_2_notes.html" TargetMode="External"/><Relationship Id="rId2117" Type="http://schemas.openxmlformats.org/officeDocument/2006/relationships/hyperlink" Target="https://tnezki.github.io/physics/investigations/u7_2_investigation/u7_2_investigation.html" TargetMode="External"/><Relationship Id="rId2118" Type="http://schemas.openxmlformats.org/officeDocument/2006/relationships/hyperlink" Target="https://tnezki.github.io/physics/activities/u7_2_act1/u7_2_act1.html" TargetMode="External"/><Relationship Id="rId2119" Type="http://schemas.openxmlformats.org/officeDocument/2006/relationships/hyperlink" Target="https://tnezki.github.io/physics/practice_sets/practice_sets_7_2/practice_set_7_2.html" TargetMode="External"/><Relationship Id="rId437" Type="http://schemas.openxmlformats.org/officeDocument/2006/relationships/hyperlink" Target="https://tnezki.github.io/physics/notes/u2_2_notes/u2_2_notes_teacher.html" TargetMode="External"/><Relationship Id="rId436" Type="http://schemas.openxmlformats.org/officeDocument/2006/relationships/hyperlink" Target="https://tnezki.github.io/physics/reviews/review2/review_2.html" TargetMode="External"/><Relationship Id="rId435" Type="http://schemas.openxmlformats.org/officeDocument/2006/relationships/hyperlink" Target="https://tnezki.github.io/physics/progress/unit_2_progress/unit_2_progress.html" TargetMode="External"/><Relationship Id="rId434" Type="http://schemas.openxmlformats.org/officeDocument/2006/relationships/hyperlink" Target="https://tnezki.github.io/physics/practice_sets/practice_sets_2_2/cyu_2_2.html" TargetMode="External"/><Relationship Id="rId439" Type="http://schemas.openxmlformats.org/officeDocument/2006/relationships/hyperlink" Target="https://tnezki.github.io/physics/investigations/u2_2_investigation/u2_2_investigation_teacher_guide.html" TargetMode="External"/><Relationship Id="rId438" Type="http://schemas.openxmlformats.org/officeDocument/2006/relationships/hyperlink" Target="https://tnezki.github.io/physics/demo/u2_2_demo/u2_2_demo_teacher_guide.html" TargetMode="External"/><Relationship Id="rId2590" Type="http://schemas.openxmlformats.org/officeDocument/2006/relationships/hyperlink" Target="https://tnezki.github.io/physics/demo/u8_4_demo/u8_4_demo_teacher_guide.html" TargetMode="External"/><Relationship Id="rId1260" Type="http://schemas.openxmlformats.org/officeDocument/2006/relationships/hyperlink" Target="https://tnezki.github.io/physics/performance_task___5134zrt/u4_4_performance_task/u4_4_performance_task_teacher_guide.html" TargetMode="External"/><Relationship Id="rId2591" Type="http://schemas.openxmlformats.org/officeDocument/2006/relationships/hyperlink" Target="https://tnezki.github.io/physics/investigations/u8_4_investigation/u8_4_investigation_teacher_guide.html" TargetMode="External"/><Relationship Id="rId1261" Type="http://schemas.openxmlformats.org/officeDocument/2006/relationships/hyperlink" Target="https://tnezki.github.io/physics/assessments_zxrtjp/unit4_assessment_plan/unit4_assessment_plan.html" TargetMode="External"/><Relationship Id="rId2592" Type="http://schemas.openxmlformats.org/officeDocument/2006/relationships/hyperlink" Target="https://tnezki.github.io/physics/performance_task___5134zrt/u8_4_performance_task/u8_4_performance_task_teacher_guide.html" TargetMode="External"/><Relationship Id="rId1262" Type="http://schemas.openxmlformats.org/officeDocument/2006/relationships/hyperlink" Target="https://tnezki.github.io/physics/performance_task___5134zrt/u4_4_performance_task/u4_4_performance_task.html" TargetMode="External"/><Relationship Id="rId2593" Type="http://schemas.openxmlformats.org/officeDocument/2006/relationships/hyperlink" Target="https://tnezki.github.io/physics/assessments_zxrtjp/unit8_assessment_plan/unit8_assessment_plan.html" TargetMode="External"/><Relationship Id="rId1263" Type="http://schemas.openxmlformats.org/officeDocument/2006/relationships/hyperlink" Target="https://tnezki.github.io/physics/quick_check____htq5855/u4_4_quick_check/u4_4_quick_check.html" TargetMode="External"/><Relationship Id="rId2110" Type="http://schemas.openxmlformats.org/officeDocument/2006/relationships/hyperlink" Target="https://tnezki.github.io/physics/practice_sets/practice_sets_7_2/practice_set_7_2_2.html" TargetMode="External"/><Relationship Id="rId2594" Type="http://schemas.openxmlformats.org/officeDocument/2006/relationships/hyperlink" Target="https://tnezki.github.io/physics/performance_task___5134zrt/u8_4_performance_task/u8_4_performance_task.html" TargetMode="External"/><Relationship Id="rId433" Type="http://schemas.openxmlformats.org/officeDocument/2006/relationships/hyperlink" Target="https://tnezki.github.io/physics/practice_sets/practice_sets_2_2/extra_practice_2_2.html" TargetMode="External"/><Relationship Id="rId1264" Type="http://schemas.openxmlformats.org/officeDocument/2006/relationships/hyperlink" Target="https://tnezki.github.io/physics/exit/exit4/exit_4.html" TargetMode="External"/><Relationship Id="rId2111" Type="http://schemas.openxmlformats.org/officeDocument/2006/relationships/hyperlink" Target="https://tnezki.github.io/physics/practice_sets/practice_sets_7_2/practice_set_7_2_3.html" TargetMode="External"/><Relationship Id="rId2595" Type="http://schemas.openxmlformats.org/officeDocument/2006/relationships/hyperlink" Target="https://tnezki.github.io/physics/quick_check____htq5855/u8_4_quick_check/u8_4_quick_check.html" TargetMode="External"/><Relationship Id="rId432" Type="http://schemas.openxmlformats.org/officeDocument/2006/relationships/hyperlink" Target="https://tnezki.github.io/physics/practice_sets/practice_sets_2_2/practice_set_2_2.html" TargetMode="External"/><Relationship Id="rId1265" Type="http://schemas.openxmlformats.org/officeDocument/2006/relationships/hyperlink" Target="https://tnezki.github.io/physics/practice_sets/practice_sets_4_4/practice_set_4_4_2.html" TargetMode="External"/><Relationship Id="rId2112" Type="http://schemas.openxmlformats.org/officeDocument/2006/relationships/hyperlink" Target="https://tnezki.github.io/physics/assessments_zxrtjp/unit7_summative/unit7_summative_assessment.html" TargetMode="External"/><Relationship Id="rId2596" Type="http://schemas.openxmlformats.org/officeDocument/2006/relationships/hyperlink" Target="https://tnezki.github.io/physics/exit/exit8/exit_8.html" TargetMode="External"/><Relationship Id="rId431" Type="http://schemas.openxmlformats.org/officeDocument/2006/relationships/hyperlink" Target="https://tnezki.github.io/physics/activities/u2_2_act1/u2_2_act1.html" TargetMode="External"/><Relationship Id="rId1266" Type="http://schemas.openxmlformats.org/officeDocument/2006/relationships/hyperlink" Target="https://tnezki.github.io/physics/practice_sets/practice_sets_4_4/practice_set_4_4_3.html" TargetMode="External"/><Relationship Id="rId2113" Type="http://schemas.openxmlformats.org/officeDocument/2006/relationships/hyperlink" Target="https://tnezki.github.io/physics/banks/unit7/unit7.html" TargetMode="External"/><Relationship Id="rId2597" Type="http://schemas.openxmlformats.org/officeDocument/2006/relationships/hyperlink" Target="https://tnezki.github.io/physics/practice_sets/practice_sets_8_4/practice_set_8_4_2.html" TargetMode="External"/><Relationship Id="rId430" Type="http://schemas.openxmlformats.org/officeDocument/2006/relationships/hyperlink" Target="https://tnezki.github.io/physics/investigations/u2_2_investigation/u2_2_investigation.html" TargetMode="External"/><Relationship Id="rId1267" Type="http://schemas.openxmlformats.org/officeDocument/2006/relationships/hyperlink" Target="https://tnezki.github.io/physics/assessments_zxrtjp/unit4_summative/unit4_summative_assessment.html" TargetMode="External"/><Relationship Id="rId2114" Type="http://schemas.openxmlformats.org/officeDocument/2006/relationships/hyperlink" Target="https://tnezki.github.io/physics/warmups/unit_7_warmups/unit_7_warmups.html" TargetMode="External"/><Relationship Id="rId2598" Type="http://schemas.openxmlformats.org/officeDocument/2006/relationships/hyperlink" Target="https://tnezki.github.io/physics/practice_sets/practice_sets_8_4/practice_set_8_4_3.html" TargetMode="External"/><Relationship Id="rId2693" Type="http://schemas.openxmlformats.org/officeDocument/2006/relationships/hyperlink" Target="https://tnezki.github.io/physics/misc/welcomes/slides/1_1_3_welcome.html" TargetMode="External"/><Relationship Id="rId2694" Type="http://schemas.openxmlformats.org/officeDocument/2006/relationships/hyperlink" Target="https://tnezki.github.io/physics/misc/welcomes/slides/1_2_1_welcome.html" TargetMode="External"/><Relationship Id="rId2695" Type="http://schemas.openxmlformats.org/officeDocument/2006/relationships/hyperlink" Target="https://tnezki.github.io/physics/misc/welcomes/slides/1_2_2_welcome.html" TargetMode="External"/><Relationship Id="rId2696" Type="http://schemas.openxmlformats.org/officeDocument/2006/relationships/hyperlink" Target="https://tnezki.github.io/physics/misc/welcomes/slides/1_2_3_welcome.html" TargetMode="External"/><Relationship Id="rId2697" Type="http://schemas.openxmlformats.org/officeDocument/2006/relationships/hyperlink" Target="https://tnezki.github.io/physics/misc/welcomes/slides/1_3_1_welcome.html" TargetMode="External"/><Relationship Id="rId2698" Type="http://schemas.openxmlformats.org/officeDocument/2006/relationships/hyperlink" Target="https://tnezki.github.io/physics/misc/welcomes/slides/1_3_2_welcome.html" TargetMode="External"/><Relationship Id="rId2699" Type="http://schemas.openxmlformats.org/officeDocument/2006/relationships/hyperlink" Target="https://tnezki.github.io/physics/misc/welcomes/slides/1_3_3_welcome.html" TargetMode="External"/><Relationship Id="rId2700" Type="http://schemas.openxmlformats.org/officeDocument/2006/relationships/hyperlink" Target="https://tnezki.github.io/physics/misc/welcomes/slides/1_4_1_welcome.html" TargetMode="External"/><Relationship Id="rId2701" Type="http://schemas.openxmlformats.org/officeDocument/2006/relationships/hyperlink" Target="https://tnezki.github.io/physics/misc/welcomes/slides/1_4_2_welcome.html" TargetMode="External"/><Relationship Id="rId2702" Type="http://schemas.openxmlformats.org/officeDocument/2006/relationships/hyperlink" Target="https://tnezki.github.io/physics/misc/welcomes/slides/1_4_3_welcome.html" TargetMode="External"/><Relationship Id="rId2703" Type="http://schemas.openxmlformats.org/officeDocument/2006/relationships/hyperlink" Target="https://tnezki.github.io/physics/misc/welcomes/slides/1_5_1_welcome.html" TargetMode="External"/><Relationship Id="rId2704" Type="http://schemas.openxmlformats.org/officeDocument/2006/relationships/hyperlink" Target="https://tnezki.github.io/physics/misc/welcomes/slides/1_5_2_welcome.html" TargetMode="External"/><Relationship Id="rId2705" Type="http://schemas.openxmlformats.org/officeDocument/2006/relationships/hyperlink" Target="https://tnezki.github.io/physics/misc/welcomes/slides/1_5_3_welcome.html" TargetMode="External"/><Relationship Id="rId2706" Type="http://schemas.openxmlformats.org/officeDocument/2006/relationships/hyperlink" Target="https://tnezki.github.io/physics/misc/welcomes/slides/1_sum_welcome.html" TargetMode="External"/><Relationship Id="rId2707" Type="http://schemas.openxmlformats.org/officeDocument/2006/relationships/hyperlink" Target="https://tnezki.github.io/physics/misc/welcomes/slides/2_1_1_welcome.html" TargetMode="External"/><Relationship Id="rId2708" Type="http://schemas.openxmlformats.org/officeDocument/2006/relationships/hyperlink" Target="https://tnezki.github.io/physics/misc/welcomes/slides/2_1_2_welcome.html" TargetMode="External"/><Relationship Id="rId2709" Type="http://schemas.openxmlformats.org/officeDocument/2006/relationships/hyperlink" Target="https://tnezki.github.io/physics/misc/welcomes/slides/2_1_3_welcome.html" TargetMode="External"/><Relationship Id="rId2710" Type="http://schemas.openxmlformats.org/officeDocument/2006/relationships/hyperlink" Target="https://tnezki.github.io/physics/misc/welcomes/slides/2_2_1_welcome.html" TargetMode="External"/><Relationship Id="rId2711" Type="http://schemas.openxmlformats.org/officeDocument/2006/relationships/hyperlink" Target="https://tnezki.github.io/physics/misc/welcomes/slides/2_2_2_welcome.html" TargetMode="External"/><Relationship Id="rId2712" Type="http://schemas.openxmlformats.org/officeDocument/2006/relationships/hyperlink" Target="https://tnezki.github.io/physics/misc/welcomes/slides/2_2_3_welcome.html" TargetMode="External"/><Relationship Id="rId2713" Type="http://schemas.openxmlformats.org/officeDocument/2006/relationships/hyperlink" Target="https://tnezki.github.io/physics/misc/welcomes/slides/2_3_1_welcome.html" TargetMode="External"/><Relationship Id="rId2714" Type="http://schemas.openxmlformats.org/officeDocument/2006/relationships/hyperlink" Target="https://tnezki.github.io/physics/misc/welcomes/slides/2_3_2_welcome.html" TargetMode="External"/><Relationship Id="rId2715" Type="http://schemas.openxmlformats.org/officeDocument/2006/relationships/hyperlink" Target="https://tnezki.github.io/physics/misc/welcomes/slides/2_3_3_welcome.html" TargetMode="External"/><Relationship Id="rId2716" Type="http://schemas.openxmlformats.org/officeDocument/2006/relationships/hyperlink" Target="https://tnezki.github.io/physics/misc/welcomes/slides/2_4_1_welcome.html" TargetMode="External"/><Relationship Id="rId2717" Type="http://schemas.openxmlformats.org/officeDocument/2006/relationships/hyperlink" Target="https://tnezki.github.io/physics/misc/welcomes/slides/2_4_2_welcome.html" TargetMode="External"/><Relationship Id="rId2718" Type="http://schemas.openxmlformats.org/officeDocument/2006/relationships/hyperlink" Target="https://tnezki.github.io/physics/misc/welcomes/slides/2_4_3_welcome.html" TargetMode="External"/><Relationship Id="rId2719" Type="http://schemas.openxmlformats.org/officeDocument/2006/relationships/hyperlink" Target="https://tnezki.github.io/physics/misc/welcomes/slides/2_5_1_welcome.html" TargetMode="External"/><Relationship Id="rId2720" Type="http://schemas.openxmlformats.org/officeDocument/2006/relationships/hyperlink" Target="https://tnezki.github.io/physics/misc/welcomes/slides/2_5_2_welcome.html" TargetMode="External"/><Relationship Id="rId2721" Type="http://schemas.openxmlformats.org/officeDocument/2006/relationships/hyperlink" Target="https://tnezki.github.io/physics/misc/welcomes/slides/2_5_3_welcome.html" TargetMode="External"/><Relationship Id="rId2722" Type="http://schemas.openxmlformats.org/officeDocument/2006/relationships/hyperlink" Target="https://tnezki.github.io/physics/misc/welcomes/slides/2_sum_welcome.html" TargetMode="External"/><Relationship Id="rId2723" Type="http://schemas.openxmlformats.org/officeDocument/2006/relationships/hyperlink" Target="https://tnezki.github.io/physics/misc/welcomes/slides/3_1_1_welcome.html" TargetMode="External"/><Relationship Id="rId2724" Type="http://schemas.openxmlformats.org/officeDocument/2006/relationships/hyperlink" Target="https://tnezki.github.io/physics/misc/welcomes/slides/3_1_2_welcome.html" TargetMode="External"/><Relationship Id="rId2725" Type="http://schemas.openxmlformats.org/officeDocument/2006/relationships/hyperlink" Target="https://tnezki.github.io/physics/misc/welcomes/slides/3_1_3_welcome.html" TargetMode="External"/><Relationship Id="rId2726" Type="http://schemas.openxmlformats.org/officeDocument/2006/relationships/hyperlink" Target="https://tnezki.github.io/physics/misc/welcomes/slides/3_2_1_welcome.html" TargetMode="External"/><Relationship Id="rId2727" Type="http://schemas.openxmlformats.org/officeDocument/2006/relationships/hyperlink" Target="https://tnezki.github.io/physics/misc/welcomes/slides/3_2_2_welcome.html" TargetMode="External"/><Relationship Id="rId2728" Type="http://schemas.openxmlformats.org/officeDocument/2006/relationships/hyperlink" Target="https://tnezki.github.io/physics/misc/welcomes/slides/3_2_3_welcome.html" TargetMode="External"/><Relationship Id="rId2729" Type="http://schemas.openxmlformats.org/officeDocument/2006/relationships/hyperlink" Target="https://tnezki.github.io/physics/misc/welcomes/slides/3_3_1_welcome.html" TargetMode="External"/><Relationship Id="rId2730" Type="http://schemas.openxmlformats.org/officeDocument/2006/relationships/hyperlink" Target="https://tnezki.github.io/physics/misc/welcomes/slides/3_3_2_welcome.html" TargetMode="External"/><Relationship Id="rId2731" Type="http://schemas.openxmlformats.org/officeDocument/2006/relationships/hyperlink" Target="https://tnezki.github.io/physics/misc/welcomes/slides/3_3_3_welcome.html" TargetMode="External"/><Relationship Id="rId2732" Type="http://schemas.openxmlformats.org/officeDocument/2006/relationships/hyperlink" Target="https://tnezki.github.io/physics/misc/welcomes/slides/3_4_1_welcome.html" TargetMode="External"/><Relationship Id="rId2733" Type="http://schemas.openxmlformats.org/officeDocument/2006/relationships/hyperlink" Target="https://tnezki.github.io/physics/misc/welcomes/slides/3_4_2_welcome.html" TargetMode="External"/><Relationship Id="rId2734" Type="http://schemas.openxmlformats.org/officeDocument/2006/relationships/hyperlink" Target="https://tnezki.github.io/physics/misc/welcomes/slides/3_4_3_welcome.html" TargetMode="External"/><Relationship Id="rId2735" Type="http://schemas.openxmlformats.org/officeDocument/2006/relationships/hyperlink" Target="https://tnezki.github.io/physics/misc/welcomes/slides/3_5_1_welcome.html" TargetMode="External"/><Relationship Id="rId2736" Type="http://schemas.openxmlformats.org/officeDocument/2006/relationships/hyperlink" Target="https://tnezki.github.io/physics/misc/welcomes/slides/3_5_2_welcome.html" TargetMode="External"/><Relationship Id="rId2737" Type="http://schemas.openxmlformats.org/officeDocument/2006/relationships/hyperlink" Target="https://tnezki.github.io/physics/misc/welcomes/slides/3_5_3_welcome.html" TargetMode="External"/><Relationship Id="rId2738" Type="http://schemas.openxmlformats.org/officeDocument/2006/relationships/hyperlink" Target="https://tnezki.github.io/physics/misc/welcomes/slides/3_sum_welcome.html" TargetMode="External"/><Relationship Id="rId2739" Type="http://schemas.openxmlformats.org/officeDocument/2006/relationships/hyperlink" Target="https://tnezki.github.io/physics/misc/welcomes/slides/4_1_1_welcome.html" TargetMode="External"/><Relationship Id="rId2740" Type="http://schemas.openxmlformats.org/officeDocument/2006/relationships/hyperlink" Target="https://tnezki.github.io/physics/misc/welcomes/slides/4_1_2_welcome.html" TargetMode="External"/><Relationship Id="rId2741" Type="http://schemas.openxmlformats.org/officeDocument/2006/relationships/hyperlink" Target="https://tnezki.github.io/physics/misc/welcomes/slides/4_1_3_welcome.html" TargetMode="External"/><Relationship Id="rId2742" Type="http://schemas.openxmlformats.org/officeDocument/2006/relationships/hyperlink" Target="https://tnezki.github.io/physics/misc/welcomes/slides/4_2_1_welcome.html" TargetMode="External"/><Relationship Id="rId2743" Type="http://schemas.openxmlformats.org/officeDocument/2006/relationships/hyperlink" Target="https://tnezki.github.io/physics/misc/welcomes/slides/4_2_2_welcome.html" TargetMode="External"/><Relationship Id="rId2744" Type="http://schemas.openxmlformats.org/officeDocument/2006/relationships/hyperlink" Target="https://tnezki.github.io/physics/misc/welcomes/slides/4_2_3_welcome.html" TargetMode="External"/><Relationship Id="rId2745" Type="http://schemas.openxmlformats.org/officeDocument/2006/relationships/hyperlink" Target="https://tnezki.github.io/physics/misc/welcomes/slides/4_3_1_welcome.html" TargetMode="External"/><Relationship Id="rId2746" Type="http://schemas.openxmlformats.org/officeDocument/2006/relationships/hyperlink" Target="https://tnezki.github.io/physics/misc/welcomes/slides/4_3_2_welcome.html" TargetMode="External"/><Relationship Id="rId2747" Type="http://schemas.openxmlformats.org/officeDocument/2006/relationships/hyperlink" Target="https://tnezki.github.io/physics/misc/welcomes/slides/4_3_3_welcome.html" TargetMode="External"/><Relationship Id="rId2748" Type="http://schemas.openxmlformats.org/officeDocument/2006/relationships/hyperlink" Target="https://tnezki.github.io/physics/misc/welcomes/slides/4_4_1_welcome.html" TargetMode="External"/><Relationship Id="rId2749" Type="http://schemas.openxmlformats.org/officeDocument/2006/relationships/hyperlink" Target="https://tnezki.github.io/physics/misc/welcomes/slides/4_4_2_welcome.html" TargetMode="External"/><Relationship Id="rId2750" Type="http://schemas.openxmlformats.org/officeDocument/2006/relationships/hyperlink" Target="https://tnezki.github.io/physics/misc/welcomes/slides/4_4_3_welcome.html" TargetMode="External"/><Relationship Id="rId2751" Type="http://schemas.openxmlformats.org/officeDocument/2006/relationships/hyperlink" Target="https://tnezki.github.io/physics/misc/welcomes/slides/4_5_1_welcome.html" TargetMode="External"/><Relationship Id="rId2752" Type="http://schemas.openxmlformats.org/officeDocument/2006/relationships/hyperlink" Target="https://tnezki.github.io/physics/misc/welcomes/slides/4_5_2_welcome.html" TargetMode="External"/><Relationship Id="rId2753" Type="http://schemas.openxmlformats.org/officeDocument/2006/relationships/hyperlink" Target="https://tnezki.github.io/physics/misc/welcomes/slides/4_5_3_welcome.html" TargetMode="External"/><Relationship Id="rId2754" Type="http://schemas.openxmlformats.org/officeDocument/2006/relationships/hyperlink" Target="https://tnezki.github.io/physics/misc/welcomes/slides/4_sum_welcome.html" TargetMode="External"/><Relationship Id="rId2755" Type="http://schemas.openxmlformats.org/officeDocument/2006/relationships/hyperlink" Target="https://tnezki.github.io/physics/misc/welcomes/slides/5_1_1_welcome.html" TargetMode="External"/><Relationship Id="rId2756" Type="http://schemas.openxmlformats.org/officeDocument/2006/relationships/hyperlink" Target="https://tnezki.github.io/physics/misc/welcomes/slides/5_1_2_welcome.html" TargetMode="External"/><Relationship Id="rId2757" Type="http://schemas.openxmlformats.org/officeDocument/2006/relationships/hyperlink" Target="https://tnezki.github.io/physics/misc/welcomes/slides/5_1_3_welcome.html" TargetMode="External"/><Relationship Id="rId2758" Type="http://schemas.openxmlformats.org/officeDocument/2006/relationships/hyperlink" Target="https://tnezki.github.io/physics/misc/welcomes/slides/5_2_1_welcome.html" TargetMode="External"/><Relationship Id="rId2759" Type="http://schemas.openxmlformats.org/officeDocument/2006/relationships/hyperlink" Target="https://tnezki.github.io/physics/misc/welcomes/slides/5_2_2_welcome.html" TargetMode="External"/><Relationship Id="rId2760" Type="http://schemas.openxmlformats.org/officeDocument/2006/relationships/hyperlink" Target="https://tnezki.github.io/physics/misc/welcomes/slides/5_2_3_welcome.html" TargetMode="External"/><Relationship Id="rId2761" Type="http://schemas.openxmlformats.org/officeDocument/2006/relationships/hyperlink" Target="https://tnezki.github.io/physics/misc/welcomes/slides/5_3_1_welcome.html" TargetMode="External"/><Relationship Id="rId2762" Type="http://schemas.openxmlformats.org/officeDocument/2006/relationships/hyperlink" Target="https://tnezki.github.io/physics/misc/welcomes/slides/5_3_2_welcome.html" TargetMode="External"/><Relationship Id="rId2763" Type="http://schemas.openxmlformats.org/officeDocument/2006/relationships/hyperlink" Target="https://tnezki.github.io/physics/misc/welcomes/slides/5_3_3_welcome.html" TargetMode="External"/><Relationship Id="rId2764" Type="http://schemas.openxmlformats.org/officeDocument/2006/relationships/hyperlink" Target="https://tnezki.github.io/physics/misc/welcomes/slides/5_4_1_welcome.html" TargetMode="External"/><Relationship Id="rId2765" Type="http://schemas.openxmlformats.org/officeDocument/2006/relationships/hyperlink" Target="https://tnezki.github.io/physics/misc/welcomes/slides/5_4_2_welcome.html" TargetMode="External"/><Relationship Id="rId2766" Type="http://schemas.openxmlformats.org/officeDocument/2006/relationships/hyperlink" Target="https://tnezki.github.io/physics/misc/welcomes/slides/5_4_3_welcome.html" TargetMode="External"/><Relationship Id="rId2767" Type="http://schemas.openxmlformats.org/officeDocument/2006/relationships/hyperlink" Target="https://tnezki.github.io/physics/misc/welcomes/slides/5_5_1_welcome.html" TargetMode="External"/><Relationship Id="rId2768" Type="http://schemas.openxmlformats.org/officeDocument/2006/relationships/hyperlink" Target="https://tnezki.github.io/physics/misc/welcomes/slides/5_5_2_welcome.html" TargetMode="External"/><Relationship Id="rId2769" Type="http://schemas.openxmlformats.org/officeDocument/2006/relationships/hyperlink" Target="https://tnezki.github.io/physics/misc/welcomes/slides/5_5_3_welcome.html" TargetMode="External"/><Relationship Id="rId2770" Type="http://schemas.openxmlformats.org/officeDocument/2006/relationships/hyperlink" Target="https://tnezki.github.io/physics/misc/welcomes/slides/5_sum_welcome.html" TargetMode="External"/><Relationship Id="rId2771" Type="http://schemas.openxmlformats.org/officeDocument/2006/relationships/hyperlink" Target="https://tnezki.github.io/physics/misc/welcomes/slides/6_1_1_welcome.html" TargetMode="External"/><Relationship Id="rId2772" Type="http://schemas.openxmlformats.org/officeDocument/2006/relationships/hyperlink" Target="https://tnezki.github.io/physics/misc/welcomes/slides/6_1_2_welcome.html" TargetMode="External"/><Relationship Id="rId2773" Type="http://schemas.openxmlformats.org/officeDocument/2006/relationships/hyperlink" Target="https://tnezki.github.io/physics/misc/welcomes/slides/6_1_3_welcome.html" TargetMode="External"/><Relationship Id="rId2774" Type="http://schemas.openxmlformats.org/officeDocument/2006/relationships/hyperlink" Target="https://tnezki.github.io/physics/misc/welcomes/slides/6_2_1_welcome.html" TargetMode="External"/><Relationship Id="rId2775" Type="http://schemas.openxmlformats.org/officeDocument/2006/relationships/hyperlink" Target="https://tnezki.github.io/physics/misc/welcomes/slides/6_2_2_welcome.html" TargetMode="External"/><Relationship Id="rId2776" Type="http://schemas.openxmlformats.org/officeDocument/2006/relationships/hyperlink" Target="https://tnezki.github.io/physics/misc/welcomes/slides/6_2_3_welcome.html" TargetMode="External"/><Relationship Id="rId2777" Type="http://schemas.openxmlformats.org/officeDocument/2006/relationships/hyperlink" Target="https://tnezki.github.io/physics/misc/welcomes/slides/6_3_1_welcome.html" TargetMode="External"/><Relationship Id="rId2778" Type="http://schemas.openxmlformats.org/officeDocument/2006/relationships/hyperlink" Target="https://tnezki.github.io/physics/misc/welcomes/slides/6_3_2_welcome.html" TargetMode="External"/><Relationship Id="rId2779" Type="http://schemas.openxmlformats.org/officeDocument/2006/relationships/hyperlink" Target="https://tnezki.github.io/physics/misc/welcomes/slides/6_3_3_welcome.html" TargetMode="External"/><Relationship Id="rId2780" Type="http://schemas.openxmlformats.org/officeDocument/2006/relationships/hyperlink" Target="https://tnezki.github.io/physics/misc/welcomes/slides/6_4_1_welcome.html" TargetMode="External"/><Relationship Id="rId2781" Type="http://schemas.openxmlformats.org/officeDocument/2006/relationships/hyperlink" Target="https://tnezki.github.io/physics/misc/welcomes/slides/6_4_2_welcome.html" TargetMode="External"/><Relationship Id="rId2782" Type="http://schemas.openxmlformats.org/officeDocument/2006/relationships/hyperlink" Target="https://tnezki.github.io/physics/misc/welcomes/slides/6_4_3_welcome.html" TargetMode="External"/><Relationship Id="rId2783" Type="http://schemas.openxmlformats.org/officeDocument/2006/relationships/hyperlink" Target="https://tnezki.github.io/physics/misc/welcomes/slides/6_5_1_welcome.html" TargetMode="External"/><Relationship Id="rId2784" Type="http://schemas.openxmlformats.org/officeDocument/2006/relationships/hyperlink" Target="https://tnezki.github.io/physics/misc/welcomes/slides/6_5_2_welcome.html" TargetMode="External"/><Relationship Id="rId2785" Type="http://schemas.openxmlformats.org/officeDocument/2006/relationships/hyperlink" Target="https://tnezki.github.io/physics/misc/welcomes/slides/6_5_3_welcome.html" TargetMode="External"/><Relationship Id="rId2786" Type="http://schemas.openxmlformats.org/officeDocument/2006/relationships/hyperlink" Target="https://tnezki.github.io/physics/misc/welcomes/slides/6_sum_welcome.html" TargetMode="External"/><Relationship Id="rId2787" Type="http://schemas.openxmlformats.org/officeDocument/2006/relationships/hyperlink" Target="https://tnezki.github.io/physics/misc/welcomes/slides/7_1_1_welcome.html" TargetMode="External"/><Relationship Id="rId2788" Type="http://schemas.openxmlformats.org/officeDocument/2006/relationships/hyperlink" Target="https://tnezki.github.io/physics/misc/welcomes/slides/7_1_2_welcome.html" TargetMode="External"/><Relationship Id="rId2789" Type="http://schemas.openxmlformats.org/officeDocument/2006/relationships/hyperlink" Target="https://tnezki.github.io/physics/misc/welcomes/slides/7_1_3_welcome.html" TargetMode="External"/><Relationship Id="rId2790" Type="http://schemas.openxmlformats.org/officeDocument/2006/relationships/hyperlink" Target="https://tnezki.github.io/physics/misc/welcomes/slides/7_2_1_welcome.html" TargetMode="External"/><Relationship Id="rId2791" Type="http://schemas.openxmlformats.org/officeDocument/2006/relationships/hyperlink" Target="https://tnezki.github.io/physics/misc/welcomes/slides/7_2_2_welcome.html" TargetMode="External"/><Relationship Id="rId2792" Type="http://schemas.openxmlformats.org/officeDocument/2006/relationships/hyperlink" Target="https://tnezki.github.io/physics/misc/welcomes/slides/7_2_3_welcome.html" TargetMode="External"/><Relationship Id="rId2793" Type="http://schemas.openxmlformats.org/officeDocument/2006/relationships/hyperlink" Target="https://tnezki.github.io/physics/misc/welcomes/slides/7_3_1_welcome.html" TargetMode="External"/><Relationship Id="rId2794" Type="http://schemas.openxmlformats.org/officeDocument/2006/relationships/hyperlink" Target="https://tnezki.github.io/physics/misc/welcomes/slides/7_3_2_welcome.html" TargetMode="External"/><Relationship Id="rId2795" Type="http://schemas.openxmlformats.org/officeDocument/2006/relationships/hyperlink" Target="https://tnezki.github.io/physics/misc/welcomes/slides/7_3_3_welcome.html" TargetMode="External"/><Relationship Id="rId2796" Type="http://schemas.openxmlformats.org/officeDocument/2006/relationships/hyperlink" Target="https://tnezki.github.io/physics/misc/welcomes/slides/7_4_1_welcome.html" TargetMode="External"/><Relationship Id="rId2797" Type="http://schemas.openxmlformats.org/officeDocument/2006/relationships/hyperlink" Target="https://tnezki.github.io/physics/misc/welcomes/slides/7_4_2_welcome.html" TargetMode="External"/><Relationship Id="rId2798" Type="http://schemas.openxmlformats.org/officeDocument/2006/relationships/hyperlink" Target="https://tnezki.github.io/physics/misc/welcomes/slides/7_4_3_welcome.html" TargetMode="External"/><Relationship Id="rId2799" Type="http://schemas.openxmlformats.org/officeDocument/2006/relationships/hyperlink" Target="https://tnezki.github.io/physics/misc/welcomes/slides/7_5_1_welcome.html" TargetMode="External"/><Relationship Id="rId2800" Type="http://schemas.openxmlformats.org/officeDocument/2006/relationships/hyperlink" Target="https://tnezki.github.io/physics/misc/welcomes/slides/7_5_2_welcome.html" TargetMode="External"/><Relationship Id="rId2801" Type="http://schemas.openxmlformats.org/officeDocument/2006/relationships/hyperlink" Target="https://tnezki.github.io/physics/misc/welcomes/slides/7_5_3_welcome.html" TargetMode="External"/><Relationship Id="rId2802" Type="http://schemas.openxmlformats.org/officeDocument/2006/relationships/hyperlink" Target="https://tnezki.github.io/physics/misc/welcomes/slides/7_sum_welcome.html" TargetMode="External"/><Relationship Id="rId2803" Type="http://schemas.openxmlformats.org/officeDocument/2006/relationships/hyperlink" Target="https://tnezki.github.io/physics/misc/welcomes/slides/8_1_1_welcome.html" TargetMode="External"/><Relationship Id="rId2804" Type="http://schemas.openxmlformats.org/officeDocument/2006/relationships/hyperlink" Target="https://tnezki.github.io/physics/misc/welcomes/slides/8_1_2_welcome.html" TargetMode="External"/><Relationship Id="rId2805" Type="http://schemas.openxmlformats.org/officeDocument/2006/relationships/hyperlink" Target="https://tnezki.github.io/physics/misc/welcomes/slides/8_1_3_welcome.html" TargetMode="External"/><Relationship Id="rId2806" Type="http://schemas.openxmlformats.org/officeDocument/2006/relationships/hyperlink" Target="https://tnezki.github.io/physics/misc/welcomes/slides/8_2_1_welcome.html" TargetMode="External"/><Relationship Id="rId2807" Type="http://schemas.openxmlformats.org/officeDocument/2006/relationships/hyperlink" Target="https://tnezki.github.io/physics/misc/welcomes/slides/8_2_2_welcome.html" TargetMode="External"/><Relationship Id="rId2808" Type="http://schemas.openxmlformats.org/officeDocument/2006/relationships/hyperlink" Target="https://tnezki.github.io/physics/misc/welcomes/slides/8_2_3_welcome.html" TargetMode="External"/><Relationship Id="rId2809" Type="http://schemas.openxmlformats.org/officeDocument/2006/relationships/hyperlink" Target="https://tnezki.github.io/physics/misc/welcomes/slides/8_3_1_welcome.html" TargetMode="External"/><Relationship Id="rId2810" Type="http://schemas.openxmlformats.org/officeDocument/2006/relationships/hyperlink" Target="https://tnezki.github.io/physics/misc/welcomes/slides/8_3_2_welcome.html" TargetMode="External"/><Relationship Id="rId2811" Type="http://schemas.openxmlformats.org/officeDocument/2006/relationships/hyperlink" Target="https://tnezki.github.io/physics/misc/welcomes/slides/8_3_3_welcome.html" TargetMode="External"/><Relationship Id="rId2812" Type="http://schemas.openxmlformats.org/officeDocument/2006/relationships/hyperlink" Target="https://tnezki.github.io/physics/misc/welcomes/slides/8_4_1_welcome.html" TargetMode="External"/><Relationship Id="rId2813" Type="http://schemas.openxmlformats.org/officeDocument/2006/relationships/hyperlink" Target="https://tnezki.github.io/physics/misc/welcomes/slides/8_4_2_welcome.html" TargetMode="External"/><Relationship Id="rId2814" Type="http://schemas.openxmlformats.org/officeDocument/2006/relationships/hyperlink" Target="https://tnezki.github.io/physics/misc/welcomes/slides/8_4_3_welcome.html" TargetMode="External"/><Relationship Id="rId2815" Type="http://schemas.openxmlformats.org/officeDocument/2006/relationships/hyperlink" Target="https://tnezki.github.io/physics/misc/welcomes/slides/8_5_1_welcome.html" TargetMode="External"/><Relationship Id="rId2816" Type="http://schemas.openxmlformats.org/officeDocument/2006/relationships/hyperlink" Target="https://tnezki.github.io/physics/misc/welcomes/slides/8_5_2_welcome.html" TargetMode="External"/><Relationship Id="rId2817" Type="http://schemas.openxmlformats.org/officeDocument/2006/relationships/hyperlink" Target="https://tnezki.github.io/physics/misc/welcomes/slides/8_5_3_welcome.html" TargetMode="External"/><Relationship Id="rId2818" Type="http://schemas.openxmlformats.org/officeDocument/2006/relationships/hyperlink" Target="https://tnezki.github.io/physics/misc/welcomes/slides/8_sum_welcome.html" TargetMode="External"/><Relationship Id="rId2819" Type="http://schemas.openxmlformats.org/officeDocument/2006/relationships/hyperlink" Target="https://tnezki.github.io/physics/misc/first_4_days/survey/first_4_days_survey.html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rrToxZ84-VGe-75JeIofcH6FXqdCFiE-MNlwDZNvMs4/edit?usp=sharing" TargetMode="External"/><Relationship Id="rId2" Type="http://schemas.openxmlformats.org/officeDocument/2006/relationships/hyperlink" Target="https://tnezki.github.io/textbooks/phy/index.html" TargetMode="External"/><Relationship Id="rId3" Type="http://schemas.openxmlformats.org/officeDocument/2006/relationships/hyperlink" Target="https://tnezki.github.io/physics/misc/formula_sheet.html" TargetMode="External"/><Relationship Id="rId4" Type="http://schemas.openxmlformats.org/officeDocument/2006/relationships/hyperlink" Target="https://tnezki.github.io/physics/misc/printables/aaagallery_index.html" TargetMode="External"/><Relationship Id="rId9" Type="http://schemas.openxmlformats.org/officeDocument/2006/relationships/hyperlink" Target="https://ophysics.com/index.html" TargetMode="External"/><Relationship Id="rId5" Type="http://schemas.openxmlformats.org/officeDocument/2006/relationships/hyperlink" Target="https://www.desmos.com/calculator" TargetMode="External"/><Relationship Id="rId6" Type="http://schemas.openxmlformats.org/officeDocument/2006/relationships/hyperlink" Target="https://mariners.instructure.com/" TargetMode="External"/><Relationship Id="rId7" Type="http://schemas.openxmlformats.org/officeDocument/2006/relationships/hyperlink" Target="https://drive.google.com/drive/folders/1wxxAxIxJ9yU5goiVNriIVpmiEJmE7SX2?usp=drive_link" TargetMode="External"/><Relationship Id="rId8" Type="http://schemas.openxmlformats.org/officeDocument/2006/relationships/hyperlink" Target="https://phet.colorado.edu/en/simulations/filter?subjects=physics" TargetMode="External"/><Relationship Id="rId20" Type="http://schemas.openxmlformats.org/officeDocument/2006/relationships/hyperlink" Target="https://thephysicsaviary.com/Physics/Programs/Labs/find.php" TargetMode="External"/><Relationship Id="rId22" Type="http://schemas.openxmlformats.org/officeDocument/2006/relationships/hyperlink" Target="https://www.physicslessons.com/" TargetMode="External"/><Relationship Id="rId21" Type="http://schemas.openxmlformats.org/officeDocument/2006/relationships/hyperlink" Target="https://www.physicsclassroom.com/" TargetMode="External"/><Relationship Id="rId24" Type="http://schemas.openxmlformats.org/officeDocument/2006/relationships/drawing" Target="../drawings/drawing4.xml"/><Relationship Id="rId23" Type="http://schemas.openxmlformats.org/officeDocument/2006/relationships/hyperlink" Target="https://www.circuit-diagram.org/editor/" TargetMode="External"/><Relationship Id="rId11" Type="http://schemas.openxmlformats.org/officeDocument/2006/relationships/hyperlink" Target="https://www.falstad.com//mathphysics.html" TargetMode="External"/><Relationship Id="rId10" Type="http://schemas.openxmlformats.org/officeDocument/2006/relationships/hyperlink" Target="https://www.walter-fendt.de/html5/phen/" TargetMode="External"/><Relationship Id="rId13" Type="http://schemas.openxmlformats.org/officeDocument/2006/relationships/hyperlink" Target="https://conceptual.academy/" TargetMode="External"/><Relationship Id="rId12" Type="http://schemas.openxmlformats.org/officeDocument/2006/relationships/hyperlink" Target="https://www.youtube.com/channel/UCiEHVhv0SBMpP75JbzJShqw" TargetMode="External"/><Relationship Id="rId15" Type="http://schemas.openxmlformats.org/officeDocument/2006/relationships/hyperlink" Target="https://docs.google.com/document/d/18imPwnYQjblasMS8x97DjKeNDjWNKTnOa3iBoTwCYVA/edit?usp=sharing" TargetMode="External"/><Relationship Id="rId14" Type="http://schemas.openxmlformats.org/officeDocument/2006/relationships/hyperlink" Target="https://docs.google.com/document/d/1QvXUsWFheXsYBYnz3dk3_YMlkLDRNXAj06kYKm--pyU/edit?usp=sharing" TargetMode="External"/><Relationship Id="rId17" Type="http://schemas.openxmlformats.org/officeDocument/2006/relationships/hyperlink" Target="https://docs.google.com/document/d/1pooMLzaO0D9wKbjEwmE7E_9OpiI-qSssz9Vnv9PqQPU/edit?usp=drive_link" TargetMode="External"/><Relationship Id="rId16" Type="http://schemas.openxmlformats.org/officeDocument/2006/relationships/hyperlink" Target="https://tnezki.github.io/algebra/misc/welcomes/welcome.html" TargetMode="External"/><Relationship Id="rId19" Type="http://schemas.openxmlformats.org/officeDocument/2006/relationships/hyperlink" Target="http://islevideos.net/index.php" TargetMode="External"/><Relationship Id="rId18" Type="http://schemas.openxmlformats.org/officeDocument/2006/relationships/hyperlink" Target="https://demos.smu.ca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media.edlio.net/f096e96c/452ba0d2/2a873eb1/824250c26f404a719d7f7a8d0cfd0e06?_=STTS%20cards%202015.pdf" TargetMode="External"/><Relationship Id="rId2" Type="http://schemas.openxmlformats.org/officeDocument/2006/relationships/hyperlink" Target="https://docs.google.com/document/d/18imPwnYQjblasMS8x97DjKeNDjWNKTnOa3iBoTwCYVA/edit?usp=sharing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rrToxZ84-VGe-75JeIofcH6FXqdCFiE-MNlwDZNvMs4/edit?usp=sharing" TargetMode="External"/><Relationship Id="rId2" Type="http://schemas.openxmlformats.org/officeDocument/2006/relationships/hyperlink" Target="https://tnezki.github.io/textbooks/alg/index.html" TargetMode="External"/><Relationship Id="rId3" Type="http://schemas.openxmlformats.org/officeDocument/2006/relationships/hyperlink" Target="https://technology.cpm.org/general/tiles/" TargetMode="External"/><Relationship Id="rId4" Type="http://schemas.openxmlformats.org/officeDocument/2006/relationships/hyperlink" Target="https://tnezki.github.io/algebra/misc/printables/aaagallery_index.html" TargetMode="External"/><Relationship Id="rId9" Type="http://schemas.openxmlformats.org/officeDocument/2006/relationships/hyperlink" Target="https://drive.google.com/drive/folders/1DwDKsvsAHMFefLMderdK8PI3MBcvXAxu?usp=sharing" TargetMode="External"/><Relationship Id="rId5" Type="http://schemas.openxmlformats.org/officeDocument/2006/relationships/hyperlink" Target="https://www.geogebra.org/m/EzCuXRvT" TargetMode="External"/><Relationship Id="rId6" Type="http://schemas.openxmlformats.org/officeDocument/2006/relationships/hyperlink" Target="https://www.desmos.com/calculator" TargetMode="External"/><Relationship Id="rId7" Type="http://schemas.openxmlformats.org/officeDocument/2006/relationships/hyperlink" Target="https://www.geogebra.org/graphing" TargetMode="External"/><Relationship Id="rId8" Type="http://schemas.openxmlformats.org/officeDocument/2006/relationships/hyperlink" Target="https://mariners.instructure.com/" TargetMode="External"/><Relationship Id="rId11" Type="http://schemas.openxmlformats.org/officeDocument/2006/relationships/hyperlink" Target="https://docs.google.com/document/d/1GihYf2MAXI7G2eIRL6x_J330focOVzB3dFdayrFiMR0/edit?usp=sharing" TargetMode="External"/><Relationship Id="rId10" Type="http://schemas.openxmlformats.org/officeDocument/2006/relationships/hyperlink" Target="https://videoanalysis.app/" TargetMode="External"/><Relationship Id="rId13" Type="http://schemas.openxmlformats.org/officeDocument/2006/relationships/hyperlink" Target="https://docs.google.com/document/d/18imPwnYQjblasMS8x97DjKeNDjWNKTnOa3iBoTwCYVA/edit?usp=sharing" TargetMode="External"/><Relationship Id="rId12" Type="http://schemas.openxmlformats.org/officeDocument/2006/relationships/hyperlink" Target="https://docs.google.com/document/d/1QvXUsWFheXsYBYnz3dk3_YMlkLDRNXAj06kYKm--pyU/edit?usp=sharing" TargetMode="External"/><Relationship Id="rId15" Type="http://schemas.openxmlformats.org/officeDocument/2006/relationships/hyperlink" Target="https://docs.google.com/document/d/1pooMLzaO0D9wKbjEwmE7E_9OpiI-qSssz9Vnv9PqQPU/edit?usp=drive_link" TargetMode="External"/><Relationship Id="rId14" Type="http://schemas.openxmlformats.org/officeDocument/2006/relationships/hyperlink" Target="https://tnezki.github.io/algebra/misc/welcomes/welcome.html" TargetMode="External"/><Relationship Id="rId17" Type="http://schemas.openxmlformats.org/officeDocument/2006/relationships/drawing" Target="../drawings/drawing7.xml"/><Relationship Id="rId16" Type="http://schemas.openxmlformats.org/officeDocument/2006/relationships/hyperlink" Target="https://www.flippedmath.com/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rrToxZ84-VGe-75JeIofcH6FXqdCFiE-MNlwDZNvMs4/edit?usp=sharing" TargetMode="External"/><Relationship Id="rId2" Type="http://schemas.openxmlformats.org/officeDocument/2006/relationships/hyperlink" Target="https://myap.collegeboard.org/login" TargetMode="External"/><Relationship Id="rId3" Type="http://schemas.openxmlformats.org/officeDocument/2006/relationships/hyperlink" Target="https://apcentral.collegeboard.org/courses/ap-calculus-ab" TargetMode="External"/><Relationship Id="rId4" Type="http://schemas.openxmlformats.org/officeDocument/2006/relationships/hyperlink" Target="https://tnezki.github.io/textbooks/apcalc/index.html" TargetMode="External"/><Relationship Id="rId9" Type="http://schemas.openxmlformats.org/officeDocument/2006/relationships/hyperlink" Target="https://drive.google.com/drive/folders/10CsdXTol83A22hUiwB6c45CyY5eVCAxn?usp=drive_link" TargetMode="External"/><Relationship Id="rId5" Type="http://schemas.openxmlformats.org/officeDocument/2006/relationships/hyperlink" Target="https://tnezki.github.io/algebra/misc/printables/aaagallery_index.html" TargetMode="External"/><Relationship Id="rId6" Type="http://schemas.openxmlformats.org/officeDocument/2006/relationships/hyperlink" Target="https://www.desmos.com/calculator" TargetMode="External"/><Relationship Id="rId7" Type="http://schemas.openxmlformats.org/officeDocument/2006/relationships/hyperlink" Target="https://www.geogebra.org/graphing" TargetMode="External"/><Relationship Id="rId8" Type="http://schemas.openxmlformats.org/officeDocument/2006/relationships/hyperlink" Target="https://mariners.instructure.com/" TargetMode="External"/><Relationship Id="rId20" Type="http://schemas.openxmlformats.org/officeDocument/2006/relationships/hyperlink" Target="https://docs.google.com/document/d/18imPwnYQjblasMS8x97DjKeNDjWNKTnOa3iBoTwCYVA/edit?usp=sharing" TargetMode="External"/><Relationship Id="rId22" Type="http://schemas.openxmlformats.org/officeDocument/2006/relationships/hyperlink" Target="https://docs.google.com/document/d/1vFhhtZUWGwT5vvVOrHxnkk1lRY_nZe7zCe4bhSPRwBw/edit?usp=drive_link" TargetMode="External"/><Relationship Id="rId21" Type="http://schemas.openxmlformats.org/officeDocument/2006/relationships/hyperlink" Target="https://tnezki.github.io/apcalc/misc/welcomes/welcome.html" TargetMode="External"/><Relationship Id="rId24" Type="http://schemas.openxmlformats.org/officeDocument/2006/relationships/drawing" Target="../drawings/drawing8.xml"/><Relationship Id="rId23" Type="http://schemas.openxmlformats.org/officeDocument/2006/relationships/hyperlink" Target="https://www.flippedmath.com/" TargetMode="External"/><Relationship Id="rId11" Type="http://schemas.openxmlformats.org/officeDocument/2006/relationships/hyperlink" Target="https://drive.google.com/open?id=0B6fznOHK0RHAczRoVkw3QkEyc1U" TargetMode="External"/><Relationship Id="rId10" Type="http://schemas.openxmlformats.org/officeDocument/2006/relationships/hyperlink" Target="https://drive.google.com/open?id=0B6fznOHK0RHAWHAwVjhIQmN2UEE" TargetMode="External"/><Relationship Id="rId13" Type="http://schemas.openxmlformats.org/officeDocument/2006/relationships/hyperlink" Target="https://tnezki.github.io/pc/resources/parent_fuctions.pdf" TargetMode="External"/><Relationship Id="rId12" Type="http://schemas.openxmlformats.org/officeDocument/2006/relationships/hyperlink" Target="https://drive.google.com/open?id=0B6fznOHK0RHAZGtQZWZmZHFJM00" TargetMode="External"/><Relationship Id="rId15" Type="http://schemas.openxmlformats.org/officeDocument/2006/relationships/hyperlink" Target="https://www.geogebra.org/m/XFgMaKTy" TargetMode="External"/><Relationship Id="rId14" Type="http://schemas.openxmlformats.org/officeDocument/2006/relationships/hyperlink" Target="https://www.geogebra.org/m/Pd4Hn4BR" TargetMode="External"/><Relationship Id="rId17" Type="http://schemas.openxmlformats.org/officeDocument/2006/relationships/hyperlink" Target="https://www.khanacademy.org/math/calculus-1" TargetMode="External"/><Relationship Id="rId16" Type="http://schemas.openxmlformats.org/officeDocument/2006/relationships/hyperlink" Target="https://www.youtube.com/watch?v=SOkMGWCLqoc" TargetMode="External"/><Relationship Id="rId19" Type="http://schemas.openxmlformats.org/officeDocument/2006/relationships/hyperlink" Target="https://docs.google.com/document/d/1QvXUsWFheXsYBYnz3dk3_YMlkLDRNXAj06kYKm--pyU/edit?usp=sharing" TargetMode="External"/><Relationship Id="rId18" Type="http://schemas.openxmlformats.org/officeDocument/2006/relationships/hyperlink" Target="https://www.youtube.com/playlist?list=PL3Gnjw2fQSnH_Okp7aPcH71yC8SqHKc-o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5" width="24.0"/>
    <col customWidth="1" min="6" max="6" width="12.63"/>
  </cols>
  <sheetData>
    <row r="1">
      <c r="A1" s="7" t="s">
        <v>3</v>
      </c>
      <c r="B1" s="7" t="s">
        <v>4</v>
      </c>
      <c r="C1" s="7" t="s">
        <v>5</v>
      </c>
      <c r="D1" s="7" t="s">
        <v>7</v>
      </c>
      <c r="E1" s="7" t="s">
        <v>8</v>
      </c>
    </row>
    <row r="2">
      <c r="A2" s="10">
        <f>'Teacher Calendar'!D2</f>
        <v>46265</v>
      </c>
      <c r="B2" s="10">
        <f>'Teacher Calendar'!E2</f>
        <v>46266</v>
      </c>
      <c r="C2" s="10">
        <f>'Teacher Calendar'!F2</f>
        <v>46267</v>
      </c>
      <c r="D2" s="10">
        <f>'Teacher Calendar'!G2</f>
        <v>46268</v>
      </c>
      <c r="E2" s="10">
        <f>'Teacher Calendar'!H2</f>
        <v>46269</v>
      </c>
    </row>
    <row r="3">
      <c r="A3" s="15" t="str">
        <f>'Teacher Calendar'!D3</f>
        <v>0.1 Get Acquainted</v>
      </c>
      <c r="B3" s="16" t="str">
        <f>'Teacher Calendar'!E3</f>
        <v>0.1 Get Acquainted</v>
      </c>
      <c r="C3" s="16" t="str">
        <f>'Teacher Calendar'!F3</f>
        <v>0.1 Get Acquainted</v>
      </c>
      <c r="D3" s="16" t="str">
        <f>'Teacher Calendar'!G3</f>
        <v>House Keeping</v>
      </c>
      <c r="E3" s="21" t="str">
        <f>'Teacher Calendar'!H3</f>
        <v/>
      </c>
    </row>
    <row r="4">
      <c r="A4" s="23" t="str">
        <f>'Teacher Calendar'!D4</f>
        <v>Warm Up</v>
      </c>
      <c r="B4" s="23" t="str">
        <f>'Teacher Calendar'!E4</f>
        <v>Warm Up</v>
      </c>
      <c r="C4" s="23" t="str">
        <f>'Teacher Calendar'!F4</f>
        <v>Warm Up</v>
      </c>
      <c r="D4" s="23" t="str">
        <f>'Teacher Calendar'!G4</f>
        <v>Warm Up</v>
      </c>
      <c r="E4" s="27" t="str">
        <f>'Teacher Calendar'!H4</f>
        <v>Labor Day</v>
      </c>
    </row>
    <row r="5">
      <c r="A5" s="28" t="str">
        <f>'Teacher Calendar'!D5</f>
        <v>Notes</v>
      </c>
      <c r="B5" s="31" t="str">
        <f>'Teacher Calendar'!E5</f>
        <v>Investigation</v>
      </c>
      <c r="C5" s="31" t="str">
        <f>'Teacher Calendar'!F5</f>
        <v>Investigation</v>
      </c>
      <c r="D5" s="31" t="str">
        <f>'Teacher Calendar'!G5</f>
        <v>Activity</v>
      </c>
      <c r="E5" s="33" t="str">
        <f>'Teacher Calendar'!H5</f>
        <v/>
      </c>
    </row>
    <row r="6">
      <c r="A6" s="23" t="str">
        <f>'Teacher Calendar'!D6</f>
        <v>Practice Set</v>
      </c>
      <c r="B6" s="23" t="str">
        <f>'Teacher Calendar'!E6</f>
        <v>Practice Set</v>
      </c>
      <c r="C6" s="23" t="str">
        <f>'Teacher Calendar'!F6</f>
        <v>Activity</v>
      </c>
      <c r="D6" s="27" t="str">
        <f>'Teacher Calendar'!G6</f>
        <v>Return Portfolio</v>
      </c>
      <c r="E6" s="27" t="str">
        <f>'Teacher Calendar'!H6</f>
        <v/>
      </c>
    </row>
    <row r="7">
      <c r="A7" s="36" t="str">
        <f>'Teacher Calendar'!D7</f>
        <v/>
      </c>
      <c r="B7" s="31" t="str">
        <f>'Teacher Calendar'!E7</f>
        <v>Extra Practice</v>
      </c>
      <c r="C7" s="31" t="str">
        <f>'Teacher Calendar'!F7</f>
        <v>Practice Set</v>
      </c>
      <c r="D7" s="31" t="str">
        <f>'Teacher Calendar'!G7</f>
        <v>Overview</v>
      </c>
      <c r="E7" s="33" t="str">
        <f>'Teacher Calendar'!H7</f>
        <v/>
      </c>
    </row>
    <row r="8">
      <c r="A8" s="27" t="str">
        <f>'Teacher Calendar'!D8</f>
        <v/>
      </c>
      <c r="B8" s="27" t="str">
        <f>'Teacher Calendar'!E8</f>
        <v/>
      </c>
      <c r="C8" s="23" t="str">
        <f>'Teacher Calendar'!F8</f>
        <v>Extra Practice</v>
      </c>
      <c r="D8" s="27" t="str">
        <f>'Teacher Calendar'!G8</f>
        <v>Survey</v>
      </c>
      <c r="E8" s="27" t="str">
        <f>'Teacher Calendar'!H8</f>
        <v/>
      </c>
    </row>
    <row r="9">
      <c r="A9" s="36" t="str">
        <f>'Teacher Calendar'!D9</f>
        <v/>
      </c>
      <c r="B9" s="36" t="str">
        <f>'Teacher Calendar'!E9</f>
        <v/>
      </c>
      <c r="C9" s="36" t="str">
        <f>'Teacher Calendar'!F9</f>
        <v/>
      </c>
      <c r="D9" s="36" t="str">
        <f>'Teacher Calendar'!G9</f>
        <v/>
      </c>
      <c r="E9" s="36" t="str">
        <f>'Teacher Calendar'!H9</f>
        <v/>
      </c>
    </row>
    <row r="10">
      <c r="A10" s="44"/>
      <c r="E10" s="45"/>
    </row>
    <row r="11" ht="15.75" customHeight="1">
      <c r="A11" s="46">
        <f>'Teacher Calendar'!D15</f>
        <v>46265</v>
      </c>
      <c r="B11" s="46">
        <f>'Teacher Calendar'!E15</f>
        <v>46266</v>
      </c>
      <c r="C11" s="46">
        <f>'Teacher Calendar'!F15</f>
        <v>46267</v>
      </c>
      <c r="D11" s="46">
        <f>'Teacher Calendar'!G15</f>
        <v>46268</v>
      </c>
      <c r="E11" s="48">
        <f>'Teacher Calendar'!H15</f>
        <v>46269</v>
      </c>
    </row>
    <row r="12" ht="15.75" customHeight="1">
      <c r="A12" s="67" t="str">
        <f t="array" ref="A12">IFERROR(INDEX('Teacher Calendar'!$D$16:$D$25,SMALL(IF(('Teacher Calendar'!$D$16:$D$25&lt;&gt;"")*('Teacher Calendar'!$D$16:$D$25&lt;&gt;0),ROW('Teacher Calendar'!$D$16:$D$25)-ROW('Teacher Calendar'!$D$16)+1),1)),"")</f>
        <v>0.1 Get Acquainted</v>
      </c>
      <c r="B12" s="67" t="str">
        <f t="array" ref="B12">IFERROR(INDEX('Teacher Calendar'!$E$16:$E$25,SMALL(IF(('Teacher Calendar'!$E$16:$E$25&lt;&gt;"")*('Teacher Calendar'!$E$16:$E$25&lt;&gt;0),ROW('Teacher Calendar'!$E$16:$E$25)-ROW('Teacher Calendar'!$E$16)+1),1)),"")</f>
        <v>0.1 Get Acquainted</v>
      </c>
      <c r="C12" s="67" t="str">
        <f t="array" ref="C12">IFERROR(INDEX('Teacher Calendar'!$F$16:$F$25,SMALL(IF(('Teacher Calendar'!$F$16:$F$25&lt;&gt;"")*('Teacher Calendar'!$F$16:$F$25&lt;&gt;0),ROW('Teacher Calendar'!$F$16:$F$25)-ROW('Teacher Calendar'!$F$16)+1),1)),"")</f>
        <v>0.1 Get Acquainted</v>
      </c>
      <c r="D12" s="67" t="str">
        <f t="array" ref="D12">IFERROR(INDEX('Teacher Calendar'!$G$16:$G$25,SMALL(IF(('Teacher Calendar'!$G$16:$G$25&lt;&gt;"")*('Teacher Calendar'!$G$16:$G$25&lt;&gt;0),ROW('Teacher Calendar'!$G$16:$G$25)-ROW('Teacher Calendar'!$G$16)+1),1)),"")</f>
        <v>House Keeping</v>
      </c>
      <c r="E12" s="77" t="str">
        <f t="array" ref="E12">IFERROR(INDEX('Teacher Calendar'!$H$16:$H$25,SMALL(IF(('Teacher Calendar'!$H$16:$H$25&lt;&gt;"")*('Teacher Calendar'!$H$16:$H$25&lt;&gt;0),ROW('Teacher Calendar'!$H$16:$H$25)-ROW('Teacher Calendar'!$H$16)+1),1)),"")</f>
        <v>Labor Day</v>
      </c>
    </row>
    <row r="13" ht="15.75" customHeight="1">
      <c r="A13" s="90" t="str">
        <f t="array" ref="A13">IFERROR(INDEX('Teacher Calendar'!$D$16:$D$25,SMALL(IF(('Teacher Calendar'!$D$16:$D$25&lt;&gt;"")*('Teacher Calendar'!$D$16:$D$25&lt;&gt;0),ROW('Teacher Calendar'!$D$16:$D$25)-ROW('Teacher Calendar'!$D$16)+1),2)),"")</f>
        <v>Warm Up</v>
      </c>
      <c r="B13" s="90" t="str">
        <f t="array" ref="B13">IFERROR(INDEX('Teacher Calendar'!$E$16:$E$25,SMALL(IF(('Teacher Calendar'!$E$16:$E$25&lt;&gt;"")*('Teacher Calendar'!$E$16:$E$25&lt;&gt;0),ROW('Teacher Calendar'!$E$16:$E$25)-ROW('Teacher Calendar'!$E$16)+1),2)),"")</f>
        <v>Warm Up</v>
      </c>
      <c r="C13" s="90" t="str">
        <f t="array" ref="C13">IFERROR(INDEX('Teacher Calendar'!$F$16:$F$25,SMALL(IF(('Teacher Calendar'!$F$16:$F$25&lt;&gt;"")*('Teacher Calendar'!$F$16:$F$25&lt;&gt;0),ROW('Teacher Calendar'!$F$16:$F$25)-ROW('Teacher Calendar'!$F$16)+1),2)),"")</f>
        <v>Warm Up</v>
      </c>
      <c r="D13" s="90" t="str">
        <f t="array" ref="D13">IFERROR(INDEX('Teacher Calendar'!$G$16:$G$25,SMALL(IF(('Teacher Calendar'!$G$16:$G$25&lt;&gt;"")*('Teacher Calendar'!$G$16:$G$25&lt;&gt;0),ROW('Teacher Calendar'!$G$16:$G$25)-ROW('Teacher Calendar'!$G$16)+1),2)),"")</f>
        <v>Warm Up</v>
      </c>
      <c r="E13" s="77" t="str">
        <f t="array" ref="E13">IFERROR(INDEX('Teacher Calendar'!$H$16:$H$25,SMALL(IF(('Teacher Calendar'!$H$16:$H$25&lt;&gt;"")*('Teacher Calendar'!$H$16:$H$25&lt;&gt;0),ROW('Teacher Calendar'!$H$16:$H$25)-ROW('Teacher Calendar'!$H$16)+1),2)),"")</f>
        <v/>
      </c>
    </row>
    <row r="14" ht="15.75" customHeight="1">
      <c r="A14" s="90" t="str">
        <f t="array" ref="A14">IFERROR(INDEX('Teacher Calendar'!$D$16:$D$25,SMALL(IF(('Teacher Calendar'!$D$16:$D$25&lt;&gt;"")*('Teacher Calendar'!$D$16:$D$25&lt;&gt;0),ROW('Teacher Calendar'!$D$16:$D$25)-ROW('Teacher Calendar'!$D$16)+1),3)),"")</f>
        <v>Notes</v>
      </c>
      <c r="B14" s="90" t="str">
        <f t="array" ref="B14">IFERROR(INDEX('Teacher Calendar'!$E$16:$E$25,SMALL(IF(('Teacher Calendar'!$E$16:$E$25&lt;&gt;"")*('Teacher Calendar'!$E$16:$E$25&lt;&gt;0),ROW('Teacher Calendar'!$E$16:$E$25)-ROW('Teacher Calendar'!$E$16)+1),3)),"")</f>
        <v>Investigation</v>
      </c>
      <c r="C14" s="90" t="str">
        <f t="array" ref="C14">IFERROR(INDEX('Teacher Calendar'!$F$16:$F$25,SMALL(IF(('Teacher Calendar'!$F$16:$F$25&lt;&gt;"")*('Teacher Calendar'!$F$16:$F$25&lt;&gt;0),ROW('Teacher Calendar'!$F$16:$F$25)-ROW('Teacher Calendar'!$F$16)+1),3)),"")</f>
        <v>Investigation</v>
      </c>
      <c r="D14" s="90" t="str">
        <f t="array" ref="D14">IFERROR(INDEX('Teacher Calendar'!$G$16:$G$25,SMALL(IF(('Teacher Calendar'!$G$16:$G$25&lt;&gt;"")*('Teacher Calendar'!$G$16:$G$25&lt;&gt;0),ROW('Teacher Calendar'!$G$16:$G$25)-ROW('Teacher Calendar'!$G$16)+1),3)),"")</f>
        <v>Activity</v>
      </c>
      <c r="E14" s="77" t="str">
        <f t="array" ref="E14">IFERROR(INDEX('Teacher Calendar'!$H$16:$H$25,SMALL(IF(('Teacher Calendar'!$H$16:$H$25&lt;&gt;"")*('Teacher Calendar'!$H$16:$H$25&lt;&gt;0),ROW('Teacher Calendar'!$H$16:$H$25)-ROW('Teacher Calendar'!$H$16)+1),3)),"")</f>
        <v/>
      </c>
    </row>
    <row r="15" ht="15.75" customHeight="1">
      <c r="A15" s="90" t="str">
        <f t="array" ref="A15">IFERROR(INDEX('Teacher Calendar'!$D$16:$D$25,SMALL(IF(('Teacher Calendar'!$D$16:$D$25&lt;&gt;"")*('Teacher Calendar'!$D$16:$D$25&lt;&gt;0),ROW('Teacher Calendar'!$D$16:$D$25)-ROW('Teacher Calendar'!$D$16)+1),4)),"")</f>
        <v>Practice Set</v>
      </c>
      <c r="B15" s="90" t="str">
        <f t="array" ref="B15">IFERROR(INDEX('Teacher Calendar'!$E$16:$E$25,SMALL(IF(('Teacher Calendar'!$E$16:$E$25&lt;&gt;"")*('Teacher Calendar'!$E$16:$E$25&lt;&gt;0),ROW('Teacher Calendar'!$E$16:$E$25)-ROW('Teacher Calendar'!$E$16)+1),4)),"")</f>
        <v>Practice Set</v>
      </c>
      <c r="C15" s="90" t="str">
        <f t="array" ref="C15">IFERROR(INDEX('Teacher Calendar'!$F$16:$F$25,SMALL(IF(('Teacher Calendar'!$F$16:$F$25&lt;&gt;"")*('Teacher Calendar'!$F$16:$F$25&lt;&gt;0),ROW('Teacher Calendar'!$F$16:$F$25)-ROW('Teacher Calendar'!$F$16)+1),4)),"")</f>
        <v>Activity</v>
      </c>
      <c r="D15" s="131" t="str">
        <f t="array" ref="D15">IFERROR(INDEX('Teacher Calendar'!$G$16:$G$25,SMALL(IF(('Teacher Calendar'!$G$16:$G$25&lt;&gt;"")*('Teacher Calendar'!$G$16:$G$25&lt;&gt;0),ROW('Teacher Calendar'!$G$16:$G$25)-ROW('Teacher Calendar'!$G$16)+1),4)),"")</f>
        <v>Return Portfolio</v>
      </c>
      <c r="E15" s="77" t="str">
        <f t="array" ref="E15">IFERROR(INDEX('Teacher Calendar'!$H$16:$H$25,SMALL(IF(('Teacher Calendar'!$H$16:$H$25&lt;&gt;"")*('Teacher Calendar'!$H$16:$H$25&lt;&gt;0),ROW('Teacher Calendar'!$H$16:$H$25)-ROW('Teacher Calendar'!$H$16)+1),4)),"")</f>
        <v/>
      </c>
    </row>
    <row r="16" ht="15.75" customHeight="1">
      <c r="A16" s="131" t="str">
        <f t="array" ref="A16">IFERROR(INDEX('Teacher Calendar'!$D$16:$D$25,SMALL(IF(('Teacher Calendar'!$D$16:$D$25&lt;&gt;"")*('Teacher Calendar'!$D$16:$D$25&lt;&gt;0),ROW('Teacher Calendar'!$D$16:$D$25)-ROW('Teacher Calendar'!$D$16)+1),5)),"")</f>
        <v/>
      </c>
      <c r="B16" s="90" t="str">
        <f t="array" ref="B16">IFERROR(INDEX('Teacher Calendar'!$E$16:$E$25,SMALL(IF(('Teacher Calendar'!$E$16:$E$25&lt;&gt;"")*('Teacher Calendar'!$E$16:$E$25&lt;&gt;0),ROW('Teacher Calendar'!$E$16:$E$25)-ROW('Teacher Calendar'!$E$16)+1),5)),"")</f>
        <v>Extra Practice</v>
      </c>
      <c r="C16" s="90" t="str">
        <f t="array" ref="C16">IFERROR(INDEX('Teacher Calendar'!$F$16:$F$25,SMALL(IF(('Teacher Calendar'!$F$16:$F$25&lt;&gt;"")*('Teacher Calendar'!$F$16:$F$25&lt;&gt;0),ROW('Teacher Calendar'!$F$16:$F$25)-ROW('Teacher Calendar'!$F$16)+1),5)),"")</f>
        <v>Practice Set</v>
      </c>
      <c r="D16" s="90" t="str">
        <f t="array" ref="D16">IFERROR(INDEX('Teacher Calendar'!$G$16:$G$25,SMALL(IF(('Teacher Calendar'!$G$16:$G$25&lt;&gt;"")*('Teacher Calendar'!$G$16:$G$25&lt;&gt;0),ROW('Teacher Calendar'!$G$16:$G$25)-ROW('Teacher Calendar'!$G$16)+1),5)),"")</f>
        <v>Overview</v>
      </c>
      <c r="E16" s="77" t="str">
        <f t="array" ref="E16">IFERROR(INDEX('Teacher Calendar'!$H$16:$H$25,SMALL(IF(('Teacher Calendar'!$H$16:$H$25&lt;&gt;"")*('Teacher Calendar'!$H$16:$H$25&lt;&gt;0),ROW('Teacher Calendar'!$H$16:$H$25)-ROW('Teacher Calendar'!$H$16)+1),5)),"")</f>
        <v/>
      </c>
    </row>
    <row r="17" ht="15.75" customHeight="1">
      <c r="A17" s="131" t="str">
        <f t="array" ref="A17">IFERROR(INDEX('Teacher Calendar'!$D$16:$D$25,SMALL(IF(('Teacher Calendar'!$D$16:$D$25&lt;&gt;"")*('Teacher Calendar'!$D$16:$D$25&lt;&gt;0),ROW('Teacher Calendar'!$D$16:$D$25)-ROW('Teacher Calendar'!$D$16)+1),6)),"")</f>
        <v/>
      </c>
      <c r="B17" s="131" t="str">
        <f t="array" ref="B17">IFERROR(INDEX('Teacher Calendar'!$E$16:$E$25,SMALL(IF(('Teacher Calendar'!$E$16:$E$25&lt;&gt;"")*('Teacher Calendar'!$E$16:$E$25&lt;&gt;0),ROW('Teacher Calendar'!$E$16:$E$25)-ROW('Teacher Calendar'!$E$16)+1),6)),"")</f>
        <v/>
      </c>
      <c r="C17" s="90" t="str">
        <f t="array" ref="C17">IFERROR(INDEX('Teacher Calendar'!$F$16:$F$25,SMALL(IF(('Teacher Calendar'!$F$16:$F$25&lt;&gt;"")*('Teacher Calendar'!$F$16:$F$25&lt;&gt;0),ROW('Teacher Calendar'!$F$16:$F$25)-ROW('Teacher Calendar'!$F$16)+1),6)),"")</f>
        <v>Extra Practice</v>
      </c>
      <c r="D17" s="131" t="str">
        <f t="array" ref="D17">IFERROR(INDEX('Teacher Calendar'!$G$16:$G$25,SMALL(IF(('Teacher Calendar'!$G$16:$G$25&lt;&gt;"")*('Teacher Calendar'!$G$16:$G$25&lt;&gt;0),ROW('Teacher Calendar'!$G$16:$G$25)-ROW('Teacher Calendar'!$G$16)+1),6)),"")</f>
        <v>Survey</v>
      </c>
      <c r="E17" s="77" t="str">
        <f t="array" ref="E17">IFERROR(INDEX('Teacher Calendar'!$H$16:$H$25,SMALL(IF(('Teacher Calendar'!$H$16:$H$25&lt;&gt;"")*('Teacher Calendar'!$H$16:$H$25&lt;&gt;0),ROW('Teacher Calendar'!$H$16:$H$25)-ROW('Teacher Calendar'!$H$16)+1),6)),"")</f>
        <v/>
      </c>
    </row>
    <row r="18" ht="15.75" customHeight="1">
      <c r="A18" s="131" t="str">
        <f t="array" ref="A18">IFERROR(INDEX('Teacher Calendar'!$D$16:$D$25,SMALL(IF(('Teacher Calendar'!$D$16:$D$25&lt;&gt;"")*('Teacher Calendar'!$D$16:$D$25&lt;&gt;0),ROW('Teacher Calendar'!$D$16:$D$25)-ROW('Teacher Calendar'!$D$16)+1),7)),"")</f>
        <v/>
      </c>
      <c r="B18" s="131" t="str">
        <f t="array" ref="B18">IFERROR(INDEX('Teacher Calendar'!$E$16:$E$25,SMALL(IF(('Teacher Calendar'!$E$16:$E$25&lt;&gt;"")*('Teacher Calendar'!$E$16:$E$25&lt;&gt;0),ROW('Teacher Calendar'!$E$16:$E$25)-ROW('Teacher Calendar'!$E$16)+1),7)),"")</f>
        <v/>
      </c>
      <c r="C18" s="131" t="str">
        <f t="array" ref="C18">IFERROR(INDEX('Teacher Calendar'!$F$16:$F$25,SMALL(IF(('Teacher Calendar'!$F$16:$F$25&lt;&gt;"")*('Teacher Calendar'!$F$16:$F$25&lt;&gt;0),ROW('Teacher Calendar'!$F$16:$F$25)-ROW('Teacher Calendar'!$F$16)+1),7)),"")</f>
        <v/>
      </c>
      <c r="D18" s="131" t="str">
        <f t="array" ref="D18">IFERROR(INDEX('Teacher Calendar'!$G$16:$G$25,SMALL(IF(('Teacher Calendar'!$G$16:$G$25&lt;&gt;"")*('Teacher Calendar'!$G$16:$G$25&lt;&gt;0),ROW('Teacher Calendar'!$G$16:$G$25)-ROW('Teacher Calendar'!$G$16)+1),7)),"")</f>
        <v/>
      </c>
      <c r="E18" s="77" t="str">
        <f t="array" ref="E18">IFERROR(INDEX('Teacher Calendar'!$H$16:$H$25,SMALL(IF(('Teacher Calendar'!$H$16:$H$25&lt;&gt;"")*('Teacher Calendar'!$H$16:$H$25&lt;&gt;0),ROW('Teacher Calendar'!$H$16:$H$25)-ROW('Teacher Calendar'!$H$16)+1),7)),"")</f>
        <v/>
      </c>
    </row>
    <row r="19" ht="15.75" customHeight="1">
      <c r="A19" s="146">
        <f>'Teacher Calendar'!D42</f>
        <v>46272</v>
      </c>
      <c r="B19" s="146">
        <f>'Teacher Calendar'!E42</f>
        <v>46273</v>
      </c>
      <c r="C19" s="146">
        <f>'Teacher Calendar'!F42</f>
        <v>46274</v>
      </c>
      <c r="D19" s="146">
        <f>'Teacher Calendar'!G42</f>
        <v>46275</v>
      </c>
      <c r="E19" s="146">
        <f>'Teacher Calendar'!H42</f>
        <v>46276</v>
      </c>
    </row>
    <row r="20" ht="15.75" customHeight="1">
      <c r="A20" s="77" t="str">
        <f t="array" ref="A20">IFERROR(INDEX('Teacher Calendar'!$D$43:$D$52,SMALL(IF(('Teacher Calendar'!$D$43:$D$52&lt;&gt;"")*('Teacher Calendar'!$D$43:$D$52&lt;&gt;0),ROW('Teacher Calendar'!$D$43:$D$52)-ROW('Teacher Calendar'!$D$43)+1),1)),"")</f>
        <v/>
      </c>
      <c r="B20" s="67" t="str">
        <f t="array" ref="B20">IFERROR(INDEX('Teacher Calendar'!$E$43:$E$52,SMALL(IF(('Teacher Calendar'!$E$43:$E$52&lt;&gt;"")*('Teacher Calendar'!$E$43:$E$52&lt;&gt;0),ROW('Teacher Calendar'!$E$43:$E$52)-ROW('Teacher Calendar'!$E$43)+1),1)),"")</f>
        <v>1.1: Think Physics</v>
      </c>
      <c r="C20" s="67" t="str">
        <f t="array" ref="C20">IFERROR(INDEX('Teacher Calendar'!$F$43:$F$52,SMALL(IF(('Teacher Calendar'!$F$43:$F$52&lt;&gt;"")*('Teacher Calendar'!$F$43:$F$52&lt;&gt;0),ROW('Teacher Calendar'!$F$43:$F$52)-ROW('Teacher Calendar'!$F$43)+1),1)),"")</f>
        <v>1.1: Think Physics</v>
      </c>
      <c r="D20" s="131" t="str">
        <f t="array" ref="D20">IFERROR(INDEX('Teacher Calendar'!$G$43:$G$52,SMALL(IF(('Teacher Calendar'!$G$43:$G$52&lt;&gt;"")*('Teacher Calendar'!$G$43:$G$52&lt;&gt;0),ROW('Teacher Calendar'!$G$43:$G$52)-ROW('Teacher Calendar'!$G$43)+1),1)),"")</f>
        <v>1.1: Think Physics</v>
      </c>
      <c r="E20" s="131" t="str">
        <f t="array" ref="E20">IFERROR(INDEX('Teacher Calendar'!$H$43:$H$52,SMALL(IF(('Teacher Calendar'!$H$43:$H$52&lt;&gt;"")*('Teacher Calendar'!$H$43:$H$52&lt;&gt;0),ROW('Teacher Calendar'!$H$43:$H$52)-ROW('Teacher Calendar'!$H$43)+1),1)),"")</f>
        <v>1.2: Forces &amp; N1L</v>
      </c>
    </row>
    <row r="21" ht="15.75" customHeight="1">
      <c r="A21" s="77" t="str">
        <f t="array" ref="A21">IFERROR(INDEX('Teacher Calendar'!$D$43:$D$52,SMALL(IF(('Teacher Calendar'!$D$43:$D$52&lt;&gt;"")*('Teacher Calendar'!$D$43:$D$52&lt;&gt;0),ROW('Teacher Calendar'!$D$43:$D$52)-ROW('Teacher Calendar'!$D$43)+1),2)),"")</f>
        <v/>
      </c>
      <c r="B21" s="67" t="str">
        <f t="array" ref="B21">IFERROR(INDEX('Teacher Calendar'!$E$43:$E$52,SMALL(IF(('Teacher Calendar'!$E$43:$E$52&lt;&gt;"")*('Teacher Calendar'!$E$43:$E$52&lt;&gt;0),ROW('Teacher Calendar'!$E$43:$E$52)-ROW('Teacher Calendar'!$E$43)+1),2)),"")</f>
        <v>Warm Up</v>
      </c>
      <c r="C21" s="67" t="str">
        <f t="array" ref="C21">IFERROR(INDEX('Teacher Calendar'!$F$43:$F$52,SMALL(IF(('Teacher Calendar'!$F$43:$F$52&lt;&gt;"")*('Teacher Calendar'!$F$43:$F$52&lt;&gt;0),ROW('Teacher Calendar'!$F$43:$F$52)-ROW('Teacher Calendar'!$F$43)+1),2)),"")</f>
        <v>Warm Up</v>
      </c>
      <c r="D21" s="67" t="str">
        <f t="array" ref="D21">IFERROR(INDEX('Teacher Calendar'!$G$43:$G$52,SMALL(IF(('Teacher Calendar'!$G$43:$G$52&lt;&gt;"")*('Teacher Calendar'!$G$43:$G$52&lt;&gt;0),ROW('Teacher Calendar'!$G$43:$G$52)-ROW('Teacher Calendar'!$G$43)+1),2)),"")</f>
        <v>Warm Up</v>
      </c>
      <c r="E21" s="67" t="str">
        <f t="array" ref="E21">IFERROR(INDEX('Teacher Calendar'!$H$43:$H$52,SMALL(IF(('Teacher Calendar'!$H$43:$H$52&lt;&gt;"")*('Teacher Calendar'!$H$43:$H$52&lt;&gt;0),ROW('Teacher Calendar'!$H$43:$H$52)-ROW('Teacher Calendar'!$H$43)+1),2)),"")</f>
        <v>Warm Up</v>
      </c>
    </row>
    <row r="22" ht="15.75" customHeight="1">
      <c r="A22" s="77" t="str">
        <f t="array" ref="A22">IFERROR(INDEX('Teacher Calendar'!$D$43:$D$52,SMALL(IF(('Teacher Calendar'!$D$43:$D$52&lt;&gt;"")*('Teacher Calendar'!$D$43:$D$52&lt;&gt;0),ROW('Teacher Calendar'!$D$43:$D$52)-ROW('Teacher Calendar'!$D$43)+1),3)),"")</f>
        <v/>
      </c>
      <c r="B22" s="67" t="str">
        <f t="array" ref="B22">IFERROR(INDEX('Teacher Calendar'!$E$43:$E$52,SMALL(IF(('Teacher Calendar'!$E$43:$E$52&lt;&gt;"")*('Teacher Calendar'!$E$43:$E$52&lt;&gt;0),ROW('Teacher Calendar'!$E$43:$E$52)-ROW('Teacher Calendar'!$E$43)+1),3)),"")</f>
        <v>Demo</v>
      </c>
      <c r="C22" s="67" t="str">
        <f t="array" ref="C22">IFERROR(INDEX('Teacher Calendar'!$F$43:$F$52,SMALL(IF(('Teacher Calendar'!$F$43:$F$52&lt;&gt;"")*('Teacher Calendar'!$F$43:$F$52&lt;&gt;0),ROW('Teacher Calendar'!$F$43:$F$52)-ROW('Teacher Calendar'!$F$43)+1),3)),"")</f>
        <v>Demo</v>
      </c>
      <c r="D22" s="67" t="str">
        <f t="array" ref="D22">IFERROR(INDEX('Teacher Calendar'!$G$43:$G$52,SMALL(IF(('Teacher Calendar'!$G$43:$G$52&lt;&gt;"")*('Teacher Calendar'!$G$43:$G$52&lt;&gt;0),ROW('Teacher Calendar'!$G$43:$G$52)-ROW('Teacher Calendar'!$G$43)+1),3)),"")</f>
        <v>Demo</v>
      </c>
      <c r="E22" s="67" t="str">
        <f t="array" ref="E22">IFERROR(INDEX('Teacher Calendar'!$H$43:$H$52,SMALL(IF(('Teacher Calendar'!$H$43:$H$52&lt;&gt;"")*('Teacher Calendar'!$H$43:$H$52&lt;&gt;0),ROW('Teacher Calendar'!$H$43:$H$52)-ROW('Teacher Calendar'!$H$43)+1),3)),"")</f>
        <v>Demo</v>
      </c>
    </row>
    <row r="23" ht="15.75" customHeight="1">
      <c r="A23" s="77" t="str">
        <f t="array" ref="A23">IFERROR(INDEX('Teacher Calendar'!$D$43:$D$52,SMALL(IF(('Teacher Calendar'!$D$43:$D$52&lt;&gt;"")*('Teacher Calendar'!$D$43:$D$52&lt;&gt;0),ROW('Teacher Calendar'!$D$43:$D$52)-ROW('Teacher Calendar'!$D$43)+1),4)),"")</f>
        <v/>
      </c>
      <c r="B23" s="67" t="str">
        <f t="array" ref="B23">IFERROR(INDEX('Teacher Calendar'!$E$43:$E$52,SMALL(IF(('Teacher Calendar'!$E$43:$E$52&lt;&gt;"")*('Teacher Calendar'!$E$43:$E$52&lt;&gt;0),ROW('Teacher Calendar'!$E$43:$E$52)-ROW('Teacher Calendar'!$E$43)+1),4)),"")</f>
        <v>Notes</v>
      </c>
      <c r="C23" s="67" t="str">
        <f t="array" ref="C23">IFERROR(INDEX('Teacher Calendar'!$F$43:$F$52,SMALL(IF(('Teacher Calendar'!$F$43:$F$52&lt;&gt;"")*('Teacher Calendar'!$F$43:$F$52&lt;&gt;0),ROW('Teacher Calendar'!$F$43:$F$52)-ROW('Teacher Calendar'!$F$43)+1),4)),"")</f>
        <v>Notes</v>
      </c>
      <c r="D23" s="67" t="str">
        <f t="array" ref="D23">IFERROR(INDEX('Teacher Calendar'!$G$43:$G$52,SMALL(IF(('Teacher Calendar'!$G$43:$G$52&lt;&gt;"")*('Teacher Calendar'!$G$43:$G$52&lt;&gt;0),ROW('Teacher Calendar'!$G$43:$G$52)-ROW('Teacher Calendar'!$G$43)+1),4)),"")</f>
        <v>Notes</v>
      </c>
      <c r="E23" s="67" t="str">
        <f t="array" ref="E23">IFERROR(INDEX('Teacher Calendar'!$H$43:$H$52,SMALL(IF(('Teacher Calendar'!$H$43:$H$52&lt;&gt;"")*('Teacher Calendar'!$H$43:$H$52&lt;&gt;0),ROW('Teacher Calendar'!$H$43:$H$52)-ROW('Teacher Calendar'!$H$43)+1),4)),"")</f>
        <v>Notes</v>
      </c>
    </row>
    <row r="24" ht="15.75" customHeight="1">
      <c r="A24" s="77" t="str">
        <f t="array" ref="A24">IFERROR(INDEX('Teacher Calendar'!$D$43:$D$52,SMALL(IF(('Teacher Calendar'!$D$43:$D$52&lt;&gt;"")*('Teacher Calendar'!$D$43:$D$52&lt;&gt;0),ROW('Teacher Calendar'!$D$43:$D$52)-ROW('Teacher Calendar'!$D$43)+1),5)),"")</f>
        <v/>
      </c>
      <c r="B24" s="67" t="str">
        <f t="array" ref="B24">IFERROR(INDEX('Teacher Calendar'!$E$43:$E$52,SMALL(IF(('Teacher Calendar'!$E$43:$E$52&lt;&gt;"")*('Teacher Calendar'!$E$43:$E$52&lt;&gt;0),ROW('Teacher Calendar'!$E$43:$E$52)-ROW('Teacher Calendar'!$E$43)+1),5)),"")</f>
        <v>Investigation</v>
      </c>
      <c r="C24" s="67" t="str">
        <f t="array" ref="C24">IFERROR(INDEX('Teacher Calendar'!$F$43:$F$52,SMALL(IF(('Teacher Calendar'!$F$43:$F$52&lt;&gt;"")*('Teacher Calendar'!$F$43:$F$52&lt;&gt;0),ROW('Teacher Calendar'!$F$43:$F$52)-ROW('Teacher Calendar'!$F$43)+1),5)),"")</f>
        <v>Investigation</v>
      </c>
      <c r="D24" s="67" t="str">
        <f t="array" ref="D24">IFERROR(INDEX('Teacher Calendar'!$G$43:$G$52,SMALL(IF(('Teacher Calendar'!$G$43:$G$52&lt;&gt;"")*('Teacher Calendar'!$G$43:$G$52&lt;&gt;0),ROW('Teacher Calendar'!$G$43:$G$52)-ROW('Teacher Calendar'!$G$43)+1),5)),"")</f>
        <v>Investigation</v>
      </c>
      <c r="E24" s="67" t="str">
        <f t="array" ref="E24">IFERROR(INDEX('Teacher Calendar'!$H$43:$H$52,SMALL(IF(('Teacher Calendar'!$H$43:$H$52&lt;&gt;"")*('Teacher Calendar'!$H$43:$H$52&lt;&gt;0),ROW('Teacher Calendar'!$H$43:$H$52)-ROW('Teacher Calendar'!$H$43)+1),5)),"")</f>
        <v>Investigation</v>
      </c>
    </row>
    <row r="25" ht="15.75" customHeight="1">
      <c r="A25" s="77" t="str">
        <f t="array" ref="A25">IFERROR(INDEX('Teacher Calendar'!$D$43:$D$52,SMALL(IF(('Teacher Calendar'!$D$43:$D$52&lt;&gt;"")*('Teacher Calendar'!$D$43:$D$52&lt;&gt;0),ROW('Teacher Calendar'!$D$43:$D$52)-ROW('Teacher Calendar'!$D$43)+1),6)),"")</f>
        <v/>
      </c>
      <c r="B25" s="67" t="str">
        <f t="array" ref="B25">IFERROR(INDEX('Teacher Calendar'!$E$43:$E$52,SMALL(IF(('Teacher Calendar'!$E$43:$E$52&lt;&gt;"")*('Teacher Calendar'!$E$43:$E$52&lt;&gt;0),ROW('Teacher Calendar'!$E$43:$E$52)-ROW('Teacher Calendar'!$E$43)+1),6)),"")</f>
        <v>Activity</v>
      </c>
      <c r="C25" s="67" t="str">
        <f t="array" ref="C25">IFERROR(INDEX('Teacher Calendar'!$F$43:$F$52,SMALL(IF(('Teacher Calendar'!$F$43:$F$52&lt;&gt;"")*('Teacher Calendar'!$F$43:$F$52&lt;&gt;0),ROW('Teacher Calendar'!$F$43:$F$52)-ROW('Teacher Calendar'!$F$43)+1),6)),"")</f>
        <v>Activity</v>
      </c>
      <c r="D25" s="67" t="str">
        <f t="array" ref="D25">IFERROR(INDEX('Teacher Calendar'!$G$43:$G$52,SMALL(IF(('Teacher Calendar'!$G$43:$G$52&lt;&gt;"")*('Teacher Calendar'!$G$43:$G$52&lt;&gt;0),ROW('Teacher Calendar'!$G$43:$G$52)-ROW('Teacher Calendar'!$G$43)+1),6)),"")</f>
        <v>Activity</v>
      </c>
      <c r="E25" s="67" t="str">
        <f t="array" ref="E25">IFERROR(INDEX('Teacher Calendar'!$H$43:$H$52,SMALL(IF(('Teacher Calendar'!$H$43:$H$52&lt;&gt;"")*('Teacher Calendar'!$H$43:$H$52&lt;&gt;0),ROW('Teacher Calendar'!$H$43:$H$52)-ROW('Teacher Calendar'!$H$43)+1),6)),"")</f>
        <v>Activity</v>
      </c>
    </row>
    <row r="26" ht="15.75" customHeight="1">
      <c r="A26" s="77" t="str">
        <f t="array" ref="A26">IFERROR(INDEX('Teacher Calendar'!$D$43:$D$52,SMALL(IF(('Teacher Calendar'!$D$43:$D$52&lt;&gt;"")*('Teacher Calendar'!$D$43:$D$52&lt;&gt;0),ROW('Teacher Calendar'!$D$43:$D$52)-ROW('Teacher Calendar'!$D$43)+1),7)),"")</f>
        <v/>
      </c>
      <c r="B26" s="67" t="str">
        <f t="array" ref="B26">IFERROR(INDEX('Teacher Calendar'!$E$43:$E$52,SMALL(IF(('Teacher Calendar'!$E$43:$E$52&lt;&gt;"")*('Teacher Calendar'!$E$43:$E$52&lt;&gt;0),ROW('Teacher Calendar'!$E$43:$E$52)-ROW('Teacher Calendar'!$E$43)+1),7)),"")</f>
        <v>Practice Set</v>
      </c>
      <c r="C26" s="67" t="str">
        <f t="array" ref="C26">IFERROR(INDEX('Teacher Calendar'!$F$43:$F$52,SMALL(IF(('Teacher Calendar'!$F$43:$F$52&lt;&gt;"")*('Teacher Calendar'!$F$43:$F$52&lt;&gt;0),ROW('Teacher Calendar'!$F$43:$F$52)-ROW('Teacher Calendar'!$F$43)+1),7)),"")</f>
        <v>Practice Set</v>
      </c>
      <c r="D26" s="67" t="str">
        <f t="array" ref="D26">IFERROR(INDEX('Teacher Calendar'!$G$43:$G$52,SMALL(IF(('Teacher Calendar'!$G$43:$G$52&lt;&gt;"")*('Teacher Calendar'!$G$43:$G$52&lt;&gt;0),ROW('Teacher Calendar'!$G$43:$G$52)-ROW('Teacher Calendar'!$G$43)+1),7)),"")</f>
        <v>Practice Set</v>
      </c>
      <c r="E26" s="67" t="str">
        <f t="array" ref="E26">IFERROR(INDEX('Teacher Calendar'!$H$43:$H$52,SMALL(IF(('Teacher Calendar'!$H$43:$H$52&lt;&gt;"")*('Teacher Calendar'!$H$43:$H$52&lt;&gt;0),ROW('Teacher Calendar'!$H$43:$H$52)-ROW('Teacher Calendar'!$H$43)+1),7)),"")</f>
        <v>Practice Set</v>
      </c>
    </row>
    <row r="27" ht="15.75" customHeight="1">
      <c r="A27" s="146">
        <f>'Teacher Calendar'!D69</f>
        <v>46279</v>
      </c>
      <c r="B27" s="146">
        <f>'Teacher Calendar'!E69</f>
        <v>46280</v>
      </c>
      <c r="C27" s="146">
        <f>'Teacher Calendar'!F69</f>
        <v>46281</v>
      </c>
      <c r="D27" s="146">
        <f>'Teacher Calendar'!G69</f>
        <v>46282</v>
      </c>
      <c r="E27" s="146">
        <f>'Teacher Calendar'!H69</f>
        <v>46283</v>
      </c>
    </row>
    <row r="28" ht="15.75" customHeight="1">
      <c r="A28" s="131" t="str">
        <f t="array" ref="A28">IFERROR(INDEX('Teacher Calendar'!$D$70:$D$79,SMALL(IF(('Teacher Calendar'!$D$70:$D$79&lt;&gt;"")*('Teacher Calendar'!$D$70:$D$79&lt;&gt;0),ROW('Teacher Calendar'!$D$70:$D$79)-ROW('Teacher Calendar'!$D$70)+1),1)),"")</f>
        <v>1.2: Forces &amp; N1L</v>
      </c>
      <c r="B28" s="131" t="str">
        <f t="array" ref="B28">IFERROR(INDEX('Teacher Calendar'!$E$70:$E$79,SMALL(IF(('Teacher Calendar'!$E$70:$E$79&lt;&gt;"")*('Teacher Calendar'!$E$70:$E$79&lt;&gt;0),ROW('Teacher Calendar'!$E$70:$E$79)-ROW('Teacher Calendar'!$E$70)+1),1)),"")</f>
        <v>1.2: Forces &amp; N1L</v>
      </c>
      <c r="C28" s="131" t="str">
        <f t="array" ref="C28">IFERROR(INDEX('Teacher Calendar'!$F$70:$F$79,SMALL(IF(('Teacher Calendar'!$F$70:$F$79&lt;&gt;"")*('Teacher Calendar'!$F$70:$F$79&lt;&gt;0),ROW('Teacher Calendar'!$F$70:$F$79)-ROW('Teacher Calendar'!$F$70)+1),1)),"")</f>
        <v>1.3: Net Force &amp; Vec</v>
      </c>
      <c r="D28" s="131" t="str">
        <f t="array" ref="D28">IFERROR(INDEX('Teacher Calendar'!$G$70:$G$79,SMALL(IF(('Teacher Calendar'!$G$70:$G$79&lt;&gt;"")*('Teacher Calendar'!$G$70:$G$79&lt;&gt;0),ROW('Teacher Calendar'!$G$70:$G$79)-ROW('Teacher Calendar'!$G$70)+1),1)),"")</f>
        <v>1.3: Net Force &amp; Vec</v>
      </c>
      <c r="E28" s="131" t="str">
        <f t="array" ref="E28">IFERROR(INDEX('Teacher Calendar'!$H$70:$H$79,SMALL(IF(('Teacher Calendar'!$H$70:$H$79&lt;&gt;"")*('Teacher Calendar'!$H$70:$H$79&lt;&gt;0),ROW('Teacher Calendar'!$H$70:$H$79)-ROW('Teacher Calendar'!$H$70)+1),1)),"")</f>
        <v>1.3: Net Force &amp; Vec</v>
      </c>
    </row>
    <row r="29" ht="15.75" customHeight="1">
      <c r="A29" s="67" t="str">
        <f t="array" ref="A29">IFERROR(INDEX('Teacher Calendar'!$D$70:$D$79,SMALL(IF(('Teacher Calendar'!$D$70:$D$79&lt;&gt;"")*('Teacher Calendar'!$D$70:$D$79&lt;&gt;0),ROW('Teacher Calendar'!$D$70:$D$79)-ROW('Teacher Calendar'!$D$70)+1),2)),"")</f>
        <v>Warm Up</v>
      </c>
      <c r="B29" s="67" t="str">
        <f t="array" ref="B29">IFERROR(INDEX('Teacher Calendar'!$E$70:$E$79,SMALL(IF(('Teacher Calendar'!$E$70:$E$79&lt;&gt;"")*('Teacher Calendar'!$E$70:$E$79&lt;&gt;0),ROW('Teacher Calendar'!$E$70:$E$79)-ROW('Teacher Calendar'!$E$70)+1),2)),"")</f>
        <v>Warm Up</v>
      </c>
      <c r="C29" s="67" t="str">
        <f t="array" ref="C29">IFERROR(INDEX('Teacher Calendar'!$F$70:$F$79,SMALL(IF(('Teacher Calendar'!$F$70:$F$79&lt;&gt;"")*('Teacher Calendar'!$F$70:$F$79&lt;&gt;0),ROW('Teacher Calendar'!$F$70:$F$79)-ROW('Teacher Calendar'!$F$70)+1),2)),"")</f>
        <v>Warm Up</v>
      </c>
      <c r="D29" s="67" t="str">
        <f t="array" ref="D29">IFERROR(INDEX('Teacher Calendar'!$G$70:$G$79,SMALL(IF(('Teacher Calendar'!$G$70:$G$79&lt;&gt;"")*('Teacher Calendar'!$G$70:$G$79&lt;&gt;0),ROW('Teacher Calendar'!$G$70:$G$79)-ROW('Teacher Calendar'!$G$70)+1),2)),"")</f>
        <v>Warm Up</v>
      </c>
      <c r="E29" s="67" t="str">
        <f t="array" ref="E29">IFERROR(INDEX('Teacher Calendar'!$H$70:$H$79,SMALL(IF(('Teacher Calendar'!$H$70:$H$79&lt;&gt;"")*('Teacher Calendar'!$H$70:$H$79&lt;&gt;0),ROW('Teacher Calendar'!$H$70:$H$79)-ROW('Teacher Calendar'!$H$70)+1),2)),"")</f>
        <v>Warm Up</v>
      </c>
    </row>
    <row r="30" ht="15.75" customHeight="1">
      <c r="A30" s="67" t="str">
        <f t="array" ref="A30">IFERROR(INDEX('Teacher Calendar'!$D$70:$D$79,SMALL(IF(('Teacher Calendar'!$D$70:$D$79&lt;&gt;"")*('Teacher Calendar'!$D$70:$D$79&lt;&gt;0),ROW('Teacher Calendar'!$D$70:$D$79)-ROW('Teacher Calendar'!$D$70)+1),3)),"")</f>
        <v>Demo</v>
      </c>
      <c r="B30" s="67" t="str">
        <f t="array" ref="B30">IFERROR(INDEX('Teacher Calendar'!$E$70:$E$79,SMALL(IF(('Teacher Calendar'!$E$70:$E$79&lt;&gt;"")*('Teacher Calendar'!$E$70:$E$79&lt;&gt;0),ROW('Teacher Calendar'!$E$70:$E$79)-ROW('Teacher Calendar'!$E$70)+1),3)),"")</f>
        <v>Demo</v>
      </c>
      <c r="C30" s="67" t="str">
        <f t="array" ref="C30">IFERROR(INDEX('Teacher Calendar'!$F$70:$F$79,SMALL(IF(('Teacher Calendar'!$F$70:$F$79&lt;&gt;"")*('Teacher Calendar'!$F$70:$F$79&lt;&gt;0),ROW('Teacher Calendar'!$F$70:$F$79)-ROW('Teacher Calendar'!$F$70)+1),3)),"")</f>
        <v>Demo</v>
      </c>
      <c r="D30" s="67" t="str">
        <f t="array" ref="D30">IFERROR(INDEX('Teacher Calendar'!$G$70:$G$79,SMALL(IF(('Teacher Calendar'!$G$70:$G$79&lt;&gt;"")*('Teacher Calendar'!$G$70:$G$79&lt;&gt;0),ROW('Teacher Calendar'!$G$70:$G$79)-ROW('Teacher Calendar'!$G$70)+1),3)),"")</f>
        <v>Demo</v>
      </c>
      <c r="E30" s="67" t="str">
        <f t="array" ref="E30">IFERROR(INDEX('Teacher Calendar'!$H$70:$H$79,SMALL(IF(('Teacher Calendar'!$H$70:$H$79&lt;&gt;"")*('Teacher Calendar'!$H$70:$H$79&lt;&gt;0),ROW('Teacher Calendar'!$H$70:$H$79)-ROW('Teacher Calendar'!$H$70)+1),3)),"")</f>
        <v>Demo</v>
      </c>
    </row>
    <row r="31" ht="15.75" customHeight="1">
      <c r="A31" s="67" t="str">
        <f t="array" ref="A31">IFERROR(INDEX('Teacher Calendar'!$D$70:$D$79,SMALL(IF(('Teacher Calendar'!$D$70:$D$79&lt;&gt;"")*('Teacher Calendar'!$D$70:$D$79&lt;&gt;0),ROW('Teacher Calendar'!$D$70:$D$79)-ROW('Teacher Calendar'!$D$70)+1),4)),"")</f>
        <v>Notes</v>
      </c>
      <c r="B31" s="67" t="str">
        <f t="array" ref="B31">IFERROR(INDEX('Teacher Calendar'!$E$70:$E$79,SMALL(IF(('Teacher Calendar'!$E$70:$E$79&lt;&gt;"")*('Teacher Calendar'!$E$70:$E$79&lt;&gt;0),ROW('Teacher Calendar'!$E$70:$E$79)-ROW('Teacher Calendar'!$E$70)+1),4)),"")</f>
        <v>Notes</v>
      </c>
      <c r="C31" s="67" t="str">
        <f t="array" ref="C31">IFERROR(INDEX('Teacher Calendar'!$F$70:$F$79,SMALL(IF(('Teacher Calendar'!$F$70:$F$79&lt;&gt;"")*('Teacher Calendar'!$F$70:$F$79&lt;&gt;0),ROW('Teacher Calendar'!$F$70:$F$79)-ROW('Teacher Calendar'!$F$70)+1),4)),"")</f>
        <v>Notes</v>
      </c>
      <c r="D31" s="67" t="str">
        <f t="array" ref="D31">IFERROR(INDEX('Teacher Calendar'!$G$70:$G$79,SMALL(IF(('Teacher Calendar'!$G$70:$G$79&lt;&gt;"")*('Teacher Calendar'!$G$70:$G$79&lt;&gt;0),ROW('Teacher Calendar'!$G$70:$G$79)-ROW('Teacher Calendar'!$G$70)+1),4)),"")</f>
        <v>Notes</v>
      </c>
      <c r="E31" s="67" t="str">
        <f t="array" ref="E31">IFERROR(INDEX('Teacher Calendar'!$H$70:$H$79,SMALL(IF(('Teacher Calendar'!$H$70:$H$79&lt;&gt;"")*('Teacher Calendar'!$H$70:$H$79&lt;&gt;0),ROW('Teacher Calendar'!$H$70:$H$79)-ROW('Teacher Calendar'!$H$70)+1),4)),"")</f>
        <v>Notes</v>
      </c>
    </row>
    <row r="32" ht="15.75" customHeight="1">
      <c r="A32" s="67" t="str">
        <f t="array" ref="A32">IFERROR(INDEX('Teacher Calendar'!$D$70:$D$79,SMALL(IF(('Teacher Calendar'!$D$70:$D$79&lt;&gt;"")*('Teacher Calendar'!$D$70:$D$79&lt;&gt;0),ROW('Teacher Calendar'!$D$70:$D$79)-ROW('Teacher Calendar'!$D$70)+1),5)),"")</f>
        <v>Investigation</v>
      </c>
      <c r="B32" s="67" t="str">
        <f t="array" ref="B32">IFERROR(INDEX('Teacher Calendar'!$E$70:$E$79,SMALL(IF(('Teacher Calendar'!$E$70:$E$79&lt;&gt;"")*('Teacher Calendar'!$E$70:$E$79&lt;&gt;0),ROW('Teacher Calendar'!$E$70:$E$79)-ROW('Teacher Calendar'!$E$70)+1),5)),"")</f>
        <v>Investigation</v>
      </c>
      <c r="C32" s="67" t="str">
        <f t="array" ref="C32">IFERROR(INDEX('Teacher Calendar'!$F$70:$F$79,SMALL(IF(('Teacher Calendar'!$F$70:$F$79&lt;&gt;"")*('Teacher Calendar'!$F$70:$F$79&lt;&gt;0),ROW('Teacher Calendar'!$F$70:$F$79)-ROW('Teacher Calendar'!$F$70)+1),5)),"")</f>
        <v>Investigation</v>
      </c>
      <c r="D32" s="67" t="str">
        <f t="array" ref="D32">IFERROR(INDEX('Teacher Calendar'!$G$70:$G$79,SMALL(IF(('Teacher Calendar'!$G$70:$G$79&lt;&gt;"")*('Teacher Calendar'!$G$70:$G$79&lt;&gt;0),ROW('Teacher Calendar'!$G$70:$G$79)-ROW('Teacher Calendar'!$G$70)+1),5)),"")</f>
        <v>Investigation</v>
      </c>
      <c r="E32" s="67" t="str">
        <f t="array" ref="E32">IFERROR(INDEX('Teacher Calendar'!$H$70:$H$79,SMALL(IF(('Teacher Calendar'!$H$70:$H$79&lt;&gt;"")*('Teacher Calendar'!$H$70:$H$79&lt;&gt;0),ROW('Teacher Calendar'!$H$70:$H$79)-ROW('Teacher Calendar'!$H$70)+1),5)),"")</f>
        <v>Investigation</v>
      </c>
    </row>
    <row r="33" ht="15.75" customHeight="1">
      <c r="A33" s="67" t="str">
        <f t="array" ref="A33">IFERROR(INDEX('Teacher Calendar'!$D$70:$D$79,SMALL(IF(('Teacher Calendar'!$D$70:$D$79&lt;&gt;"")*('Teacher Calendar'!$D$70:$D$79&lt;&gt;0),ROW('Teacher Calendar'!$D$70:$D$79)-ROW('Teacher Calendar'!$D$70)+1),6)),"")</f>
        <v>Activity</v>
      </c>
      <c r="B33" s="67" t="str">
        <f t="array" ref="B33">IFERROR(INDEX('Teacher Calendar'!$E$70:$E$79,SMALL(IF(('Teacher Calendar'!$E$70:$E$79&lt;&gt;"")*('Teacher Calendar'!$E$70:$E$79&lt;&gt;0),ROW('Teacher Calendar'!$E$70:$E$79)-ROW('Teacher Calendar'!$E$70)+1),6)),"")</f>
        <v>Activity</v>
      </c>
      <c r="C33" s="67" t="str">
        <f t="array" ref="C33">IFERROR(INDEX('Teacher Calendar'!$F$70:$F$79,SMALL(IF(('Teacher Calendar'!$F$70:$F$79&lt;&gt;"")*('Teacher Calendar'!$F$70:$F$79&lt;&gt;0),ROW('Teacher Calendar'!$F$70:$F$79)-ROW('Teacher Calendar'!$F$70)+1),6)),"")</f>
        <v>Activity</v>
      </c>
      <c r="D33" s="67" t="str">
        <f t="array" ref="D33">IFERROR(INDEX('Teacher Calendar'!$G$70:$G$79,SMALL(IF(('Teacher Calendar'!$G$70:$G$79&lt;&gt;"")*('Teacher Calendar'!$G$70:$G$79&lt;&gt;0),ROW('Teacher Calendar'!$G$70:$G$79)-ROW('Teacher Calendar'!$G$70)+1),6)),"")</f>
        <v>Activity</v>
      </c>
      <c r="E33" s="67" t="str">
        <f t="array" ref="E33">IFERROR(INDEX('Teacher Calendar'!$H$70:$H$79,SMALL(IF(('Teacher Calendar'!$H$70:$H$79&lt;&gt;"")*('Teacher Calendar'!$H$70:$H$79&lt;&gt;0),ROW('Teacher Calendar'!$H$70:$H$79)-ROW('Teacher Calendar'!$H$70)+1),6)),"")</f>
        <v>Activity</v>
      </c>
    </row>
    <row r="34" ht="15.75" customHeight="1">
      <c r="A34" s="67" t="str">
        <f t="array" ref="A34">IFERROR(INDEX('Teacher Calendar'!$D$70:$D$79,SMALL(IF(('Teacher Calendar'!$D$70:$D$79&lt;&gt;"")*('Teacher Calendar'!$D$70:$D$79&lt;&gt;0),ROW('Teacher Calendar'!$D$70:$D$79)-ROW('Teacher Calendar'!$D$70)+1),7)),"")</f>
        <v>Practice Set</v>
      </c>
      <c r="B34" s="67" t="str">
        <f t="array" ref="B34">IFERROR(INDEX('Teacher Calendar'!$E$70:$E$79,SMALL(IF(('Teacher Calendar'!$E$70:$E$79&lt;&gt;"")*('Teacher Calendar'!$E$70:$E$79&lt;&gt;0),ROW('Teacher Calendar'!$E$70:$E$79)-ROW('Teacher Calendar'!$E$70)+1),7)),"")</f>
        <v>Practice Set</v>
      </c>
      <c r="C34" s="67" t="str">
        <f t="array" ref="C34">IFERROR(INDEX('Teacher Calendar'!$F$70:$F$79,SMALL(IF(('Teacher Calendar'!$F$70:$F$79&lt;&gt;"")*('Teacher Calendar'!$F$70:$F$79&lt;&gt;0),ROW('Teacher Calendar'!$F$70:$F$79)-ROW('Teacher Calendar'!$F$70)+1),7)),"")</f>
        <v>Practice Set</v>
      </c>
      <c r="D34" s="67" t="str">
        <f t="array" ref="D34">IFERROR(INDEX('Teacher Calendar'!$G$70:$G$79,SMALL(IF(('Teacher Calendar'!$G$70:$G$79&lt;&gt;"")*('Teacher Calendar'!$G$70:$G$79&lt;&gt;0),ROW('Teacher Calendar'!$G$70:$G$79)-ROW('Teacher Calendar'!$G$70)+1),7)),"")</f>
        <v>Practice Set</v>
      </c>
      <c r="E34" s="67" t="str">
        <f t="array" ref="E34">IFERROR(INDEX('Teacher Calendar'!$H$70:$H$79,SMALL(IF(('Teacher Calendar'!$H$70:$H$79&lt;&gt;"")*('Teacher Calendar'!$H$70:$H$79&lt;&gt;0),ROW('Teacher Calendar'!$H$70:$H$79)-ROW('Teacher Calendar'!$H$70)+1),7)),"")</f>
        <v>Practice Set</v>
      </c>
    </row>
    <row r="35" ht="15.75" customHeight="1">
      <c r="A35" s="146">
        <f>'Teacher Calendar'!D96</f>
        <v>46286</v>
      </c>
      <c r="B35" s="146">
        <f>'Teacher Calendar'!E96</f>
        <v>46287</v>
      </c>
      <c r="C35" s="146">
        <f>'Teacher Calendar'!F96</f>
        <v>46288</v>
      </c>
      <c r="D35" s="146">
        <f>'Teacher Calendar'!G96</f>
        <v>46289</v>
      </c>
      <c r="E35" s="146">
        <f>'Teacher Calendar'!H96</f>
        <v>46290</v>
      </c>
    </row>
    <row r="36" ht="15.75" customHeight="1">
      <c r="A36" s="77" t="str">
        <f t="array" ref="A36">IFERROR(INDEX('Teacher Calendar'!$D$97:$D$106,SMALL(IF(('Teacher Calendar'!$D$97:$D$106&lt;&gt;"")*('Teacher Calendar'!$D$97:$D$106&lt;&gt;0),ROW('Teacher Calendar'!$D$97:$D$106)-ROW('Teacher Calendar'!$D$97)+1),1)),"")</f>
        <v>PD</v>
      </c>
      <c r="B36" s="131" t="str">
        <f t="array" ref="B36">IFERROR(INDEX('Teacher Calendar'!$E$97:$E$106,SMALL(IF(('Teacher Calendar'!$E$97:$E$106&lt;&gt;"")*('Teacher Calendar'!$E$97:$E$106&lt;&gt;0),ROW('Teacher Calendar'!$E$97:$E$106)-ROW('Teacher Calendar'!$E$97)+1),1)),"")</f>
        <v>1.4: Equilibrium</v>
      </c>
      <c r="C36" s="131" t="str">
        <f t="array" ref="C36">IFERROR(INDEX('Teacher Calendar'!$F$97:$F$106,SMALL(IF(('Teacher Calendar'!$F$97:$F$106&lt;&gt;"")*('Teacher Calendar'!$F$97:$F$106&lt;&gt;0),ROW('Teacher Calendar'!$F$97:$F$106)-ROW('Teacher Calendar'!$F$97)+1),1)),"")</f>
        <v>1.4: Equilibrium</v>
      </c>
      <c r="D36" s="131" t="str">
        <f t="array" ref="D36">IFERROR(INDEX('Teacher Calendar'!$G$97:$G$106,SMALL(IF(('Teacher Calendar'!$G$97:$G$106&lt;&gt;"")*('Teacher Calendar'!$G$97:$G$106&lt;&gt;0),ROW('Teacher Calendar'!$G$97:$G$106)-ROW('Teacher Calendar'!$G$97)+1),1)),"")</f>
        <v>1.4: Equilibrium</v>
      </c>
      <c r="E36" s="131" t="str">
        <f t="array" ref="E36">IFERROR(INDEX('Teacher Calendar'!$H$97:$H$106,SMALL(IF(('Teacher Calendar'!$H$97:$H$106&lt;&gt;"")*('Teacher Calendar'!$H$97:$H$106&lt;&gt;0),ROW('Teacher Calendar'!$H$97:$H$106)-ROW('Teacher Calendar'!$H$97)+1),1)),"")</f>
        <v>1.5: Force Models</v>
      </c>
    </row>
    <row r="37" ht="15.75" customHeight="1">
      <c r="A37" s="77" t="str">
        <f t="array" ref="A37">IFERROR(INDEX('Teacher Calendar'!$D$97:$D$106,SMALL(IF(('Teacher Calendar'!$D$97:$D$106&lt;&gt;"")*('Teacher Calendar'!$D$97:$D$106&lt;&gt;0),ROW('Teacher Calendar'!$D$97:$D$106)-ROW('Teacher Calendar'!$D$97)+1),2)),"")</f>
        <v/>
      </c>
      <c r="B37" s="67" t="str">
        <f t="array" ref="B37">IFERROR(INDEX('Teacher Calendar'!$E$97:$E$106,SMALL(IF(('Teacher Calendar'!$E$97:$E$106&lt;&gt;"")*('Teacher Calendar'!$E$97:$E$106&lt;&gt;0),ROW('Teacher Calendar'!$E$97:$E$106)-ROW('Teacher Calendar'!$E$97)+1),2)),"")</f>
        <v>Warm Up</v>
      </c>
      <c r="C37" s="67" t="str">
        <f t="array" ref="C37">IFERROR(INDEX('Teacher Calendar'!$F$97:$F$106,SMALL(IF(('Teacher Calendar'!$F$97:$F$106&lt;&gt;"")*('Teacher Calendar'!$F$97:$F$106&lt;&gt;0),ROW('Teacher Calendar'!$F$97:$F$106)-ROW('Teacher Calendar'!$F$97)+1),2)),"")</f>
        <v>Warm Up</v>
      </c>
      <c r="D37" s="67" t="str">
        <f t="array" ref="D37">IFERROR(INDEX('Teacher Calendar'!$G$97:$G$106,SMALL(IF(('Teacher Calendar'!$G$97:$G$106&lt;&gt;"")*('Teacher Calendar'!$G$97:$G$106&lt;&gt;0),ROW('Teacher Calendar'!$G$97:$G$106)-ROW('Teacher Calendar'!$G$97)+1),2)),"")</f>
        <v>Warm Up</v>
      </c>
      <c r="E37" s="67" t="str">
        <f t="array" ref="E37">IFERROR(INDEX('Teacher Calendar'!$H$97:$H$106,SMALL(IF(('Teacher Calendar'!$H$97:$H$106&lt;&gt;"")*('Teacher Calendar'!$H$97:$H$106&lt;&gt;0),ROW('Teacher Calendar'!$H$97:$H$106)-ROW('Teacher Calendar'!$H$97)+1),2)),"")</f>
        <v>Warm Up</v>
      </c>
    </row>
    <row r="38" ht="15.75" customHeight="1">
      <c r="A38" s="77" t="str">
        <f t="array" ref="A38">IFERROR(INDEX('Teacher Calendar'!$D$97:$D$106,SMALL(IF(('Teacher Calendar'!$D$97:$D$106&lt;&gt;"")*('Teacher Calendar'!$D$97:$D$106&lt;&gt;0),ROW('Teacher Calendar'!$D$97:$D$106)-ROW('Teacher Calendar'!$D$97)+1),3)),"")</f>
        <v/>
      </c>
      <c r="B38" s="67" t="str">
        <f t="array" ref="B38">IFERROR(INDEX('Teacher Calendar'!$E$97:$E$106,SMALL(IF(('Teacher Calendar'!$E$97:$E$106&lt;&gt;"")*('Teacher Calendar'!$E$97:$E$106&lt;&gt;0),ROW('Teacher Calendar'!$E$97:$E$106)-ROW('Teacher Calendar'!$E$97)+1),3)),"")</f>
        <v>Demo</v>
      </c>
      <c r="C38" s="67" t="str">
        <f t="array" ref="C38">IFERROR(INDEX('Teacher Calendar'!$F$97:$F$106,SMALL(IF(('Teacher Calendar'!$F$97:$F$106&lt;&gt;"")*('Teacher Calendar'!$F$97:$F$106&lt;&gt;0),ROW('Teacher Calendar'!$F$97:$F$106)-ROW('Teacher Calendar'!$F$97)+1),3)),"")</f>
        <v>Demo</v>
      </c>
      <c r="D38" s="67" t="str">
        <f t="array" ref="D38">IFERROR(INDEX('Teacher Calendar'!$G$97:$G$106,SMALL(IF(('Teacher Calendar'!$G$97:$G$106&lt;&gt;"")*('Teacher Calendar'!$G$97:$G$106&lt;&gt;0),ROW('Teacher Calendar'!$G$97:$G$106)-ROW('Teacher Calendar'!$G$97)+1),3)),"")</f>
        <v>Demo</v>
      </c>
      <c r="E38" s="67" t="str">
        <f t="array" ref="E38">IFERROR(INDEX('Teacher Calendar'!$H$97:$H$106,SMALL(IF(('Teacher Calendar'!$H$97:$H$106&lt;&gt;"")*('Teacher Calendar'!$H$97:$H$106&lt;&gt;0),ROW('Teacher Calendar'!$H$97:$H$106)-ROW('Teacher Calendar'!$H$97)+1),3)),"")</f>
        <v>Demo</v>
      </c>
    </row>
    <row r="39" ht="15.75" customHeight="1">
      <c r="A39" s="77" t="str">
        <f t="array" ref="A39">IFERROR(INDEX('Teacher Calendar'!$D$97:$D$106,SMALL(IF(('Teacher Calendar'!$D$97:$D$106&lt;&gt;"")*('Teacher Calendar'!$D$97:$D$106&lt;&gt;0),ROW('Teacher Calendar'!$D$97:$D$106)-ROW('Teacher Calendar'!$D$97)+1),4)),"")</f>
        <v/>
      </c>
      <c r="B39" s="67" t="str">
        <f t="array" ref="B39">IFERROR(INDEX('Teacher Calendar'!$E$97:$E$106,SMALL(IF(('Teacher Calendar'!$E$97:$E$106&lt;&gt;"")*('Teacher Calendar'!$E$97:$E$106&lt;&gt;0),ROW('Teacher Calendar'!$E$97:$E$106)-ROW('Teacher Calendar'!$E$97)+1),4)),"")</f>
        <v>Notes</v>
      </c>
      <c r="C39" s="67" t="str">
        <f t="array" ref="C39">IFERROR(INDEX('Teacher Calendar'!$F$97:$F$106,SMALL(IF(('Teacher Calendar'!$F$97:$F$106&lt;&gt;"")*('Teacher Calendar'!$F$97:$F$106&lt;&gt;0),ROW('Teacher Calendar'!$F$97:$F$106)-ROW('Teacher Calendar'!$F$97)+1),4)),"")</f>
        <v>Notes</v>
      </c>
      <c r="D39" s="67" t="str">
        <f t="array" ref="D39">IFERROR(INDEX('Teacher Calendar'!$G$97:$G$106,SMALL(IF(('Teacher Calendar'!$G$97:$G$106&lt;&gt;"")*('Teacher Calendar'!$G$97:$G$106&lt;&gt;0),ROW('Teacher Calendar'!$G$97:$G$106)-ROW('Teacher Calendar'!$G$97)+1),4)),"")</f>
        <v>Notes</v>
      </c>
      <c r="E39" s="67" t="str">
        <f t="array" ref="E39">IFERROR(INDEX('Teacher Calendar'!$H$97:$H$106,SMALL(IF(('Teacher Calendar'!$H$97:$H$106&lt;&gt;"")*('Teacher Calendar'!$H$97:$H$106&lt;&gt;0),ROW('Teacher Calendar'!$H$97:$H$106)-ROW('Teacher Calendar'!$H$97)+1),4)),"")</f>
        <v>Notes</v>
      </c>
    </row>
    <row r="40" ht="15.75" customHeight="1">
      <c r="A40" s="77" t="str">
        <f t="array" ref="A40">IFERROR(INDEX('Teacher Calendar'!$D$97:$D$106,SMALL(IF(('Teacher Calendar'!$D$97:$D$106&lt;&gt;"")*('Teacher Calendar'!$D$97:$D$106&lt;&gt;0),ROW('Teacher Calendar'!$D$97:$D$106)-ROW('Teacher Calendar'!$D$97)+1),5)),"")</f>
        <v/>
      </c>
      <c r="B40" s="67" t="str">
        <f t="array" ref="B40">IFERROR(INDEX('Teacher Calendar'!$E$97:$E$106,SMALL(IF(('Teacher Calendar'!$E$97:$E$106&lt;&gt;"")*('Teacher Calendar'!$E$97:$E$106&lt;&gt;0),ROW('Teacher Calendar'!$E$97:$E$106)-ROW('Teacher Calendar'!$E$97)+1),5)),"")</f>
        <v>Investigation</v>
      </c>
      <c r="C40" s="67" t="str">
        <f t="array" ref="C40">IFERROR(INDEX('Teacher Calendar'!$F$97:$F$106,SMALL(IF(('Teacher Calendar'!$F$97:$F$106&lt;&gt;"")*('Teacher Calendar'!$F$97:$F$106&lt;&gt;0),ROW('Teacher Calendar'!$F$97:$F$106)-ROW('Teacher Calendar'!$F$97)+1),5)),"")</f>
        <v>Investigation</v>
      </c>
      <c r="D40" s="67" t="str">
        <f t="array" ref="D40">IFERROR(INDEX('Teacher Calendar'!$G$97:$G$106,SMALL(IF(('Teacher Calendar'!$G$97:$G$106&lt;&gt;"")*('Teacher Calendar'!$G$97:$G$106&lt;&gt;0),ROW('Teacher Calendar'!$G$97:$G$106)-ROW('Teacher Calendar'!$G$97)+1),5)),"")</f>
        <v>Investigation</v>
      </c>
      <c r="E40" s="67" t="str">
        <f t="array" ref="E40">IFERROR(INDEX('Teacher Calendar'!$H$97:$H$106,SMALL(IF(('Teacher Calendar'!$H$97:$H$106&lt;&gt;"")*('Teacher Calendar'!$H$97:$H$106&lt;&gt;0),ROW('Teacher Calendar'!$H$97:$H$106)-ROW('Teacher Calendar'!$H$97)+1),5)),"")</f>
        <v>Investigation</v>
      </c>
    </row>
    <row r="41" ht="15.75" customHeight="1">
      <c r="A41" s="77" t="str">
        <f t="array" ref="A41">IFERROR(INDEX('Teacher Calendar'!$D$97:$D$106,SMALL(IF(('Teacher Calendar'!$D$97:$D$106&lt;&gt;"")*('Teacher Calendar'!$D$97:$D$106&lt;&gt;0),ROW('Teacher Calendar'!$D$97:$D$106)-ROW('Teacher Calendar'!$D$97)+1),6)),"")</f>
        <v/>
      </c>
      <c r="B41" s="67" t="str">
        <f t="array" ref="B41">IFERROR(INDEX('Teacher Calendar'!$E$97:$E$106,SMALL(IF(('Teacher Calendar'!$E$97:$E$106&lt;&gt;"")*('Teacher Calendar'!$E$97:$E$106&lt;&gt;0),ROW('Teacher Calendar'!$E$97:$E$106)-ROW('Teacher Calendar'!$E$97)+1),6)),"")</f>
        <v>Activity</v>
      </c>
      <c r="C41" s="67" t="str">
        <f t="array" ref="C41">IFERROR(INDEX('Teacher Calendar'!$F$97:$F$106,SMALL(IF(('Teacher Calendar'!$F$97:$F$106&lt;&gt;"")*('Teacher Calendar'!$F$97:$F$106&lt;&gt;0),ROW('Teacher Calendar'!$F$97:$F$106)-ROW('Teacher Calendar'!$F$97)+1),6)),"")</f>
        <v>Activity</v>
      </c>
      <c r="D41" s="67" t="str">
        <f t="array" ref="D41">IFERROR(INDEX('Teacher Calendar'!$G$97:$G$106,SMALL(IF(('Teacher Calendar'!$G$97:$G$106&lt;&gt;"")*('Teacher Calendar'!$G$97:$G$106&lt;&gt;0),ROW('Teacher Calendar'!$G$97:$G$106)-ROW('Teacher Calendar'!$G$97)+1),6)),"")</f>
        <v>Activity</v>
      </c>
      <c r="E41" s="67" t="str">
        <f t="array" ref="E41">IFERROR(INDEX('Teacher Calendar'!$H$97:$H$106,SMALL(IF(('Teacher Calendar'!$H$97:$H$106&lt;&gt;"")*('Teacher Calendar'!$H$97:$H$106&lt;&gt;0),ROW('Teacher Calendar'!$H$97:$H$106)-ROW('Teacher Calendar'!$H$97)+1),6)),"")</f>
        <v>Activity</v>
      </c>
    </row>
    <row r="42" ht="15.75" customHeight="1">
      <c r="A42" s="77" t="str">
        <f t="array" ref="A42">IFERROR(INDEX('Teacher Calendar'!$D$97:$D$106,SMALL(IF(('Teacher Calendar'!$D$97:$D$106&lt;&gt;"")*('Teacher Calendar'!$D$97:$D$106&lt;&gt;0),ROW('Teacher Calendar'!$D$97:$D$106)-ROW('Teacher Calendar'!$D$97)+1),7)),"")</f>
        <v/>
      </c>
      <c r="B42" s="67" t="str">
        <f t="array" ref="B42">IFERROR(INDEX('Teacher Calendar'!$E$97:$E$106,SMALL(IF(('Teacher Calendar'!$E$97:$E$106&lt;&gt;"")*('Teacher Calendar'!$E$97:$E$106&lt;&gt;0),ROW('Teacher Calendar'!$E$97:$E$106)-ROW('Teacher Calendar'!$E$97)+1),7)),"")</f>
        <v>Practice Set</v>
      </c>
      <c r="C42" s="67" t="str">
        <f t="array" ref="C42">IFERROR(INDEX('Teacher Calendar'!$F$97:$F$106,SMALL(IF(('Teacher Calendar'!$F$97:$F$106&lt;&gt;"")*('Teacher Calendar'!$F$97:$F$106&lt;&gt;0),ROW('Teacher Calendar'!$F$97:$F$106)-ROW('Teacher Calendar'!$F$97)+1),7)),"")</f>
        <v>Practice Set</v>
      </c>
      <c r="D42" s="67" t="str">
        <f t="array" ref="D42">IFERROR(INDEX('Teacher Calendar'!$G$97:$G$106,SMALL(IF(('Teacher Calendar'!$G$97:$G$106&lt;&gt;"")*('Teacher Calendar'!$G$97:$G$106&lt;&gt;0),ROW('Teacher Calendar'!$G$97:$G$106)-ROW('Teacher Calendar'!$G$97)+1),7)),"")</f>
        <v>Practice Set</v>
      </c>
      <c r="E42" s="67" t="str">
        <f t="array" ref="E42">IFERROR(INDEX('Teacher Calendar'!$H$97:$H$106,SMALL(IF(('Teacher Calendar'!$H$97:$H$106&lt;&gt;"")*('Teacher Calendar'!$H$97:$H$106&lt;&gt;0),ROW('Teacher Calendar'!$H$97:$H$106)-ROW('Teacher Calendar'!$H$97)+1),7)),"")</f>
        <v>Practice Set</v>
      </c>
    </row>
    <row r="43" ht="15.75" customHeight="1">
      <c r="A43" s="146">
        <f>'Teacher Calendar'!D123</f>
        <v>46293</v>
      </c>
      <c r="B43" s="146">
        <f>'Teacher Calendar'!E123</f>
        <v>46294</v>
      </c>
      <c r="C43" s="146">
        <f>'Teacher Calendar'!F123</f>
        <v>46295</v>
      </c>
      <c r="D43" s="146">
        <f>'Teacher Calendar'!G123</f>
        <v>46296</v>
      </c>
      <c r="E43" s="146">
        <f>'Teacher Calendar'!H123</f>
        <v>46297</v>
      </c>
    </row>
    <row r="44" ht="15.75" customHeight="1">
      <c r="A44" s="131" t="str">
        <f t="array" ref="A44">IFERROR(INDEX('Teacher Calendar'!$D$124:$D$133,SMALL(IF(('Teacher Calendar'!$D$124:$D$133&lt;&gt;"")*('Teacher Calendar'!$D$124:$D$133&lt;&gt;0),ROW('Teacher Calendar'!$D$124:$D$133)-ROW('Teacher Calendar'!$D$124)+1),1)),"")</f>
        <v>1.5: Force Models</v>
      </c>
      <c r="B44" s="131" t="str">
        <f t="array" ref="B44">IFERROR(INDEX('Teacher Calendar'!$E$124:$E$133,SMALL(IF(('Teacher Calendar'!$E$124:$E$133&lt;&gt;"")*('Teacher Calendar'!$E$124:$E$133&lt;&gt;0),ROW('Teacher Calendar'!$E$124:$E$133)-ROW('Teacher Calendar'!$E$124)+1),1)),"")</f>
        <v>1.5: Force Models</v>
      </c>
      <c r="C44" s="131" t="str">
        <f t="array" ref="C44">IFERROR(INDEX('Teacher Calendar'!$F$124:$F$133,SMALL(IF(('Teacher Calendar'!$F$124:$F$133&lt;&gt;"")*('Teacher Calendar'!$F$124:$F$133&lt;&gt;0),ROW('Teacher Calendar'!$F$124:$F$133)-ROW('Teacher Calendar'!$F$124)+1),1)),"")</f>
        <v>Unit 1 Sum Assess</v>
      </c>
      <c r="D44" s="131" t="str">
        <f t="array" ref="D44">IFERROR(INDEX('Teacher Calendar'!$G$124:$G$133,SMALL(IF(('Teacher Calendar'!$G$124:$G$133&lt;&gt;"")*('Teacher Calendar'!$G$124:$G$133&lt;&gt;0),ROW('Teacher Calendar'!$G$124:$G$133)-ROW('Teacher Calendar'!$G$124)+1),1)),"")</f>
        <v>2.1: Motion &amp; Ref</v>
      </c>
      <c r="E44" s="131" t="str">
        <f t="array" ref="E44">IFERROR(INDEX('Teacher Calendar'!$H$124:$H$133,SMALL(IF(('Teacher Calendar'!$H$124:$H$133&lt;&gt;"")*('Teacher Calendar'!$H$124:$H$133&lt;&gt;0),ROW('Teacher Calendar'!$H$124:$H$133)-ROW('Teacher Calendar'!$H$124)+1),1)),"")</f>
        <v>2.1: Motion &amp; Ref</v>
      </c>
    </row>
    <row r="45" ht="15.75" customHeight="1">
      <c r="A45" s="67" t="str">
        <f t="array" ref="A45">IFERROR(INDEX('Teacher Calendar'!$D$124:$D$133,SMALL(IF(('Teacher Calendar'!$D$124:$D$133&lt;&gt;"")*('Teacher Calendar'!$D$124:$D$133&lt;&gt;0),ROW('Teacher Calendar'!$D$124:$D$133)-ROW('Teacher Calendar'!$D$124)+1),2)),"")</f>
        <v>Warm Up</v>
      </c>
      <c r="B45" s="67" t="str">
        <f t="array" ref="B45">IFERROR(INDEX('Teacher Calendar'!$E$124:$E$133,SMALL(IF(('Teacher Calendar'!$E$124:$E$133&lt;&gt;"")*('Teacher Calendar'!$E$124:$E$133&lt;&gt;0),ROW('Teacher Calendar'!$E$124:$E$133)-ROW('Teacher Calendar'!$E$124)+1),2)),"")</f>
        <v>Warm Up</v>
      </c>
      <c r="C45" s="131" t="str">
        <f t="array" ref="C45">IFERROR(INDEX('Teacher Calendar'!$F$124:$F$133,SMALL(IF(('Teacher Calendar'!$F$124:$F$133&lt;&gt;"")*('Teacher Calendar'!$F$124:$F$133&lt;&gt;0),ROW('Teacher Calendar'!$F$124:$F$133)-ROW('Teacher Calendar'!$F$124)+1),2)),"")</f>
        <v/>
      </c>
      <c r="D45" s="67" t="str">
        <f t="array" ref="D45">IFERROR(INDEX('Teacher Calendar'!$G$124:$G$133,SMALL(IF(('Teacher Calendar'!$G$124:$G$133&lt;&gt;"")*('Teacher Calendar'!$G$124:$G$133&lt;&gt;0),ROW('Teacher Calendar'!$G$124:$G$133)-ROW('Teacher Calendar'!$G$124)+1),2)),"")</f>
        <v>Warm Up</v>
      </c>
      <c r="E45" s="67" t="str">
        <f t="array" ref="E45">IFERROR(INDEX('Teacher Calendar'!$H$124:$H$133,SMALL(IF(('Teacher Calendar'!$H$124:$H$133&lt;&gt;"")*('Teacher Calendar'!$H$124:$H$133&lt;&gt;0),ROW('Teacher Calendar'!$H$124:$H$133)-ROW('Teacher Calendar'!$H$124)+1),2)),"")</f>
        <v>Warm Up</v>
      </c>
    </row>
    <row r="46" ht="15.75" customHeight="1">
      <c r="A46" s="67" t="str">
        <f t="array" ref="A46">IFERROR(INDEX('Teacher Calendar'!$D$124:$D$133,SMALL(IF(('Teacher Calendar'!$D$124:$D$133&lt;&gt;"")*('Teacher Calendar'!$D$124:$D$133&lt;&gt;0),ROW('Teacher Calendar'!$D$124:$D$133)-ROW('Teacher Calendar'!$D$124)+1),3)),"")</f>
        <v>Demo</v>
      </c>
      <c r="B46" s="67" t="str">
        <f t="array" ref="B46">IFERROR(INDEX('Teacher Calendar'!$E$124:$E$133,SMALL(IF(('Teacher Calendar'!$E$124:$E$133&lt;&gt;"")*('Teacher Calendar'!$E$124:$E$133&lt;&gt;0),ROW('Teacher Calendar'!$E$124:$E$133)-ROW('Teacher Calendar'!$E$124)+1),3)),"")</f>
        <v>Demo</v>
      </c>
      <c r="C46" s="131" t="str">
        <f t="array" ref="C46">IFERROR(INDEX('Teacher Calendar'!$F$124:$F$133,SMALL(IF(('Teacher Calendar'!$F$124:$F$133&lt;&gt;"")*('Teacher Calendar'!$F$124:$F$133&lt;&gt;0),ROW('Teacher Calendar'!$F$124:$F$133)-ROW('Teacher Calendar'!$F$124)+1),3)),"")</f>
        <v/>
      </c>
      <c r="D46" s="67" t="str">
        <f t="array" ref="D46">IFERROR(INDEX('Teacher Calendar'!$G$124:$G$133,SMALL(IF(('Teacher Calendar'!$G$124:$G$133&lt;&gt;"")*('Teacher Calendar'!$G$124:$G$133&lt;&gt;0),ROW('Teacher Calendar'!$G$124:$G$133)-ROW('Teacher Calendar'!$G$124)+1),3)),"")</f>
        <v>Demo</v>
      </c>
      <c r="E46" s="67" t="str">
        <f t="array" ref="E46">IFERROR(INDEX('Teacher Calendar'!$H$124:$H$133,SMALL(IF(('Teacher Calendar'!$H$124:$H$133&lt;&gt;"")*('Teacher Calendar'!$H$124:$H$133&lt;&gt;0),ROW('Teacher Calendar'!$H$124:$H$133)-ROW('Teacher Calendar'!$H$124)+1),3)),"")</f>
        <v>Demo</v>
      </c>
    </row>
    <row r="47" ht="15.75" customHeight="1">
      <c r="A47" s="67" t="str">
        <f t="array" ref="A47">IFERROR(INDEX('Teacher Calendar'!$D$124:$D$133,SMALL(IF(('Teacher Calendar'!$D$124:$D$133&lt;&gt;"")*('Teacher Calendar'!$D$124:$D$133&lt;&gt;0),ROW('Teacher Calendar'!$D$124:$D$133)-ROW('Teacher Calendar'!$D$124)+1),4)),"")</f>
        <v>Notes</v>
      </c>
      <c r="B47" s="67" t="str">
        <f t="array" ref="B47">IFERROR(INDEX('Teacher Calendar'!$E$124:$E$133,SMALL(IF(('Teacher Calendar'!$E$124:$E$133&lt;&gt;"")*('Teacher Calendar'!$E$124:$E$133&lt;&gt;0),ROW('Teacher Calendar'!$E$124:$E$133)-ROW('Teacher Calendar'!$E$124)+1),4)),"")</f>
        <v>Notes</v>
      </c>
      <c r="C47" s="131" t="str">
        <f t="array" ref="C47">IFERROR(INDEX('Teacher Calendar'!$F$124:$F$133,SMALL(IF(('Teacher Calendar'!$F$124:$F$133&lt;&gt;"")*('Teacher Calendar'!$F$124:$F$133&lt;&gt;0),ROW('Teacher Calendar'!$F$124:$F$133)-ROW('Teacher Calendar'!$F$124)+1),4)),"")</f>
        <v/>
      </c>
      <c r="D47" s="67" t="str">
        <f t="array" ref="D47">IFERROR(INDEX('Teacher Calendar'!$G$124:$G$133,SMALL(IF(('Teacher Calendar'!$G$124:$G$133&lt;&gt;"")*('Teacher Calendar'!$G$124:$G$133&lt;&gt;0),ROW('Teacher Calendar'!$G$124:$G$133)-ROW('Teacher Calendar'!$G$124)+1),4)),"")</f>
        <v>Notes</v>
      </c>
      <c r="E47" s="67" t="str">
        <f t="array" ref="E47">IFERROR(INDEX('Teacher Calendar'!$H$124:$H$133,SMALL(IF(('Teacher Calendar'!$H$124:$H$133&lt;&gt;"")*('Teacher Calendar'!$H$124:$H$133&lt;&gt;0),ROW('Teacher Calendar'!$H$124:$H$133)-ROW('Teacher Calendar'!$H$124)+1),4)),"")</f>
        <v>Notes</v>
      </c>
    </row>
    <row r="48" ht="15.75" customHeight="1">
      <c r="A48" s="67" t="str">
        <f t="array" ref="A48">IFERROR(INDEX('Teacher Calendar'!$D$124:$D$133,SMALL(IF(('Teacher Calendar'!$D$124:$D$133&lt;&gt;"")*('Teacher Calendar'!$D$124:$D$133&lt;&gt;0),ROW('Teacher Calendar'!$D$124:$D$133)-ROW('Teacher Calendar'!$D$124)+1),5)),"")</f>
        <v>Investigation</v>
      </c>
      <c r="B48" s="67" t="str">
        <f t="array" ref="B48">IFERROR(INDEX('Teacher Calendar'!$E$124:$E$133,SMALL(IF(('Teacher Calendar'!$E$124:$E$133&lt;&gt;"")*('Teacher Calendar'!$E$124:$E$133&lt;&gt;0),ROW('Teacher Calendar'!$E$124:$E$133)-ROW('Teacher Calendar'!$E$124)+1),5)),"")</f>
        <v>Investigation</v>
      </c>
      <c r="C48" s="131" t="str">
        <f t="array" ref="C48">IFERROR(INDEX('Teacher Calendar'!$F$124:$F$133,SMALL(IF(('Teacher Calendar'!$F$124:$F$133&lt;&gt;"")*('Teacher Calendar'!$F$124:$F$133&lt;&gt;0),ROW('Teacher Calendar'!$F$124:$F$133)-ROW('Teacher Calendar'!$F$124)+1),5)),"")</f>
        <v/>
      </c>
      <c r="D48" s="67" t="str">
        <f t="array" ref="D48">IFERROR(INDEX('Teacher Calendar'!$G$124:$G$133,SMALL(IF(('Teacher Calendar'!$G$124:$G$133&lt;&gt;"")*('Teacher Calendar'!$G$124:$G$133&lt;&gt;0),ROW('Teacher Calendar'!$G$124:$G$133)-ROW('Teacher Calendar'!$G$124)+1),5)),"")</f>
        <v>Investigation</v>
      </c>
      <c r="E48" s="67" t="str">
        <f t="array" ref="E48">IFERROR(INDEX('Teacher Calendar'!$H$124:$H$133,SMALL(IF(('Teacher Calendar'!$H$124:$H$133&lt;&gt;"")*('Teacher Calendar'!$H$124:$H$133&lt;&gt;0),ROW('Teacher Calendar'!$H$124:$H$133)-ROW('Teacher Calendar'!$H$124)+1),5)),"")</f>
        <v>Investigation</v>
      </c>
    </row>
    <row r="49" ht="15.75" customHeight="1">
      <c r="A49" s="67" t="str">
        <f t="array" ref="A49">IFERROR(INDEX('Teacher Calendar'!$D$124:$D$133,SMALL(IF(('Teacher Calendar'!$D$124:$D$133&lt;&gt;"")*('Teacher Calendar'!$D$124:$D$133&lt;&gt;0),ROW('Teacher Calendar'!$D$124:$D$133)-ROW('Teacher Calendar'!$D$124)+1),6)),"")</f>
        <v>Activity</v>
      </c>
      <c r="B49" s="67" t="str">
        <f t="array" ref="B49">IFERROR(INDEX('Teacher Calendar'!$E$124:$E$133,SMALL(IF(('Teacher Calendar'!$E$124:$E$133&lt;&gt;"")*('Teacher Calendar'!$E$124:$E$133&lt;&gt;0),ROW('Teacher Calendar'!$E$124:$E$133)-ROW('Teacher Calendar'!$E$124)+1),6)),"")</f>
        <v>Activity</v>
      </c>
      <c r="C49" s="131" t="str">
        <f t="array" ref="C49">IFERROR(INDEX('Teacher Calendar'!$F$124:$F$133,SMALL(IF(('Teacher Calendar'!$F$124:$F$133&lt;&gt;"")*('Teacher Calendar'!$F$124:$F$133&lt;&gt;0),ROW('Teacher Calendar'!$F$124:$F$133)-ROW('Teacher Calendar'!$F$124)+1),6)),"")</f>
        <v/>
      </c>
      <c r="D49" s="67" t="str">
        <f t="array" ref="D49">IFERROR(INDEX('Teacher Calendar'!$G$124:$G$133,SMALL(IF(('Teacher Calendar'!$G$124:$G$133&lt;&gt;"")*('Teacher Calendar'!$G$124:$G$133&lt;&gt;0),ROW('Teacher Calendar'!$G$124:$G$133)-ROW('Teacher Calendar'!$G$124)+1),6)),"")</f>
        <v>Activity</v>
      </c>
      <c r="E49" s="67" t="str">
        <f t="array" ref="E49">IFERROR(INDEX('Teacher Calendar'!$H$124:$H$133,SMALL(IF(('Teacher Calendar'!$H$124:$H$133&lt;&gt;"")*('Teacher Calendar'!$H$124:$H$133&lt;&gt;0),ROW('Teacher Calendar'!$H$124:$H$133)-ROW('Teacher Calendar'!$H$124)+1),6)),"")</f>
        <v>Activity</v>
      </c>
    </row>
    <row r="50" ht="15.75" customHeight="1">
      <c r="A50" s="67" t="str">
        <f t="array" ref="A50">IFERROR(INDEX('Teacher Calendar'!$D$124:$D$133,SMALL(IF(('Teacher Calendar'!$D$124:$D$133&lt;&gt;"")*('Teacher Calendar'!$D$124:$D$133&lt;&gt;0),ROW('Teacher Calendar'!$D$124:$D$133)-ROW('Teacher Calendar'!$D$124)+1),7)),"")</f>
        <v>Practice Set</v>
      </c>
      <c r="B50" s="67" t="str">
        <f t="array" ref="B50">IFERROR(INDEX('Teacher Calendar'!$E$124:$E$133,SMALL(IF(('Teacher Calendar'!$E$124:$E$133&lt;&gt;"")*('Teacher Calendar'!$E$124:$E$133&lt;&gt;0),ROW('Teacher Calendar'!$E$124:$E$133)-ROW('Teacher Calendar'!$E$124)+1),7)),"")</f>
        <v>Practice Set</v>
      </c>
      <c r="C50" s="131" t="str">
        <f t="array" ref="C50">IFERROR(INDEX('Teacher Calendar'!$F$124:$F$133,SMALL(IF(('Teacher Calendar'!$F$124:$F$133&lt;&gt;"")*('Teacher Calendar'!$F$124:$F$133&lt;&gt;0),ROW('Teacher Calendar'!$F$124:$F$133)-ROW('Teacher Calendar'!$F$124)+1),7)),"")</f>
        <v/>
      </c>
      <c r="D50" s="67" t="str">
        <f t="array" ref="D50">IFERROR(INDEX('Teacher Calendar'!$G$124:$G$133,SMALL(IF(('Teacher Calendar'!$G$124:$G$133&lt;&gt;"")*('Teacher Calendar'!$G$124:$G$133&lt;&gt;0),ROW('Teacher Calendar'!$G$124:$G$133)-ROW('Teacher Calendar'!$G$124)+1),7)),"")</f>
        <v>Practice Set</v>
      </c>
      <c r="E50" s="67" t="str">
        <f t="array" ref="E50">IFERROR(INDEX('Teacher Calendar'!$H$124:$H$133,SMALL(IF(('Teacher Calendar'!$H$124:$H$133&lt;&gt;"")*('Teacher Calendar'!$H$124:$H$133&lt;&gt;0),ROW('Teacher Calendar'!$H$124:$H$133)-ROW('Teacher Calendar'!$H$124)+1),7)),"")</f>
        <v>Practice Set</v>
      </c>
    </row>
    <row r="51" ht="15.75" customHeight="1">
      <c r="A51" s="146">
        <f>'Teacher Calendar'!D150</f>
        <v>46300</v>
      </c>
      <c r="B51" s="146">
        <f>'Teacher Calendar'!E150</f>
        <v>46301</v>
      </c>
      <c r="C51" s="146">
        <f>'Teacher Calendar'!F150</f>
        <v>46302</v>
      </c>
      <c r="D51" s="146">
        <f>'Teacher Calendar'!G150</f>
        <v>46303</v>
      </c>
      <c r="E51" s="146">
        <f>'Teacher Calendar'!H150</f>
        <v>46304</v>
      </c>
    </row>
    <row r="52" ht="15.75" customHeight="1">
      <c r="A52" s="131" t="str">
        <f t="array" ref="A52">IFERROR(INDEX('Teacher Calendar'!$D$151:$D$160,SMALL(IF(('Teacher Calendar'!$D$151:$D$160&lt;&gt;"")*('Teacher Calendar'!$D$151:$D$160&lt;&gt;0),ROW('Teacher Calendar'!$D$151:$D$160)-ROW('Teacher Calendar'!$D$151)+1),1)),"")</f>
        <v>2.1: Motion &amp; Ref</v>
      </c>
      <c r="B52" s="131" t="str">
        <f t="array" ref="B52">IFERROR(INDEX('Teacher Calendar'!$E$151:$E$160,SMALL(IF(('Teacher Calendar'!$E$151:$E$160&lt;&gt;"")*('Teacher Calendar'!$E$151:$E$160&lt;&gt;0),ROW('Teacher Calendar'!$E$151:$E$160)-ROW('Teacher Calendar'!$E$151)+1),1)),"")</f>
        <v>2.2: Speed &amp; Vel</v>
      </c>
      <c r="C52" s="131" t="str">
        <f t="array" ref="C52">IFERROR(INDEX('Teacher Calendar'!$F$151:$F$160,SMALL(IF(('Teacher Calendar'!$F$151:$F$160&lt;&gt;"")*('Teacher Calendar'!$F$151:$F$160&lt;&gt;0),ROW('Teacher Calendar'!$F$151:$F$160)-ROW('Teacher Calendar'!$F$151)+1),1)),"")</f>
        <v>2.2: Speed &amp; Vel</v>
      </c>
      <c r="D52" s="131" t="str">
        <f t="array" ref="D52">IFERROR(INDEX('Teacher Calendar'!$G$151:$G$160,SMALL(IF(('Teacher Calendar'!$G$151:$G$160&lt;&gt;"")*('Teacher Calendar'!$G$151:$G$160&lt;&gt;0),ROW('Teacher Calendar'!$G$151:$G$160)-ROW('Teacher Calendar'!$G$151)+1),1)),"")</f>
        <v>2.2: Speed &amp; Vel</v>
      </c>
      <c r="E52" s="131" t="str">
        <f t="array" ref="E52">IFERROR(INDEX('Teacher Calendar'!$H$151:$H$160,SMALL(IF(('Teacher Calendar'!$H$151:$H$160&lt;&gt;"")*('Teacher Calendar'!$H$151:$H$160&lt;&gt;0),ROW('Teacher Calendar'!$H$151:$H$160)-ROW('Teacher Calendar'!$H$151)+1),1)),"")</f>
        <v>2.3: Acceleration</v>
      </c>
    </row>
    <row r="53" ht="15.75" customHeight="1">
      <c r="A53" s="67" t="str">
        <f t="array" ref="A53">IFERROR(INDEX('Teacher Calendar'!$D$151:$D$160,SMALL(IF(('Teacher Calendar'!$D$151:$D$160&lt;&gt;"")*('Teacher Calendar'!$D$151:$D$160&lt;&gt;0),ROW('Teacher Calendar'!$D$151:$D$160)-ROW('Teacher Calendar'!$D$151)+1),2)),"")</f>
        <v>Warm Up</v>
      </c>
      <c r="B53" s="67" t="str">
        <f t="array" ref="B53">IFERROR(INDEX('Teacher Calendar'!$E$151:$E$160,SMALL(IF(('Teacher Calendar'!$E$151:$E$160&lt;&gt;"")*('Teacher Calendar'!$E$151:$E$160&lt;&gt;0),ROW('Teacher Calendar'!$E$151:$E$160)-ROW('Teacher Calendar'!$E$151)+1),2)),"")</f>
        <v>Warm Up</v>
      </c>
      <c r="C53" s="67" t="str">
        <f t="array" ref="C53">IFERROR(INDEX('Teacher Calendar'!$F$151:$F$160,SMALL(IF(('Teacher Calendar'!$F$151:$F$160&lt;&gt;"")*('Teacher Calendar'!$F$151:$F$160&lt;&gt;0),ROW('Teacher Calendar'!$F$151:$F$160)-ROW('Teacher Calendar'!$F$151)+1),2)),"")</f>
        <v>Warm Up</v>
      </c>
      <c r="D53" s="67" t="str">
        <f t="array" ref="D53">IFERROR(INDEX('Teacher Calendar'!$G$151:$G$160,SMALL(IF(('Teacher Calendar'!$G$151:$G$160&lt;&gt;"")*('Teacher Calendar'!$G$151:$G$160&lt;&gt;0),ROW('Teacher Calendar'!$G$151:$G$160)-ROW('Teacher Calendar'!$G$151)+1),2)),"")</f>
        <v>Warm Up</v>
      </c>
      <c r="E53" s="67" t="str">
        <f t="array" ref="E53">IFERROR(INDEX('Teacher Calendar'!$H$151:$H$160,SMALL(IF(('Teacher Calendar'!$H$151:$H$160&lt;&gt;"")*('Teacher Calendar'!$H$151:$H$160&lt;&gt;0),ROW('Teacher Calendar'!$H$151:$H$160)-ROW('Teacher Calendar'!$H$151)+1),2)),"")</f>
        <v>Warm Up</v>
      </c>
    </row>
    <row r="54" ht="15.75" customHeight="1">
      <c r="A54" s="67" t="str">
        <f t="array" ref="A54">IFERROR(INDEX('Teacher Calendar'!$D$151:$D$160,SMALL(IF(('Teacher Calendar'!$D$151:$D$160&lt;&gt;"")*('Teacher Calendar'!$D$151:$D$160&lt;&gt;0),ROW('Teacher Calendar'!$D$151:$D$160)-ROW('Teacher Calendar'!$D$151)+1),3)),"")</f>
        <v>Demo</v>
      </c>
      <c r="B54" s="67" t="str">
        <f t="array" ref="B54">IFERROR(INDEX('Teacher Calendar'!$E$151:$E$160,SMALL(IF(('Teacher Calendar'!$E$151:$E$160&lt;&gt;"")*('Teacher Calendar'!$E$151:$E$160&lt;&gt;0),ROW('Teacher Calendar'!$E$151:$E$160)-ROW('Teacher Calendar'!$E$151)+1),3)),"")</f>
        <v>Demo</v>
      </c>
      <c r="C54" s="67" t="str">
        <f t="array" ref="C54">IFERROR(INDEX('Teacher Calendar'!$F$151:$F$160,SMALL(IF(('Teacher Calendar'!$F$151:$F$160&lt;&gt;"")*('Teacher Calendar'!$F$151:$F$160&lt;&gt;0),ROW('Teacher Calendar'!$F$151:$F$160)-ROW('Teacher Calendar'!$F$151)+1),3)),"")</f>
        <v>Demo</v>
      </c>
      <c r="D54" s="67" t="str">
        <f t="array" ref="D54">IFERROR(INDEX('Teacher Calendar'!$G$151:$G$160,SMALL(IF(('Teacher Calendar'!$G$151:$G$160&lt;&gt;"")*('Teacher Calendar'!$G$151:$G$160&lt;&gt;0),ROW('Teacher Calendar'!$G$151:$G$160)-ROW('Teacher Calendar'!$G$151)+1),3)),"")</f>
        <v>Demo</v>
      </c>
      <c r="E54" s="67" t="str">
        <f t="array" ref="E54">IFERROR(INDEX('Teacher Calendar'!$H$151:$H$160,SMALL(IF(('Teacher Calendar'!$H$151:$H$160&lt;&gt;"")*('Teacher Calendar'!$H$151:$H$160&lt;&gt;0),ROW('Teacher Calendar'!$H$151:$H$160)-ROW('Teacher Calendar'!$H$151)+1),3)),"")</f>
        <v>Demo</v>
      </c>
    </row>
    <row r="55" ht="15.75" customHeight="1">
      <c r="A55" s="67" t="str">
        <f t="array" ref="A55">IFERROR(INDEX('Teacher Calendar'!$D$151:$D$160,SMALL(IF(('Teacher Calendar'!$D$151:$D$160&lt;&gt;"")*('Teacher Calendar'!$D$151:$D$160&lt;&gt;0),ROW('Teacher Calendar'!$D$151:$D$160)-ROW('Teacher Calendar'!$D$151)+1),4)),"")</f>
        <v>Notes</v>
      </c>
      <c r="B55" s="67" t="str">
        <f t="array" ref="B55">IFERROR(INDEX('Teacher Calendar'!$E$151:$E$160,SMALL(IF(('Teacher Calendar'!$E$151:$E$160&lt;&gt;"")*('Teacher Calendar'!$E$151:$E$160&lt;&gt;0),ROW('Teacher Calendar'!$E$151:$E$160)-ROW('Teacher Calendar'!$E$151)+1),4)),"")</f>
        <v>Notes</v>
      </c>
      <c r="C55" s="67" t="str">
        <f t="array" ref="C55">IFERROR(INDEX('Teacher Calendar'!$F$151:$F$160,SMALL(IF(('Teacher Calendar'!$F$151:$F$160&lt;&gt;"")*('Teacher Calendar'!$F$151:$F$160&lt;&gt;0),ROW('Teacher Calendar'!$F$151:$F$160)-ROW('Teacher Calendar'!$F$151)+1),4)),"")</f>
        <v>Notes</v>
      </c>
      <c r="D55" s="67" t="str">
        <f t="array" ref="D55">IFERROR(INDEX('Teacher Calendar'!$G$151:$G$160,SMALL(IF(('Teacher Calendar'!$G$151:$G$160&lt;&gt;"")*('Teacher Calendar'!$G$151:$G$160&lt;&gt;0),ROW('Teacher Calendar'!$G$151:$G$160)-ROW('Teacher Calendar'!$G$151)+1),4)),"")</f>
        <v>Notes</v>
      </c>
      <c r="E55" s="67" t="str">
        <f t="array" ref="E55">IFERROR(INDEX('Teacher Calendar'!$H$151:$H$160,SMALL(IF(('Teacher Calendar'!$H$151:$H$160&lt;&gt;"")*('Teacher Calendar'!$H$151:$H$160&lt;&gt;0),ROW('Teacher Calendar'!$H$151:$H$160)-ROW('Teacher Calendar'!$H$151)+1),4)),"")</f>
        <v>Notes</v>
      </c>
    </row>
    <row r="56" ht="15.75" customHeight="1">
      <c r="A56" s="67" t="str">
        <f t="array" ref="A56">IFERROR(INDEX('Teacher Calendar'!$D$151:$D$160,SMALL(IF(('Teacher Calendar'!$D$151:$D$160&lt;&gt;"")*('Teacher Calendar'!$D$151:$D$160&lt;&gt;0),ROW('Teacher Calendar'!$D$151:$D$160)-ROW('Teacher Calendar'!$D$151)+1),5)),"")</f>
        <v>Investigation</v>
      </c>
      <c r="B56" s="67" t="str">
        <f t="array" ref="B56">IFERROR(INDEX('Teacher Calendar'!$E$151:$E$160,SMALL(IF(('Teacher Calendar'!$E$151:$E$160&lt;&gt;"")*('Teacher Calendar'!$E$151:$E$160&lt;&gt;0),ROW('Teacher Calendar'!$E$151:$E$160)-ROW('Teacher Calendar'!$E$151)+1),5)),"")</f>
        <v>Investigation</v>
      </c>
      <c r="C56" s="67" t="str">
        <f t="array" ref="C56">IFERROR(INDEX('Teacher Calendar'!$F$151:$F$160,SMALL(IF(('Teacher Calendar'!$F$151:$F$160&lt;&gt;"")*('Teacher Calendar'!$F$151:$F$160&lt;&gt;0),ROW('Teacher Calendar'!$F$151:$F$160)-ROW('Teacher Calendar'!$F$151)+1),5)),"")</f>
        <v>Investigation</v>
      </c>
      <c r="D56" s="67" t="str">
        <f t="array" ref="D56">IFERROR(INDEX('Teacher Calendar'!$G$151:$G$160,SMALL(IF(('Teacher Calendar'!$G$151:$G$160&lt;&gt;"")*('Teacher Calendar'!$G$151:$G$160&lt;&gt;0),ROW('Teacher Calendar'!$G$151:$G$160)-ROW('Teacher Calendar'!$G$151)+1),5)),"")</f>
        <v>Investigation</v>
      </c>
      <c r="E56" s="67" t="str">
        <f t="array" ref="E56">IFERROR(INDEX('Teacher Calendar'!$H$151:$H$160,SMALL(IF(('Teacher Calendar'!$H$151:$H$160&lt;&gt;"")*('Teacher Calendar'!$H$151:$H$160&lt;&gt;0),ROW('Teacher Calendar'!$H$151:$H$160)-ROW('Teacher Calendar'!$H$151)+1),5)),"")</f>
        <v>Investigation</v>
      </c>
    </row>
    <row r="57" ht="15.75" customHeight="1">
      <c r="A57" s="67" t="str">
        <f t="array" ref="A57">IFERROR(INDEX('Teacher Calendar'!$D$151:$D$160,SMALL(IF(('Teacher Calendar'!$D$151:$D$160&lt;&gt;"")*('Teacher Calendar'!$D$151:$D$160&lt;&gt;0),ROW('Teacher Calendar'!$D$151:$D$160)-ROW('Teacher Calendar'!$D$151)+1),6)),"")</f>
        <v>Activity</v>
      </c>
      <c r="B57" s="67" t="str">
        <f t="array" ref="B57">IFERROR(INDEX('Teacher Calendar'!$E$151:$E$160,SMALL(IF(('Teacher Calendar'!$E$151:$E$160&lt;&gt;"")*('Teacher Calendar'!$E$151:$E$160&lt;&gt;0),ROW('Teacher Calendar'!$E$151:$E$160)-ROW('Teacher Calendar'!$E$151)+1),6)),"")</f>
        <v>Activity</v>
      </c>
      <c r="C57" s="67" t="str">
        <f t="array" ref="C57">IFERROR(INDEX('Teacher Calendar'!$F$151:$F$160,SMALL(IF(('Teacher Calendar'!$F$151:$F$160&lt;&gt;"")*('Teacher Calendar'!$F$151:$F$160&lt;&gt;0),ROW('Teacher Calendar'!$F$151:$F$160)-ROW('Teacher Calendar'!$F$151)+1),6)),"")</f>
        <v>Activity</v>
      </c>
      <c r="D57" s="67" t="str">
        <f t="array" ref="D57">IFERROR(INDEX('Teacher Calendar'!$G$151:$G$160,SMALL(IF(('Teacher Calendar'!$G$151:$G$160&lt;&gt;"")*('Teacher Calendar'!$G$151:$G$160&lt;&gt;0),ROW('Teacher Calendar'!$G$151:$G$160)-ROW('Teacher Calendar'!$G$151)+1),6)),"")</f>
        <v>Activity</v>
      </c>
      <c r="E57" s="67" t="str">
        <f t="array" ref="E57">IFERROR(INDEX('Teacher Calendar'!$H$151:$H$160,SMALL(IF(('Teacher Calendar'!$H$151:$H$160&lt;&gt;"")*('Teacher Calendar'!$H$151:$H$160&lt;&gt;0),ROW('Teacher Calendar'!$H$151:$H$160)-ROW('Teacher Calendar'!$H$151)+1),6)),"")</f>
        <v>Activity</v>
      </c>
    </row>
    <row r="58" ht="15.75" customHeight="1">
      <c r="A58" s="67" t="str">
        <f t="array" ref="A58">IFERROR(INDEX('Teacher Calendar'!$D$151:$D$160,SMALL(IF(('Teacher Calendar'!$D$151:$D$160&lt;&gt;"")*('Teacher Calendar'!$D$151:$D$160&lt;&gt;0),ROW('Teacher Calendar'!$D$151:$D$160)-ROW('Teacher Calendar'!$D$151)+1),7)),"")</f>
        <v>Practice Set</v>
      </c>
      <c r="B58" s="67" t="str">
        <f t="array" ref="B58">IFERROR(INDEX('Teacher Calendar'!$E$151:$E$160,SMALL(IF(('Teacher Calendar'!$E$151:$E$160&lt;&gt;"")*('Teacher Calendar'!$E$151:$E$160&lt;&gt;0),ROW('Teacher Calendar'!$E$151:$E$160)-ROW('Teacher Calendar'!$E$151)+1),7)),"")</f>
        <v>Practice Set</v>
      </c>
      <c r="C58" s="67" t="str">
        <f t="array" ref="C58">IFERROR(INDEX('Teacher Calendar'!$F$151:$F$160,SMALL(IF(('Teacher Calendar'!$F$151:$F$160&lt;&gt;"")*('Teacher Calendar'!$F$151:$F$160&lt;&gt;0),ROW('Teacher Calendar'!$F$151:$F$160)-ROW('Teacher Calendar'!$F$151)+1),7)),"")</f>
        <v>Practice Set</v>
      </c>
      <c r="D58" s="67" t="str">
        <f t="array" ref="D58">IFERROR(INDEX('Teacher Calendar'!$G$151:$G$160,SMALL(IF(('Teacher Calendar'!$G$151:$G$160&lt;&gt;"")*('Teacher Calendar'!$G$151:$G$160&lt;&gt;0),ROW('Teacher Calendar'!$G$151:$G$160)-ROW('Teacher Calendar'!$G$151)+1),7)),"")</f>
        <v>Practice Set</v>
      </c>
      <c r="E58" s="67" t="str">
        <f t="array" ref="E58">IFERROR(INDEX('Teacher Calendar'!$H$151:$H$160,SMALL(IF(('Teacher Calendar'!$H$151:$H$160&lt;&gt;"")*('Teacher Calendar'!$H$151:$H$160&lt;&gt;0),ROW('Teacher Calendar'!$H$151:$H$160)-ROW('Teacher Calendar'!$H$151)+1),7)),"")</f>
        <v>Practice Set</v>
      </c>
    </row>
    <row r="59" ht="15.75" customHeight="1">
      <c r="A59" s="146">
        <f>'Teacher Calendar'!D177</f>
        <v>46307</v>
      </c>
      <c r="B59" s="146">
        <f>'Teacher Calendar'!E177</f>
        <v>46308</v>
      </c>
      <c r="C59" s="146">
        <f>'Teacher Calendar'!F177</f>
        <v>46309</v>
      </c>
      <c r="D59" s="146">
        <f>'Teacher Calendar'!G177</f>
        <v>46310</v>
      </c>
      <c r="E59" s="146">
        <f>'Teacher Calendar'!H177</f>
        <v>46311</v>
      </c>
    </row>
    <row r="60" ht="15.75" customHeight="1">
      <c r="A60" s="131" t="str">
        <f t="array" ref="A60">IFERROR(INDEX('Teacher Calendar'!$D$178:$D$187,SMALL(IF(('Teacher Calendar'!$D$178:$D$187&lt;&gt;"")*('Teacher Calendar'!$D$178:$D$187&lt;&gt;0),ROW('Teacher Calendar'!$D$178:$D$187)-ROW('Teacher Calendar'!$D$178)+1),1)),"")</f>
        <v>2.3: Acceleration</v>
      </c>
      <c r="B60" s="131" t="str">
        <f t="array" ref="B60">IFERROR(INDEX('Teacher Calendar'!$E$178:$E$187,SMALL(IF(('Teacher Calendar'!$E$178:$E$187&lt;&gt;"")*('Teacher Calendar'!$E$178:$E$187&lt;&gt;0),ROW('Teacher Calendar'!$E$178:$E$187)-ROW('Teacher Calendar'!$E$178)+1),1)),"")</f>
        <v>2.3: Acceleration</v>
      </c>
      <c r="C60" s="205" t="str">
        <f t="array" ref="C60">IFERROR(INDEX('Teacher Calendar'!$F$178:$F$187,SMALL(IF(('Teacher Calendar'!$F$178:$F$187&lt;&gt;"")*('Teacher Calendar'!$F$178:$F$187&lt;&gt;0),ROW('Teacher Calendar'!$F$178:$F$187)-ROW('Teacher Calendar'!$F$178)+1),1)),"")</f>
        <v>2.4: Free Fall</v>
      </c>
      <c r="D60" s="206" t="str">
        <f t="array" ref="D60">IFERROR(INDEX('Teacher Calendar'!$G$178:$G$187,SMALL(IF(('Teacher Calendar'!$G$178:$G$187&lt;&gt;"")*('Teacher Calendar'!$G$178:$G$187&lt;&gt;0),ROW('Teacher Calendar'!$G$178:$G$187)-ROW('Teacher Calendar'!$G$178)+1),1)),"")</f>
        <v>2.4: Free Fall</v>
      </c>
      <c r="E60" s="206" t="str">
        <f t="array" ref="E60">IFERROR(INDEX('Teacher Calendar'!$H$178:$H$187,SMALL(IF(('Teacher Calendar'!$H$178:$H$187&lt;&gt;"")*('Teacher Calendar'!$H$178:$H$187&lt;&gt;0),ROW('Teacher Calendar'!$H$178:$H$187)-ROW('Teacher Calendar'!$H$178)+1),1)),"")</f>
        <v>2.4: Free Fall</v>
      </c>
    </row>
    <row r="61" ht="15.75" customHeight="1">
      <c r="A61" s="67" t="str">
        <f t="array" ref="A61">IFERROR(INDEX('Teacher Calendar'!$D$178:$D$187,SMALL(IF(('Teacher Calendar'!$D$178:$D$187&lt;&gt;"")*('Teacher Calendar'!$D$178:$D$187&lt;&gt;0),ROW('Teacher Calendar'!$D$178:$D$187)-ROW('Teacher Calendar'!$D$178)+1),2)),"")</f>
        <v>Warm Up</v>
      </c>
      <c r="B61" s="67" t="str">
        <f t="array" ref="B61">IFERROR(INDEX('Teacher Calendar'!$E$178:$E$187,SMALL(IF(('Teacher Calendar'!$E$178:$E$187&lt;&gt;"")*('Teacher Calendar'!$E$178:$E$187&lt;&gt;0),ROW('Teacher Calendar'!$E$178:$E$187)-ROW('Teacher Calendar'!$E$178)+1),2)),"")</f>
        <v>Warm Up</v>
      </c>
      <c r="C61" s="215" t="str">
        <f t="array" ref="C61">IFERROR(INDEX('Teacher Calendar'!$F$178:$F$187,SMALL(IF(('Teacher Calendar'!$F$178:$F$187&lt;&gt;"")*('Teacher Calendar'!$F$178:$F$187&lt;&gt;0),ROW('Teacher Calendar'!$F$178:$F$187)-ROW('Teacher Calendar'!$F$178)+1),2)),"")</f>
        <v>Warm Up</v>
      </c>
      <c r="D61" s="216" t="str">
        <f t="array" ref="D61">IFERROR(INDEX('Teacher Calendar'!$G$178:$G$187,SMALL(IF(('Teacher Calendar'!$G$178:$G$187&lt;&gt;"")*('Teacher Calendar'!$G$178:$G$187&lt;&gt;0),ROW('Teacher Calendar'!$G$178:$G$187)-ROW('Teacher Calendar'!$G$178)+1),2)),"")</f>
        <v>Warm Up</v>
      </c>
      <c r="E61" s="216" t="str">
        <f t="array" ref="E61">IFERROR(INDEX('Teacher Calendar'!$H$178:$H$187,SMALL(IF(('Teacher Calendar'!$H$178:$H$187&lt;&gt;"")*('Teacher Calendar'!$H$178:$H$187&lt;&gt;0),ROW('Teacher Calendar'!$H$178:$H$187)-ROW('Teacher Calendar'!$H$178)+1),2)),"")</f>
        <v>Warm Up</v>
      </c>
    </row>
    <row r="62" ht="15.75" customHeight="1">
      <c r="A62" s="67" t="str">
        <f t="array" ref="A62">IFERROR(INDEX('Teacher Calendar'!$D$178:$D$187,SMALL(IF(('Teacher Calendar'!$D$178:$D$187&lt;&gt;"")*('Teacher Calendar'!$D$178:$D$187&lt;&gt;0),ROW('Teacher Calendar'!$D$178:$D$187)-ROW('Teacher Calendar'!$D$178)+1),3)),"")</f>
        <v>Demo</v>
      </c>
      <c r="B62" s="67" t="str">
        <f t="array" ref="B62">IFERROR(INDEX('Teacher Calendar'!$E$178:$E$187,SMALL(IF(('Teacher Calendar'!$E$178:$E$187&lt;&gt;"")*('Teacher Calendar'!$E$178:$E$187&lt;&gt;0),ROW('Teacher Calendar'!$E$178:$E$187)-ROW('Teacher Calendar'!$E$178)+1),3)),"")</f>
        <v>Demo</v>
      </c>
      <c r="C62" s="215" t="str">
        <f t="array" ref="C62">IFERROR(INDEX('Teacher Calendar'!$F$178:$F$187,SMALL(IF(('Teacher Calendar'!$F$178:$F$187&lt;&gt;"")*('Teacher Calendar'!$F$178:$F$187&lt;&gt;0),ROW('Teacher Calendar'!$F$178:$F$187)-ROW('Teacher Calendar'!$F$178)+1),3)),"")</f>
        <v>Demo</v>
      </c>
      <c r="D62" s="216" t="str">
        <f t="array" ref="D62">IFERROR(INDEX('Teacher Calendar'!$G$178:$G$187,SMALL(IF(('Teacher Calendar'!$G$178:$G$187&lt;&gt;"")*('Teacher Calendar'!$G$178:$G$187&lt;&gt;0),ROW('Teacher Calendar'!$G$178:$G$187)-ROW('Teacher Calendar'!$G$178)+1),3)),"")</f>
        <v>Demo</v>
      </c>
      <c r="E62" s="216" t="str">
        <f t="array" ref="E62">IFERROR(INDEX('Teacher Calendar'!$H$178:$H$187,SMALL(IF(('Teacher Calendar'!$H$178:$H$187&lt;&gt;"")*('Teacher Calendar'!$H$178:$H$187&lt;&gt;0),ROW('Teacher Calendar'!$H$178:$H$187)-ROW('Teacher Calendar'!$H$178)+1),3)),"")</f>
        <v>Demo</v>
      </c>
    </row>
    <row r="63" ht="15.75" customHeight="1">
      <c r="A63" s="67" t="str">
        <f t="array" ref="A63">IFERROR(INDEX('Teacher Calendar'!$D$178:$D$187,SMALL(IF(('Teacher Calendar'!$D$178:$D$187&lt;&gt;"")*('Teacher Calendar'!$D$178:$D$187&lt;&gt;0),ROW('Teacher Calendar'!$D$178:$D$187)-ROW('Teacher Calendar'!$D$178)+1),4)),"")</f>
        <v>Notes</v>
      </c>
      <c r="B63" s="67" t="str">
        <f t="array" ref="B63">IFERROR(INDEX('Teacher Calendar'!$E$178:$E$187,SMALL(IF(('Teacher Calendar'!$E$178:$E$187&lt;&gt;"")*('Teacher Calendar'!$E$178:$E$187&lt;&gt;0),ROW('Teacher Calendar'!$E$178:$E$187)-ROW('Teacher Calendar'!$E$178)+1),4)),"")</f>
        <v>Notes</v>
      </c>
      <c r="C63" s="215" t="str">
        <f t="array" ref="C63">IFERROR(INDEX('Teacher Calendar'!$F$178:$F$187,SMALL(IF(('Teacher Calendar'!$F$178:$F$187&lt;&gt;"")*('Teacher Calendar'!$F$178:$F$187&lt;&gt;0),ROW('Teacher Calendar'!$F$178:$F$187)-ROW('Teacher Calendar'!$F$178)+1),4)),"")</f>
        <v>Notes</v>
      </c>
      <c r="D63" s="216" t="str">
        <f t="array" ref="D63">IFERROR(INDEX('Teacher Calendar'!$G$178:$G$187,SMALL(IF(('Teacher Calendar'!$G$178:$G$187&lt;&gt;"")*('Teacher Calendar'!$G$178:$G$187&lt;&gt;0),ROW('Teacher Calendar'!$G$178:$G$187)-ROW('Teacher Calendar'!$G$178)+1),4)),"")</f>
        <v>Notes</v>
      </c>
      <c r="E63" s="216" t="str">
        <f t="array" ref="E63">IFERROR(INDEX('Teacher Calendar'!$H$178:$H$187,SMALL(IF(('Teacher Calendar'!$H$178:$H$187&lt;&gt;"")*('Teacher Calendar'!$H$178:$H$187&lt;&gt;0),ROW('Teacher Calendar'!$H$178:$H$187)-ROW('Teacher Calendar'!$H$178)+1),4)),"")</f>
        <v>Notes</v>
      </c>
    </row>
    <row r="64" ht="15.75" customHeight="1">
      <c r="A64" s="67" t="str">
        <f t="array" ref="A64">IFERROR(INDEX('Teacher Calendar'!$D$178:$D$187,SMALL(IF(('Teacher Calendar'!$D$178:$D$187&lt;&gt;"")*('Teacher Calendar'!$D$178:$D$187&lt;&gt;0),ROW('Teacher Calendar'!$D$178:$D$187)-ROW('Teacher Calendar'!$D$178)+1),5)),"")</f>
        <v>Investigation</v>
      </c>
      <c r="B64" s="67" t="str">
        <f t="array" ref="B64">IFERROR(INDEX('Teacher Calendar'!$E$178:$E$187,SMALL(IF(('Teacher Calendar'!$E$178:$E$187&lt;&gt;"")*('Teacher Calendar'!$E$178:$E$187&lt;&gt;0),ROW('Teacher Calendar'!$E$178:$E$187)-ROW('Teacher Calendar'!$E$178)+1),5)),"")</f>
        <v>Investigation</v>
      </c>
      <c r="C64" s="215" t="str">
        <f t="array" ref="C64">IFERROR(INDEX('Teacher Calendar'!$F$178:$F$187,SMALL(IF(('Teacher Calendar'!$F$178:$F$187&lt;&gt;"")*('Teacher Calendar'!$F$178:$F$187&lt;&gt;0),ROW('Teacher Calendar'!$F$178:$F$187)-ROW('Teacher Calendar'!$F$178)+1),5)),"")</f>
        <v>Investigation</v>
      </c>
      <c r="D64" s="216" t="str">
        <f t="array" ref="D64">IFERROR(INDEX('Teacher Calendar'!$G$178:$G$187,SMALL(IF(('Teacher Calendar'!$G$178:$G$187&lt;&gt;"")*('Teacher Calendar'!$G$178:$G$187&lt;&gt;0),ROW('Teacher Calendar'!$G$178:$G$187)-ROW('Teacher Calendar'!$G$178)+1),5)),"")</f>
        <v>Investigation</v>
      </c>
      <c r="E64" s="216" t="str">
        <f t="array" ref="E64">IFERROR(INDEX('Teacher Calendar'!$H$178:$H$187,SMALL(IF(('Teacher Calendar'!$H$178:$H$187&lt;&gt;"")*('Teacher Calendar'!$H$178:$H$187&lt;&gt;0),ROW('Teacher Calendar'!$H$178:$H$187)-ROW('Teacher Calendar'!$H$178)+1),5)),"")</f>
        <v>Investigation</v>
      </c>
    </row>
    <row r="65" ht="15.75" customHeight="1">
      <c r="A65" s="67" t="str">
        <f t="array" ref="A65">IFERROR(INDEX('Teacher Calendar'!$D$178:$D$187,SMALL(IF(('Teacher Calendar'!$D$178:$D$187&lt;&gt;"")*('Teacher Calendar'!$D$178:$D$187&lt;&gt;0),ROW('Teacher Calendar'!$D$178:$D$187)-ROW('Teacher Calendar'!$D$178)+1),6)),"")</f>
        <v>Activity</v>
      </c>
      <c r="B65" s="67" t="str">
        <f t="array" ref="B65">IFERROR(INDEX('Teacher Calendar'!$E$178:$E$187,SMALL(IF(('Teacher Calendar'!$E$178:$E$187&lt;&gt;"")*('Teacher Calendar'!$E$178:$E$187&lt;&gt;0),ROW('Teacher Calendar'!$E$178:$E$187)-ROW('Teacher Calendar'!$E$178)+1),6)),"")</f>
        <v>Activity</v>
      </c>
      <c r="C65" s="215" t="str">
        <f t="array" ref="C65">IFERROR(INDEX('Teacher Calendar'!$F$178:$F$187,SMALL(IF(('Teacher Calendar'!$F$178:$F$187&lt;&gt;"")*('Teacher Calendar'!$F$178:$F$187&lt;&gt;0),ROW('Teacher Calendar'!$F$178:$F$187)-ROW('Teacher Calendar'!$F$178)+1),6)),"")</f>
        <v>Activity</v>
      </c>
      <c r="D65" s="216" t="str">
        <f t="array" ref="D65">IFERROR(INDEX('Teacher Calendar'!$G$178:$G$187,SMALL(IF(('Teacher Calendar'!$G$178:$G$187&lt;&gt;"")*('Teacher Calendar'!$G$178:$G$187&lt;&gt;0),ROW('Teacher Calendar'!$G$178:$G$187)-ROW('Teacher Calendar'!$G$178)+1),6)),"")</f>
        <v>Activity</v>
      </c>
      <c r="E65" s="216" t="str">
        <f t="array" ref="E65">IFERROR(INDEX('Teacher Calendar'!$H$178:$H$187,SMALL(IF(('Teacher Calendar'!$H$178:$H$187&lt;&gt;"")*('Teacher Calendar'!$H$178:$H$187&lt;&gt;0),ROW('Teacher Calendar'!$H$178:$H$187)-ROW('Teacher Calendar'!$H$178)+1),6)),"")</f>
        <v>Activity</v>
      </c>
    </row>
    <row r="66" ht="15.75" customHeight="1">
      <c r="A66" s="67" t="str">
        <f t="array" ref="A66">IFERROR(INDEX('Teacher Calendar'!$D$178:$D$187,SMALL(IF(('Teacher Calendar'!$D$178:$D$187&lt;&gt;"")*('Teacher Calendar'!$D$178:$D$187&lt;&gt;0),ROW('Teacher Calendar'!$D$178:$D$187)-ROW('Teacher Calendar'!$D$178)+1),7)),"")</f>
        <v>Practice Set</v>
      </c>
      <c r="B66" s="67" t="str">
        <f t="array" ref="B66">IFERROR(INDEX('Teacher Calendar'!$E$178:$E$187,SMALL(IF(('Teacher Calendar'!$E$178:$E$187&lt;&gt;"")*('Teacher Calendar'!$E$178:$E$187&lt;&gt;0),ROW('Teacher Calendar'!$E$178:$E$187)-ROW('Teacher Calendar'!$E$178)+1),7)),"")</f>
        <v>Practice Set</v>
      </c>
      <c r="C66" s="215" t="str">
        <f t="array" ref="C66">IFERROR(INDEX('Teacher Calendar'!$F$178:$F$187,SMALL(IF(('Teacher Calendar'!$F$178:$F$187&lt;&gt;"")*('Teacher Calendar'!$F$178:$F$187&lt;&gt;0),ROW('Teacher Calendar'!$F$178:$F$187)-ROW('Teacher Calendar'!$F$178)+1),7)),"")</f>
        <v>Practice Set</v>
      </c>
      <c r="D66" s="216" t="str">
        <f t="array" ref="D66">IFERROR(INDEX('Teacher Calendar'!$G$178:$G$187,SMALL(IF(('Teacher Calendar'!$G$178:$G$187&lt;&gt;"")*('Teacher Calendar'!$G$178:$G$187&lt;&gt;0),ROW('Teacher Calendar'!$G$178:$G$187)-ROW('Teacher Calendar'!$G$178)+1),7)),"")</f>
        <v>Practice Set</v>
      </c>
      <c r="E66" s="216" t="str">
        <f t="array" ref="E66">IFERROR(INDEX('Teacher Calendar'!$H$178:$H$187,SMALL(IF(('Teacher Calendar'!$H$178:$H$187&lt;&gt;"")*('Teacher Calendar'!$H$178:$H$187&lt;&gt;0),ROW('Teacher Calendar'!$H$178:$H$187)-ROW('Teacher Calendar'!$H$178)+1),7)),"")</f>
        <v>Practice Set</v>
      </c>
    </row>
    <row r="67" ht="15.75" customHeight="1">
      <c r="A67" s="146">
        <f>'Teacher Calendar'!D204</f>
        <v>46314</v>
      </c>
      <c r="B67" s="146">
        <f>'Teacher Calendar'!E204</f>
        <v>46315</v>
      </c>
      <c r="C67" s="146">
        <f>'Teacher Calendar'!F204</f>
        <v>46316</v>
      </c>
      <c r="D67" s="146">
        <f>'Teacher Calendar'!G204</f>
        <v>46317</v>
      </c>
      <c r="E67" s="146">
        <f>'Teacher Calendar'!H204</f>
        <v>46318</v>
      </c>
    </row>
    <row r="68" ht="15.75" customHeight="1">
      <c r="A68" s="131" t="str">
        <f t="array" ref="A68">IFERROR(INDEX('Teacher Calendar'!$D$205:$D$214,SMALL(IF(('Teacher Calendar'!$D$205:$D$214&lt;&gt;"")*('Teacher Calendar'!$D$205:$D$214&lt;&gt;0),ROW('Teacher Calendar'!$D$205:$D$214)-ROW('Teacher Calendar'!$D$205)+1),1)),"")</f>
        <v>2.5: Vel Vectors</v>
      </c>
      <c r="B68" s="131" t="str">
        <f t="array" ref="B68">IFERROR(INDEX('Teacher Calendar'!$E$205:$E$214,SMALL(IF(('Teacher Calendar'!$E$205:$E$214&lt;&gt;"")*('Teacher Calendar'!$E$205:$E$214&lt;&gt;0),ROW('Teacher Calendar'!$E$205:$E$214)-ROW('Teacher Calendar'!$E$205)+1),1)),"")</f>
        <v>2.5: Vel Vectors</v>
      </c>
      <c r="C68" s="131" t="str">
        <f t="array" ref="C68">IFERROR(INDEX('Teacher Calendar'!$F$205:$F$214,SMALL(IF(('Teacher Calendar'!$F$205:$F$214&lt;&gt;"")*('Teacher Calendar'!$F$205:$F$214&lt;&gt;0),ROW('Teacher Calendar'!$F$205:$F$214)-ROW('Teacher Calendar'!$F$205)+1),1)),"")</f>
        <v>2.5: Vel Vectors</v>
      </c>
      <c r="D68" s="131" t="str">
        <f t="array" ref="D68">IFERROR(INDEX('Teacher Calendar'!$G$205:$G$214,SMALL(IF(('Teacher Calendar'!$G$205:$G$214&lt;&gt;"")*('Teacher Calendar'!$G$205:$G$214&lt;&gt;0),ROW('Teacher Calendar'!$G$205:$G$214)-ROW('Teacher Calendar'!$G$205)+1),1)),"")</f>
        <v>Unit 2 Sum Ass</v>
      </c>
      <c r="E68" s="131" t="str">
        <f t="array" ref="E68">IFERROR(INDEX('Teacher Calendar'!$H$205:$H$214,SMALL(IF(('Teacher Calendar'!$H$205:$H$214&lt;&gt;"")*('Teacher Calendar'!$H$205:$H$214&lt;&gt;0),ROW('Teacher Calendar'!$H$205:$H$214)-ROW('Teacher Calendar'!$H$205)+1),1)),"")</f>
        <v>3.1: Force &amp; Accel</v>
      </c>
    </row>
    <row r="69" ht="15.75" customHeight="1">
      <c r="A69" s="67" t="str">
        <f t="array" ref="A69">IFERROR(INDEX('Teacher Calendar'!$D$205:$D$214,SMALL(IF(('Teacher Calendar'!$D$205:$D$214&lt;&gt;"")*('Teacher Calendar'!$D$205:$D$214&lt;&gt;0),ROW('Teacher Calendar'!$D$205:$D$214)-ROW('Teacher Calendar'!$D$205)+1),2)),"")</f>
        <v>Warm Up</v>
      </c>
      <c r="B69" s="67" t="str">
        <f t="array" ref="B69">IFERROR(INDEX('Teacher Calendar'!$E$205:$E$214,SMALL(IF(('Teacher Calendar'!$E$205:$E$214&lt;&gt;"")*('Teacher Calendar'!$E$205:$E$214&lt;&gt;0),ROW('Teacher Calendar'!$E$205:$E$214)-ROW('Teacher Calendar'!$E$205)+1),2)),"")</f>
        <v>Warm Up</v>
      </c>
      <c r="C69" s="67" t="str">
        <f t="array" ref="C69">IFERROR(INDEX('Teacher Calendar'!$F$205:$F$214,SMALL(IF(('Teacher Calendar'!$F$205:$F$214&lt;&gt;"")*('Teacher Calendar'!$F$205:$F$214&lt;&gt;0),ROW('Teacher Calendar'!$F$205:$F$214)-ROW('Teacher Calendar'!$F$205)+1),2)),"")</f>
        <v>Warm Up</v>
      </c>
      <c r="D69" s="131" t="str">
        <f t="array" ref="D69">IFERROR(INDEX('Teacher Calendar'!$G$205:$G$214,SMALL(IF(('Teacher Calendar'!$G$205:$G$214&lt;&gt;"")*('Teacher Calendar'!$G$205:$G$214&lt;&gt;0),ROW('Teacher Calendar'!$G$205:$G$214)-ROW('Teacher Calendar'!$G$205)+1),2)),"")</f>
        <v/>
      </c>
      <c r="E69" s="67" t="str">
        <f t="array" ref="E69">IFERROR(INDEX('Teacher Calendar'!$H$205:$H$214,SMALL(IF(('Teacher Calendar'!$H$205:$H$214&lt;&gt;"")*('Teacher Calendar'!$H$205:$H$214&lt;&gt;0),ROW('Teacher Calendar'!$H$205:$H$214)-ROW('Teacher Calendar'!$H$205)+1),2)),"")</f>
        <v>Warm Up</v>
      </c>
    </row>
    <row r="70" ht="15.75" customHeight="1">
      <c r="A70" s="67" t="str">
        <f t="array" ref="A70">IFERROR(INDEX('Teacher Calendar'!$D$205:$D$214,SMALL(IF(('Teacher Calendar'!$D$205:$D$214&lt;&gt;"")*('Teacher Calendar'!$D$205:$D$214&lt;&gt;0),ROW('Teacher Calendar'!$D$205:$D$214)-ROW('Teacher Calendar'!$D$205)+1),3)),"")</f>
        <v>Demo</v>
      </c>
      <c r="B70" s="67" t="str">
        <f t="array" ref="B70">IFERROR(INDEX('Teacher Calendar'!$E$205:$E$214,SMALL(IF(('Teacher Calendar'!$E$205:$E$214&lt;&gt;"")*('Teacher Calendar'!$E$205:$E$214&lt;&gt;0),ROW('Teacher Calendar'!$E$205:$E$214)-ROW('Teacher Calendar'!$E$205)+1),3)),"")</f>
        <v>Demo</v>
      </c>
      <c r="C70" s="67" t="str">
        <f t="array" ref="C70">IFERROR(INDEX('Teacher Calendar'!$F$205:$F$214,SMALL(IF(('Teacher Calendar'!$F$205:$F$214&lt;&gt;"")*('Teacher Calendar'!$F$205:$F$214&lt;&gt;0),ROW('Teacher Calendar'!$F$205:$F$214)-ROW('Teacher Calendar'!$F$205)+1),3)),"")</f>
        <v>Demo</v>
      </c>
      <c r="D70" s="131" t="str">
        <f t="array" ref="D70">IFERROR(INDEX('Teacher Calendar'!$G$205:$G$214,SMALL(IF(('Teacher Calendar'!$G$205:$G$214&lt;&gt;"")*('Teacher Calendar'!$G$205:$G$214&lt;&gt;0),ROW('Teacher Calendar'!$G$205:$G$214)-ROW('Teacher Calendar'!$G$205)+1),3)),"")</f>
        <v/>
      </c>
      <c r="E70" s="67" t="str">
        <f t="array" ref="E70">IFERROR(INDEX('Teacher Calendar'!$H$205:$H$214,SMALL(IF(('Teacher Calendar'!$H$205:$H$214&lt;&gt;"")*('Teacher Calendar'!$H$205:$H$214&lt;&gt;0),ROW('Teacher Calendar'!$H$205:$H$214)-ROW('Teacher Calendar'!$H$205)+1),3)),"")</f>
        <v>Demo</v>
      </c>
    </row>
    <row r="71" ht="15.75" customHeight="1">
      <c r="A71" s="67" t="str">
        <f t="array" ref="A71">IFERROR(INDEX('Teacher Calendar'!$D$205:$D$214,SMALL(IF(('Teacher Calendar'!$D$205:$D$214&lt;&gt;"")*('Teacher Calendar'!$D$205:$D$214&lt;&gt;0),ROW('Teacher Calendar'!$D$205:$D$214)-ROW('Teacher Calendar'!$D$205)+1),4)),"")</f>
        <v>Notes</v>
      </c>
      <c r="B71" s="67" t="str">
        <f t="array" ref="B71">IFERROR(INDEX('Teacher Calendar'!$E$205:$E$214,SMALL(IF(('Teacher Calendar'!$E$205:$E$214&lt;&gt;"")*('Teacher Calendar'!$E$205:$E$214&lt;&gt;0),ROW('Teacher Calendar'!$E$205:$E$214)-ROW('Teacher Calendar'!$E$205)+1),4)),"")</f>
        <v>Notes</v>
      </c>
      <c r="C71" s="67" t="str">
        <f t="array" ref="C71">IFERROR(INDEX('Teacher Calendar'!$F$205:$F$214,SMALL(IF(('Teacher Calendar'!$F$205:$F$214&lt;&gt;"")*('Teacher Calendar'!$F$205:$F$214&lt;&gt;0),ROW('Teacher Calendar'!$F$205:$F$214)-ROW('Teacher Calendar'!$F$205)+1),4)),"")</f>
        <v>Notes</v>
      </c>
      <c r="D71" s="131" t="str">
        <f t="array" ref="D71">IFERROR(INDEX('Teacher Calendar'!$G$205:$G$214,SMALL(IF(('Teacher Calendar'!$G$205:$G$214&lt;&gt;"")*('Teacher Calendar'!$G$205:$G$214&lt;&gt;0),ROW('Teacher Calendar'!$G$205:$G$214)-ROW('Teacher Calendar'!$G$205)+1),4)),"")</f>
        <v/>
      </c>
      <c r="E71" s="67" t="str">
        <f t="array" ref="E71">IFERROR(INDEX('Teacher Calendar'!$H$205:$H$214,SMALL(IF(('Teacher Calendar'!$H$205:$H$214&lt;&gt;"")*('Teacher Calendar'!$H$205:$H$214&lt;&gt;0),ROW('Teacher Calendar'!$H$205:$H$214)-ROW('Teacher Calendar'!$H$205)+1),4)),"")</f>
        <v>Notes</v>
      </c>
    </row>
    <row r="72" ht="15.75" customHeight="1">
      <c r="A72" s="67" t="str">
        <f t="array" ref="A72">IFERROR(INDEX('Teacher Calendar'!$D$205:$D$214,SMALL(IF(('Teacher Calendar'!$D$205:$D$214&lt;&gt;"")*('Teacher Calendar'!$D$205:$D$214&lt;&gt;0),ROW('Teacher Calendar'!$D$205:$D$214)-ROW('Teacher Calendar'!$D$205)+1),5)),"")</f>
        <v>Investigation</v>
      </c>
      <c r="B72" s="67" t="str">
        <f t="array" ref="B72">IFERROR(INDEX('Teacher Calendar'!$E$205:$E$214,SMALL(IF(('Teacher Calendar'!$E$205:$E$214&lt;&gt;"")*('Teacher Calendar'!$E$205:$E$214&lt;&gt;0),ROW('Teacher Calendar'!$E$205:$E$214)-ROW('Teacher Calendar'!$E$205)+1),5)),"")</f>
        <v>Investigation</v>
      </c>
      <c r="C72" s="67" t="str">
        <f t="array" ref="C72">IFERROR(INDEX('Teacher Calendar'!$F$205:$F$214,SMALL(IF(('Teacher Calendar'!$F$205:$F$214&lt;&gt;"")*('Teacher Calendar'!$F$205:$F$214&lt;&gt;0),ROW('Teacher Calendar'!$F$205:$F$214)-ROW('Teacher Calendar'!$F$205)+1),5)),"")</f>
        <v>Investigation</v>
      </c>
      <c r="D72" s="131" t="str">
        <f t="array" ref="D72">IFERROR(INDEX('Teacher Calendar'!$G$205:$G$214,SMALL(IF(('Teacher Calendar'!$G$205:$G$214&lt;&gt;"")*('Teacher Calendar'!$G$205:$G$214&lt;&gt;0),ROW('Teacher Calendar'!$G$205:$G$214)-ROW('Teacher Calendar'!$G$205)+1),5)),"")</f>
        <v/>
      </c>
      <c r="E72" s="67" t="str">
        <f t="array" ref="E72">IFERROR(INDEX('Teacher Calendar'!$H$205:$H$214,SMALL(IF(('Teacher Calendar'!$H$205:$H$214&lt;&gt;"")*('Teacher Calendar'!$H$205:$H$214&lt;&gt;0),ROW('Teacher Calendar'!$H$205:$H$214)-ROW('Teacher Calendar'!$H$205)+1),5)),"")</f>
        <v>Investigation</v>
      </c>
    </row>
    <row r="73" ht="15.75" customHeight="1">
      <c r="A73" s="67" t="str">
        <f t="array" ref="A73">IFERROR(INDEX('Teacher Calendar'!$D$205:$D$214,SMALL(IF(('Teacher Calendar'!$D$205:$D$214&lt;&gt;"")*('Teacher Calendar'!$D$205:$D$214&lt;&gt;0),ROW('Teacher Calendar'!$D$205:$D$214)-ROW('Teacher Calendar'!$D$205)+1),6)),"")</f>
        <v>Activity</v>
      </c>
      <c r="B73" s="67" t="str">
        <f t="array" ref="B73">IFERROR(INDEX('Teacher Calendar'!$E$205:$E$214,SMALL(IF(('Teacher Calendar'!$E$205:$E$214&lt;&gt;"")*('Teacher Calendar'!$E$205:$E$214&lt;&gt;0),ROW('Teacher Calendar'!$E$205:$E$214)-ROW('Teacher Calendar'!$E$205)+1),6)),"")</f>
        <v>Activity</v>
      </c>
      <c r="C73" s="67" t="str">
        <f t="array" ref="C73">IFERROR(INDEX('Teacher Calendar'!$F$205:$F$214,SMALL(IF(('Teacher Calendar'!$F$205:$F$214&lt;&gt;"")*('Teacher Calendar'!$F$205:$F$214&lt;&gt;0),ROW('Teacher Calendar'!$F$205:$F$214)-ROW('Teacher Calendar'!$F$205)+1),6)),"")</f>
        <v>Activity</v>
      </c>
      <c r="D73" s="131" t="str">
        <f t="array" ref="D73">IFERROR(INDEX('Teacher Calendar'!$G$205:$G$214,SMALL(IF(('Teacher Calendar'!$G$205:$G$214&lt;&gt;"")*('Teacher Calendar'!$G$205:$G$214&lt;&gt;0),ROW('Teacher Calendar'!$G$205:$G$214)-ROW('Teacher Calendar'!$G$205)+1),6)),"")</f>
        <v/>
      </c>
      <c r="E73" s="67" t="str">
        <f t="array" ref="E73">IFERROR(INDEX('Teacher Calendar'!$H$205:$H$214,SMALL(IF(('Teacher Calendar'!$H$205:$H$214&lt;&gt;"")*('Teacher Calendar'!$H$205:$H$214&lt;&gt;0),ROW('Teacher Calendar'!$H$205:$H$214)-ROW('Teacher Calendar'!$H$205)+1),6)),"")</f>
        <v>Activity</v>
      </c>
    </row>
    <row r="74" ht="15.75" customHeight="1">
      <c r="A74" s="67" t="str">
        <f t="array" ref="A74">IFERROR(INDEX('Teacher Calendar'!$D$205:$D$214,SMALL(IF(('Teacher Calendar'!$D$205:$D$214&lt;&gt;"")*('Teacher Calendar'!$D$205:$D$214&lt;&gt;0),ROW('Teacher Calendar'!$D$205:$D$214)-ROW('Teacher Calendar'!$D$205)+1),7)),"")</f>
        <v>Practice Set</v>
      </c>
      <c r="B74" s="67" t="str">
        <f t="array" ref="B74">IFERROR(INDEX('Teacher Calendar'!$E$205:$E$214,SMALL(IF(('Teacher Calendar'!$E$205:$E$214&lt;&gt;"")*('Teacher Calendar'!$E$205:$E$214&lt;&gt;0),ROW('Teacher Calendar'!$E$205:$E$214)-ROW('Teacher Calendar'!$E$205)+1),7)),"")</f>
        <v>Practice Set</v>
      </c>
      <c r="C74" s="67" t="str">
        <f t="array" ref="C74">IFERROR(INDEX('Teacher Calendar'!$F$205:$F$214,SMALL(IF(('Teacher Calendar'!$F$205:$F$214&lt;&gt;"")*('Teacher Calendar'!$F$205:$F$214&lt;&gt;0),ROW('Teacher Calendar'!$F$205:$F$214)-ROW('Teacher Calendar'!$F$205)+1),7)),"")</f>
        <v>Practice Set</v>
      </c>
      <c r="D74" s="131" t="str">
        <f t="array" ref="D74">IFERROR(INDEX('Teacher Calendar'!$G$205:$G$214,SMALL(IF(('Teacher Calendar'!$G$205:$G$214&lt;&gt;"")*('Teacher Calendar'!$G$205:$G$214&lt;&gt;0),ROW('Teacher Calendar'!$G$205:$G$214)-ROW('Teacher Calendar'!$G$205)+1),7)),"")</f>
        <v/>
      </c>
      <c r="E74" s="67" t="str">
        <f t="array" ref="E74">IFERROR(INDEX('Teacher Calendar'!$H$205:$H$214,SMALL(IF(('Teacher Calendar'!$H$205:$H$214&lt;&gt;"")*('Teacher Calendar'!$H$205:$H$214&lt;&gt;0),ROW('Teacher Calendar'!$H$205:$H$214)-ROW('Teacher Calendar'!$H$205)+1),7)),"")</f>
        <v>Practice Set</v>
      </c>
    </row>
    <row r="75" ht="15.75" customHeight="1">
      <c r="A75" s="146">
        <f>'Teacher Calendar'!D231</f>
        <v>46321</v>
      </c>
      <c r="B75" s="146">
        <f>'Teacher Calendar'!E231</f>
        <v>46322</v>
      </c>
      <c r="C75" s="146">
        <f>'Teacher Calendar'!F231</f>
        <v>46323</v>
      </c>
      <c r="D75" s="146">
        <f>'Teacher Calendar'!G231</f>
        <v>46324</v>
      </c>
      <c r="E75" s="146">
        <f>'Teacher Calendar'!H231</f>
        <v>46325</v>
      </c>
    </row>
    <row r="76" ht="15.75" customHeight="1">
      <c r="A76" s="131" t="str">
        <f t="array" ref="A76">IFERROR(INDEX('Teacher Calendar'!$D$232:$D$241,SMALL(IF(('Teacher Calendar'!$D$232:$D$241&lt;&gt;"")*('Teacher Calendar'!$D$232:$D$241&lt;&gt;0),ROW('Teacher Calendar'!$D$232:$D$241)-ROW('Teacher Calendar'!$D$232)+1),1)),"")</f>
        <v>3.1: Force &amp; Accel</v>
      </c>
      <c r="B76" s="131" t="str">
        <f t="array" ref="B76">IFERROR(INDEX('Teacher Calendar'!$E$232:$E$241,SMALL(IF(('Teacher Calendar'!$E$232:$E$241&lt;&gt;"")*('Teacher Calendar'!$E$232:$E$241&lt;&gt;0),ROW('Teacher Calendar'!$E$232:$E$241)-ROW('Teacher Calendar'!$E$232)+1),1)),"")</f>
        <v>3.1: Force &amp; Accel</v>
      </c>
      <c r="C76" s="131" t="str">
        <f t="array" ref="C76">IFERROR(INDEX('Teacher Calendar'!$F$232:$F$241,SMALL(IF(('Teacher Calendar'!$F$232:$F$241&lt;&gt;"")*('Teacher Calendar'!$F$232:$F$241&lt;&gt;0),ROW('Teacher Calendar'!$F$232:$F$241)-ROW('Teacher Calendar'!$F$232)+1),1)),"")</f>
        <v>3.2: Friction</v>
      </c>
      <c r="D76" s="131" t="str">
        <f t="array" ref="D76">IFERROR(INDEX('Teacher Calendar'!$G$232:$G$241,SMALL(IF(('Teacher Calendar'!$G$232:$G$241&lt;&gt;"")*('Teacher Calendar'!$G$232:$G$241&lt;&gt;0),ROW('Teacher Calendar'!$G$232:$G$241)-ROW('Teacher Calendar'!$G$232)+1),1)),"")</f>
        <v>3.2: Friction</v>
      </c>
      <c r="E76" s="131" t="str">
        <f t="array" ref="E76">IFERROR(INDEX('Teacher Calendar'!$H$232:$H$241,SMALL(IF(('Teacher Calendar'!$H$232:$H$241&lt;&gt;"")*('Teacher Calendar'!$H$232:$H$241&lt;&gt;0),ROW('Teacher Calendar'!$H$232:$H$241)-ROW('Teacher Calendar'!$H$232)+1),1)),"")</f>
        <v>3.2: Friction</v>
      </c>
    </row>
    <row r="77" ht="15.75" customHeight="1">
      <c r="A77" s="67" t="str">
        <f t="array" ref="A77">IFERROR(INDEX('Teacher Calendar'!$D$232:$D$241,SMALL(IF(('Teacher Calendar'!$D$232:$D$241&lt;&gt;"")*('Teacher Calendar'!$D$232:$D$241&lt;&gt;0),ROW('Teacher Calendar'!$D$232:$D$241)-ROW('Teacher Calendar'!$D$232)+1),2)),"")</f>
        <v>Warm Up</v>
      </c>
      <c r="B77" s="67" t="str">
        <f t="array" ref="B77">IFERROR(INDEX('Teacher Calendar'!$E$232:$E$241,SMALL(IF(('Teacher Calendar'!$E$232:$E$241&lt;&gt;"")*('Teacher Calendar'!$E$232:$E$241&lt;&gt;0),ROW('Teacher Calendar'!$E$232:$E$241)-ROW('Teacher Calendar'!$E$232)+1),2)),"")</f>
        <v>Warm Up</v>
      </c>
      <c r="C77" s="67" t="str">
        <f t="array" ref="C77">IFERROR(INDEX('Teacher Calendar'!$F$232:$F$241,SMALL(IF(('Teacher Calendar'!$F$232:$F$241&lt;&gt;"")*('Teacher Calendar'!$F$232:$F$241&lt;&gt;0),ROW('Teacher Calendar'!$F$232:$F$241)-ROW('Teacher Calendar'!$F$232)+1),2)),"")</f>
        <v>Warm Up</v>
      </c>
      <c r="D77" s="67" t="str">
        <f t="array" ref="D77">IFERROR(INDEX('Teacher Calendar'!$G$232:$G$241,SMALL(IF(('Teacher Calendar'!$G$232:$G$241&lt;&gt;"")*('Teacher Calendar'!$G$232:$G$241&lt;&gt;0),ROW('Teacher Calendar'!$G$232:$G$241)-ROW('Teacher Calendar'!$G$232)+1),2)),"")</f>
        <v>Warm Up</v>
      </c>
      <c r="E77" s="67" t="str">
        <f t="array" ref="E77">IFERROR(INDEX('Teacher Calendar'!$H$232:$H$241,SMALL(IF(('Teacher Calendar'!$H$232:$H$241&lt;&gt;"")*('Teacher Calendar'!$H$232:$H$241&lt;&gt;0),ROW('Teacher Calendar'!$H$232:$H$241)-ROW('Teacher Calendar'!$H$232)+1),2)),"")</f>
        <v>Warm Up</v>
      </c>
    </row>
    <row r="78" ht="15.75" customHeight="1">
      <c r="A78" s="67" t="str">
        <f t="array" ref="A78">IFERROR(INDEX('Teacher Calendar'!$D$232:$D$241,SMALL(IF(('Teacher Calendar'!$D$232:$D$241&lt;&gt;"")*('Teacher Calendar'!$D$232:$D$241&lt;&gt;0),ROW('Teacher Calendar'!$D$232:$D$241)-ROW('Teacher Calendar'!$D$232)+1),3)),"")</f>
        <v>Demo</v>
      </c>
      <c r="B78" s="67" t="str">
        <f t="array" ref="B78">IFERROR(INDEX('Teacher Calendar'!$E$232:$E$241,SMALL(IF(('Teacher Calendar'!$E$232:$E$241&lt;&gt;"")*('Teacher Calendar'!$E$232:$E$241&lt;&gt;0),ROW('Teacher Calendar'!$E$232:$E$241)-ROW('Teacher Calendar'!$E$232)+1),3)),"")</f>
        <v>Demo</v>
      </c>
      <c r="C78" s="67" t="str">
        <f t="array" ref="C78">IFERROR(INDEX('Teacher Calendar'!$F$232:$F$241,SMALL(IF(('Teacher Calendar'!$F$232:$F$241&lt;&gt;"")*('Teacher Calendar'!$F$232:$F$241&lt;&gt;0),ROW('Teacher Calendar'!$F$232:$F$241)-ROW('Teacher Calendar'!$F$232)+1),3)),"")</f>
        <v>Demo</v>
      </c>
      <c r="D78" s="67" t="str">
        <f t="array" ref="D78">IFERROR(INDEX('Teacher Calendar'!$G$232:$G$241,SMALL(IF(('Teacher Calendar'!$G$232:$G$241&lt;&gt;"")*('Teacher Calendar'!$G$232:$G$241&lt;&gt;0),ROW('Teacher Calendar'!$G$232:$G$241)-ROW('Teacher Calendar'!$G$232)+1),3)),"")</f>
        <v>Demo</v>
      </c>
      <c r="E78" s="67" t="str">
        <f t="array" ref="E78">IFERROR(INDEX('Teacher Calendar'!$H$232:$H$241,SMALL(IF(('Teacher Calendar'!$H$232:$H$241&lt;&gt;"")*('Teacher Calendar'!$H$232:$H$241&lt;&gt;0),ROW('Teacher Calendar'!$H$232:$H$241)-ROW('Teacher Calendar'!$H$232)+1),3)),"")</f>
        <v>Demo</v>
      </c>
    </row>
    <row r="79" ht="15.75" customHeight="1">
      <c r="A79" s="67" t="str">
        <f t="array" ref="A79">IFERROR(INDEX('Teacher Calendar'!$D$232:$D$241,SMALL(IF(('Teacher Calendar'!$D$232:$D$241&lt;&gt;"")*('Teacher Calendar'!$D$232:$D$241&lt;&gt;0),ROW('Teacher Calendar'!$D$232:$D$241)-ROW('Teacher Calendar'!$D$232)+1),4)),"")</f>
        <v>Notes</v>
      </c>
      <c r="B79" s="67" t="str">
        <f t="array" ref="B79">IFERROR(INDEX('Teacher Calendar'!$E$232:$E$241,SMALL(IF(('Teacher Calendar'!$E$232:$E$241&lt;&gt;"")*('Teacher Calendar'!$E$232:$E$241&lt;&gt;0),ROW('Teacher Calendar'!$E$232:$E$241)-ROW('Teacher Calendar'!$E$232)+1),4)),"")</f>
        <v>Notes</v>
      </c>
      <c r="C79" s="67" t="str">
        <f t="array" ref="C79">IFERROR(INDEX('Teacher Calendar'!$F$232:$F$241,SMALL(IF(('Teacher Calendar'!$F$232:$F$241&lt;&gt;"")*('Teacher Calendar'!$F$232:$F$241&lt;&gt;0),ROW('Teacher Calendar'!$F$232:$F$241)-ROW('Teacher Calendar'!$F$232)+1),4)),"")</f>
        <v>Notes</v>
      </c>
      <c r="D79" s="67" t="str">
        <f t="array" ref="D79">IFERROR(INDEX('Teacher Calendar'!$G$232:$G$241,SMALL(IF(('Teacher Calendar'!$G$232:$G$241&lt;&gt;"")*('Teacher Calendar'!$G$232:$G$241&lt;&gt;0),ROW('Teacher Calendar'!$G$232:$G$241)-ROW('Teacher Calendar'!$G$232)+1),4)),"")</f>
        <v>Notes</v>
      </c>
      <c r="E79" s="67" t="str">
        <f t="array" ref="E79">IFERROR(INDEX('Teacher Calendar'!$H$232:$H$241,SMALL(IF(('Teacher Calendar'!$H$232:$H$241&lt;&gt;"")*('Teacher Calendar'!$H$232:$H$241&lt;&gt;0),ROW('Teacher Calendar'!$H$232:$H$241)-ROW('Teacher Calendar'!$H$232)+1),4)),"")</f>
        <v>Notes</v>
      </c>
    </row>
    <row r="80" ht="15.75" customHeight="1">
      <c r="A80" s="67" t="str">
        <f t="array" ref="A80">IFERROR(INDEX('Teacher Calendar'!$D$232:$D$241,SMALL(IF(('Teacher Calendar'!$D$232:$D$241&lt;&gt;"")*('Teacher Calendar'!$D$232:$D$241&lt;&gt;0),ROW('Teacher Calendar'!$D$232:$D$241)-ROW('Teacher Calendar'!$D$232)+1),5)),"")</f>
        <v>Investigation</v>
      </c>
      <c r="B80" s="67" t="str">
        <f t="array" ref="B80">IFERROR(INDEX('Teacher Calendar'!$E$232:$E$241,SMALL(IF(('Teacher Calendar'!$E$232:$E$241&lt;&gt;"")*('Teacher Calendar'!$E$232:$E$241&lt;&gt;0),ROW('Teacher Calendar'!$E$232:$E$241)-ROW('Teacher Calendar'!$E$232)+1),5)),"")</f>
        <v>Investigation</v>
      </c>
      <c r="C80" s="67" t="str">
        <f t="array" ref="C80">IFERROR(INDEX('Teacher Calendar'!$F$232:$F$241,SMALL(IF(('Teacher Calendar'!$F$232:$F$241&lt;&gt;"")*('Teacher Calendar'!$F$232:$F$241&lt;&gt;0),ROW('Teacher Calendar'!$F$232:$F$241)-ROW('Teacher Calendar'!$F$232)+1),5)),"")</f>
        <v>Investigation</v>
      </c>
      <c r="D80" s="67" t="str">
        <f t="array" ref="D80">IFERROR(INDEX('Teacher Calendar'!$G$232:$G$241,SMALL(IF(('Teacher Calendar'!$G$232:$G$241&lt;&gt;"")*('Teacher Calendar'!$G$232:$G$241&lt;&gt;0),ROW('Teacher Calendar'!$G$232:$G$241)-ROW('Teacher Calendar'!$G$232)+1),5)),"")</f>
        <v>Investigation</v>
      </c>
      <c r="E80" s="67" t="str">
        <f t="array" ref="E80">IFERROR(INDEX('Teacher Calendar'!$H$232:$H$241,SMALL(IF(('Teacher Calendar'!$H$232:$H$241&lt;&gt;"")*('Teacher Calendar'!$H$232:$H$241&lt;&gt;0),ROW('Teacher Calendar'!$H$232:$H$241)-ROW('Teacher Calendar'!$H$232)+1),5)),"")</f>
        <v>Investigation</v>
      </c>
    </row>
    <row r="81" ht="15.75" customHeight="1">
      <c r="A81" s="67" t="str">
        <f t="array" ref="A81">IFERROR(INDEX('Teacher Calendar'!$D$232:$D$241,SMALL(IF(('Teacher Calendar'!$D$232:$D$241&lt;&gt;"")*('Teacher Calendar'!$D$232:$D$241&lt;&gt;0),ROW('Teacher Calendar'!$D$232:$D$241)-ROW('Teacher Calendar'!$D$232)+1),6)),"")</f>
        <v>Activity</v>
      </c>
      <c r="B81" s="67" t="str">
        <f t="array" ref="B81">IFERROR(INDEX('Teacher Calendar'!$E$232:$E$241,SMALL(IF(('Teacher Calendar'!$E$232:$E$241&lt;&gt;"")*('Teacher Calendar'!$E$232:$E$241&lt;&gt;0),ROW('Teacher Calendar'!$E$232:$E$241)-ROW('Teacher Calendar'!$E$232)+1),6)),"")</f>
        <v>Activity</v>
      </c>
      <c r="C81" s="67" t="str">
        <f t="array" ref="C81">IFERROR(INDEX('Teacher Calendar'!$F$232:$F$241,SMALL(IF(('Teacher Calendar'!$F$232:$F$241&lt;&gt;"")*('Teacher Calendar'!$F$232:$F$241&lt;&gt;0),ROW('Teacher Calendar'!$F$232:$F$241)-ROW('Teacher Calendar'!$F$232)+1),6)),"")</f>
        <v>Activity</v>
      </c>
      <c r="D81" s="67" t="str">
        <f t="array" ref="D81">IFERROR(INDEX('Teacher Calendar'!$G$232:$G$241,SMALL(IF(('Teacher Calendar'!$G$232:$G$241&lt;&gt;"")*('Teacher Calendar'!$G$232:$G$241&lt;&gt;0),ROW('Teacher Calendar'!$G$232:$G$241)-ROW('Teacher Calendar'!$G$232)+1),6)),"")</f>
        <v>Activity</v>
      </c>
      <c r="E81" s="67" t="str">
        <f t="array" ref="E81">IFERROR(INDEX('Teacher Calendar'!$H$232:$H$241,SMALL(IF(('Teacher Calendar'!$H$232:$H$241&lt;&gt;"")*('Teacher Calendar'!$H$232:$H$241&lt;&gt;0),ROW('Teacher Calendar'!$H$232:$H$241)-ROW('Teacher Calendar'!$H$232)+1),6)),"")</f>
        <v>Activity</v>
      </c>
    </row>
    <row r="82" ht="15.75" customHeight="1">
      <c r="A82" s="67" t="str">
        <f t="array" ref="A82">IFERROR(INDEX('Teacher Calendar'!$D$232:$D$241,SMALL(IF(('Teacher Calendar'!$D$232:$D$241&lt;&gt;"")*('Teacher Calendar'!$D$232:$D$241&lt;&gt;0),ROW('Teacher Calendar'!$D$232:$D$241)-ROW('Teacher Calendar'!$D$232)+1),7)),"")</f>
        <v>Practice Set</v>
      </c>
      <c r="B82" s="67" t="str">
        <f t="array" ref="B82">IFERROR(INDEX('Teacher Calendar'!$E$232:$E$241,SMALL(IF(('Teacher Calendar'!$E$232:$E$241&lt;&gt;"")*('Teacher Calendar'!$E$232:$E$241&lt;&gt;0),ROW('Teacher Calendar'!$E$232:$E$241)-ROW('Teacher Calendar'!$E$232)+1),7)),"")</f>
        <v>Practice Set</v>
      </c>
      <c r="C82" s="67" t="str">
        <f t="array" ref="C82">IFERROR(INDEX('Teacher Calendar'!$F$232:$F$241,SMALL(IF(('Teacher Calendar'!$F$232:$F$241&lt;&gt;"")*('Teacher Calendar'!$F$232:$F$241&lt;&gt;0),ROW('Teacher Calendar'!$F$232:$F$241)-ROW('Teacher Calendar'!$F$232)+1),7)),"")</f>
        <v>Practice Set</v>
      </c>
      <c r="D82" s="67" t="str">
        <f t="array" ref="D82">IFERROR(INDEX('Teacher Calendar'!$G$232:$G$241,SMALL(IF(('Teacher Calendar'!$G$232:$G$241&lt;&gt;"")*('Teacher Calendar'!$G$232:$G$241&lt;&gt;0),ROW('Teacher Calendar'!$G$232:$G$241)-ROW('Teacher Calendar'!$G$232)+1),7)),"")</f>
        <v>Practice Set</v>
      </c>
      <c r="E82" s="67" t="str">
        <f t="array" ref="E82">IFERROR(INDEX('Teacher Calendar'!$H$232:$H$241,SMALL(IF(('Teacher Calendar'!$H$232:$H$241&lt;&gt;"")*('Teacher Calendar'!$H$232:$H$241&lt;&gt;0),ROW('Teacher Calendar'!$H$232:$H$241)-ROW('Teacher Calendar'!$H$232)+1),7)),"")</f>
        <v>Practice Set</v>
      </c>
    </row>
    <row r="83" ht="15.75" customHeight="1">
      <c r="A83" s="146">
        <f>'Teacher Calendar'!D258</f>
        <v>46328</v>
      </c>
      <c r="B83" s="146">
        <f>'Teacher Calendar'!E258</f>
        <v>46329</v>
      </c>
      <c r="C83" s="146">
        <f>'Teacher Calendar'!F258</f>
        <v>46330</v>
      </c>
      <c r="D83" s="146">
        <f>'Teacher Calendar'!G258</f>
        <v>46331</v>
      </c>
      <c r="E83" s="146">
        <f>'Teacher Calendar'!H258</f>
        <v>46332</v>
      </c>
    </row>
    <row r="84" ht="15.75" customHeight="1">
      <c r="A84" s="131" t="str">
        <f t="array" ref="A84">IFERROR(INDEX('Teacher Calendar'!$D$259:$D$268,SMALL(IF(('Teacher Calendar'!$D$259:$D$268&lt;&gt;"")*('Teacher Calendar'!$D$259:$D$268&lt;&gt;0),ROW('Teacher Calendar'!$D$259:$D$268)-ROW('Teacher Calendar'!$D$259)+1),1)),"")</f>
        <v>3.3: Fall &amp; Drag</v>
      </c>
      <c r="B84" s="131" t="str">
        <f t="array" ref="B84">IFERROR(INDEX('Teacher Calendar'!$E$259:$E$268,SMALL(IF(('Teacher Calendar'!$E$259:$E$268&lt;&gt;"")*('Teacher Calendar'!$E$259:$E$268&lt;&gt;0),ROW('Teacher Calendar'!$E$259:$E$268)-ROW('Teacher Calendar'!$E$259)+1),1)),"")</f>
        <v>3.3: Fall &amp; Drag</v>
      </c>
      <c r="C84" s="131" t="str">
        <f t="array" ref="C84">IFERROR(INDEX('Teacher Calendar'!$F$259:$F$268,SMALL(IF(('Teacher Calendar'!$F$259:$F$268&lt;&gt;"")*('Teacher Calendar'!$F$259:$F$268&lt;&gt;0),ROW('Teacher Calendar'!$F$259:$F$268)-ROW('Teacher Calendar'!$F$259)+1),1)),"")</f>
        <v>3.3: Fall &amp; Drag</v>
      </c>
      <c r="D84" s="131" t="str">
        <f t="array" ref="D84">IFERROR(INDEX('Teacher Calendar'!$G$259:$G$268,SMALL(IF(('Teacher Calendar'!$G$259:$G$268&lt;&gt;"")*('Teacher Calendar'!$G$259:$G$268&lt;&gt;0),ROW('Teacher Calendar'!$G$259:$G$268)-ROW('Teacher Calendar'!$G$259)+1),1)),"")</f>
        <v>3.4: Newton's 3rd</v>
      </c>
      <c r="E84" s="131" t="str">
        <f t="array" ref="E84">IFERROR(INDEX('Teacher Calendar'!$H$259:$H$268,SMALL(IF(('Teacher Calendar'!$H$259:$H$268&lt;&gt;"")*('Teacher Calendar'!$H$259:$H$268&lt;&gt;0),ROW('Teacher Calendar'!$H$259:$H$268)-ROW('Teacher Calendar'!$H$259)+1),1)),"")</f>
        <v>3.4: Newton's 3rd</v>
      </c>
    </row>
    <row r="85" ht="15.75" customHeight="1">
      <c r="A85" s="67" t="str">
        <f t="array" ref="A85">IFERROR(INDEX('Teacher Calendar'!$D$259:$D$268,SMALL(IF(('Teacher Calendar'!$D$259:$D$268&lt;&gt;"")*('Teacher Calendar'!$D$259:$D$268&lt;&gt;0),ROW('Teacher Calendar'!$D$259:$D$268)-ROW('Teacher Calendar'!$D$259)+1),2)),"")</f>
        <v>Warm Up</v>
      </c>
      <c r="B85" s="67" t="str">
        <f t="array" ref="B85">IFERROR(INDEX('Teacher Calendar'!$E$259:$E$268,SMALL(IF(('Teacher Calendar'!$E$259:$E$268&lt;&gt;"")*('Teacher Calendar'!$E$259:$E$268&lt;&gt;0),ROW('Teacher Calendar'!$E$259:$E$268)-ROW('Teacher Calendar'!$E$259)+1),2)),"")</f>
        <v>Warm Up</v>
      </c>
      <c r="C85" s="67" t="str">
        <f t="array" ref="C85">IFERROR(INDEX('Teacher Calendar'!$F$259:$F$268,SMALL(IF(('Teacher Calendar'!$F$259:$F$268&lt;&gt;"")*('Teacher Calendar'!$F$259:$F$268&lt;&gt;0),ROW('Teacher Calendar'!$F$259:$F$268)-ROW('Teacher Calendar'!$F$259)+1),2)),"")</f>
        <v>Warm Up</v>
      </c>
      <c r="D85" s="67" t="str">
        <f t="array" ref="D85">IFERROR(INDEX('Teacher Calendar'!$G$259:$G$268,SMALL(IF(('Teacher Calendar'!$G$259:$G$268&lt;&gt;"")*('Teacher Calendar'!$G$259:$G$268&lt;&gt;0),ROW('Teacher Calendar'!$G$259:$G$268)-ROW('Teacher Calendar'!$G$259)+1),2)),"")</f>
        <v>Warm Up</v>
      </c>
      <c r="E85" s="67" t="str">
        <f t="array" ref="E85">IFERROR(INDEX('Teacher Calendar'!$H$259:$H$268,SMALL(IF(('Teacher Calendar'!$H$259:$H$268&lt;&gt;"")*('Teacher Calendar'!$H$259:$H$268&lt;&gt;0),ROW('Teacher Calendar'!$H$259:$H$268)-ROW('Teacher Calendar'!$H$259)+1),2)),"")</f>
        <v>Warm Up</v>
      </c>
    </row>
    <row r="86" ht="15.75" customHeight="1">
      <c r="A86" s="67" t="str">
        <f t="array" ref="A86">IFERROR(INDEX('Teacher Calendar'!$D$259:$D$268,SMALL(IF(('Teacher Calendar'!$D$259:$D$268&lt;&gt;"")*('Teacher Calendar'!$D$259:$D$268&lt;&gt;0),ROW('Teacher Calendar'!$D$259:$D$268)-ROW('Teacher Calendar'!$D$259)+1),3)),"")</f>
        <v>Demo</v>
      </c>
      <c r="B86" s="67" t="str">
        <f t="array" ref="B86">IFERROR(INDEX('Teacher Calendar'!$E$259:$E$268,SMALL(IF(('Teacher Calendar'!$E$259:$E$268&lt;&gt;"")*('Teacher Calendar'!$E$259:$E$268&lt;&gt;0),ROW('Teacher Calendar'!$E$259:$E$268)-ROW('Teacher Calendar'!$E$259)+1),3)),"")</f>
        <v>Demo</v>
      </c>
      <c r="C86" s="67" t="str">
        <f t="array" ref="C86">IFERROR(INDEX('Teacher Calendar'!$F$259:$F$268,SMALL(IF(('Teacher Calendar'!$F$259:$F$268&lt;&gt;"")*('Teacher Calendar'!$F$259:$F$268&lt;&gt;0),ROW('Teacher Calendar'!$F$259:$F$268)-ROW('Teacher Calendar'!$F$259)+1),3)),"")</f>
        <v>Demo</v>
      </c>
      <c r="D86" s="67" t="str">
        <f t="array" ref="D86">IFERROR(INDEX('Teacher Calendar'!$G$259:$G$268,SMALL(IF(('Teacher Calendar'!$G$259:$G$268&lt;&gt;"")*('Teacher Calendar'!$G$259:$G$268&lt;&gt;0),ROW('Teacher Calendar'!$G$259:$G$268)-ROW('Teacher Calendar'!$G$259)+1),3)),"")</f>
        <v>Demo</v>
      </c>
      <c r="E86" s="67" t="str">
        <f t="array" ref="E86">IFERROR(INDEX('Teacher Calendar'!$H$259:$H$268,SMALL(IF(('Teacher Calendar'!$H$259:$H$268&lt;&gt;"")*('Teacher Calendar'!$H$259:$H$268&lt;&gt;0),ROW('Teacher Calendar'!$H$259:$H$268)-ROW('Teacher Calendar'!$H$259)+1),3)),"")</f>
        <v>Demo</v>
      </c>
    </row>
    <row r="87" ht="15.75" customHeight="1">
      <c r="A87" s="67" t="str">
        <f t="array" ref="A87">IFERROR(INDEX('Teacher Calendar'!$D$259:$D$268,SMALL(IF(('Teacher Calendar'!$D$259:$D$268&lt;&gt;"")*('Teacher Calendar'!$D$259:$D$268&lt;&gt;0),ROW('Teacher Calendar'!$D$259:$D$268)-ROW('Teacher Calendar'!$D$259)+1),4)),"")</f>
        <v>Notes</v>
      </c>
      <c r="B87" s="67" t="str">
        <f t="array" ref="B87">IFERROR(INDEX('Teacher Calendar'!$E$259:$E$268,SMALL(IF(('Teacher Calendar'!$E$259:$E$268&lt;&gt;"")*('Teacher Calendar'!$E$259:$E$268&lt;&gt;0),ROW('Teacher Calendar'!$E$259:$E$268)-ROW('Teacher Calendar'!$E$259)+1),4)),"")</f>
        <v>Notes</v>
      </c>
      <c r="C87" s="67" t="str">
        <f t="array" ref="C87">IFERROR(INDEX('Teacher Calendar'!$F$259:$F$268,SMALL(IF(('Teacher Calendar'!$F$259:$F$268&lt;&gt;"")*('Teacher Calendar'!$F$259:$F$268&lt;&gt;0),ROW('Teacher Calendar'!$F$259:$F$268)-ROW('Teacher Calendar'!$F$259)+1),4)),"")</f>
        <v>Notes</v>
      </c>
      <c r="D87" s="67" t="str">
        <f t="array" ref="D87">IFERROR(INDEX('Teacher Calendar'!$G$259:$G$268,SMALL(IF(('Teacher Calendar'!$G$259:$G$268&lt;&gt;"")*('Teacher Calendar'!$G$259:$G$268&lt;&gt;0),ROW('Teacher Calendar'!$G$259:$G$268)-ROW('Teacher Calendar'!$G$259)+1),4)),"")</f>
        <v>Notes</v>
      </c>
      <c r="E87" s="67" t="str">
        <f t="array" ref="E87">IFERROR(INDEX('Teacher Calendar'!$H$259:$H$268,SMALL(IF(('Teacher Calendar'!$H$259:$H$268&lt;&gt;"")*('Teacher Calendar'!$H$259:$H$268&lt;&gt;0),ROW('Teacher Calendar'!$H$259:$H$268)-ROW('Teacher Calendar'!$H$259)+1),4)),"")</f>
        <v>Notes</v>
      </c>
    </row>
    <row r="88" ht="15.75" customHeight="1">
      <c r="A88" s="67" t="str">
        <f t="array" ref="A88">IFERROR(INDEX('Teacher Calendar'!$D$259:$D$268,SMALL(IF(('Teacher Calendar'!$D$259:$D$268&lt;&gt;"")*('Teacher Calendar'!$D$259:$D$268&lt;&gt;0),ROW('Teacher Calendar'!$D$259:$D$268)-ROW('Teacher Calendar'!$D$259)+1),5)),"")</f>
        <v>Investigation</v>
      </c>
      <c r="B88" s="67" t="str">
        <f t="array" ref="B88">IFERROR(INDEX('Teacher Calendar'!$E$259:$E$268,SMALL(IF(('Teacher Calendar'!$E$259:$E$268&lt;&gt;"")*('Teacher Calendar'!$E$259:$E$268&lt;&gt;0),ROW('Teacher Calendar'!$E$259:$E$268)-ROW('Teacher Calendar'!$E$259)+1),5)),"")</f>
        <v>Investigation</v>
      </c>
      <c r="C88" s="67" t="str">
        <f t="array" ref="C88">IFERROR(INDEX('Teacher Calendar'!$F$259:$F$268,SMALL(IF(('Teacher Calendar'!$F$259:$F$268&lt;&gt;"")*('Teacher Calendar'!$F$259:$F$268&lt;&gt;0),ROW('Teacher Calendar'!$F$259:$F$268)-ROW('Teacher Calendar'!$F$259)+1),5)),"")</f>
        <v>Investigation</v>
      </c>
      <c r="D88" s="67" t="str">
        <f t="array" ref="D88">IFERROR(INDEX('Teacher Calendar'!$G$259:$G$268,SMALL(IF(('Teacher Calendar'!$G$259:$G$268&lt;&gt;"")*('Teacher Calendar'!$G$259:$G$268&lt;&gt;0),ROW('Teacher Calendar'!$G$259:$G$268)-ROW('Teacher Calendar'!$G$259)+1),5)),"")</f>
        <v>Investigation</v>
      </c>
      <c r="E88" s="67" t="str">
        <f t="array" ref="E88">IFERROR(INDEX('Teacher Calendar'!$H$259:$H$268,SMALL(IF(('Teacher Calendar'!$H$259:$H$268&lt;&gt;"")*('Teacher Calendar'!$H$259:$H$268&lt;&gt;0),ROW('Teacher Calendar'!$H$259:$H$268)-ROW('Teacher Calendar'!$H$259)+1),5)),"")</f>
        <v>Investigation</v>
      </c>
    </row>
    <row r="89" ht="15.75" customHeight="1">
      <c r="A89" s="67" t="str">
        <f t="array" ref="A89">IFERROR(INDEX('Teacher Calendar'!$D$259:$D$268,SMALL(IF(('Teacher Calendar'!$D$259:$D$268&lt;&gt;"")*('Teacher Calendar'!$D$259:$D$268&lt;&gt;0),ROW('Teacher Calendar'!$D$259:$D$268)-ROW('Teacher Calendar'!$D$259)+1),6)),"")</f>
        <v>Activity</v>
      </c>
      <c r="B89" s="67" t="str">
        <f t="array" ref="B89">IFERROR(INDEX('Teacher Calendar'!$E$259:$E$268,SMALL(IF(('Teacher Calendar'!$E$259:$E$268&lt;&gt;"")*('Teacher Calendar'!$E$259:$E$268&lt;&gt;0),ROW('Teacher Calendar'!$E$259:$E$268)-ROW('Teacher Calendar'!$E$259)+1),6)),"")</f>
        <v>Activity</v>
      </c>
      <c r="C89" s="67" t="str">
        <f t="array" ref="C89">IFERROR(INDEX('Teacher Calendar'!$F$259:$F$268,SMALL(IF(('Teacher Calendar'!$F$259:$F$268&lt;&gt;"")*('Teacher Calendar'!$F$259:$F$268&lt;&gt;0),ROW('Teacher Calendar'!$F$259:$F$268)-ROW('Teacher Calendar'!$F$259)+1),6)),"")</f>
        <v>Activity</v>
      </c>
      <c r="D89" s="67" t="str">
        <f t="array" ref="D89">IFERROR(INDEX('Teacher Calendar'!$G$259:$G$268,SMALL(IF(('Teacher Calendar'!$G$259:$G$268&lt;&gt;"")*('Teacher Calendar'!$G$259:$G$268&lt;&gt;0),ROW('Teacher Calendar'!$G$259:$G$268)-ROW('Teacher Calendar'!$G$259)+1),6)),"")</f>
        <v>Activity</v>
      </c>
      <c r="E89" s="67" t="str">
        <f t="array" ref="E89">IFERROR(INDEX('Teacher Calendar'!$H$259:$H$268,SMALL(IF(('Teacher Calendar'!$H$259:$H$268&lt;&gt;"")*('Teacher Calendar'!$H$259:$H$268&lt;&gt;0),ROW('Teacher Calendar'!$H$259:$H$268)-ROW('Teacher Calendar'!$H$259)+1),6)),"")</f>
        <v>Activity</v>
      </c>
    </row>
    <row r="90" ht="15.75" customHeight="1">
      <c r="A90" s="67" t="str">
        <f t="array" ref="A90">IFERROR(INDEX('Teacher Calendar'!$D$259:$D$268,SMALL(IF(('Teacher Calendar'!$D$259:$D$268&lt;&gt;"")*('Teacher Calendar'!$D$259:$D$268&lt;&gt;0),ROW('Teacher Calendar'!$D$259:$D$268)-ROW('Teacher Calendar'!$D$259)+1),7)),"")</f>
        <v>Practice Set</v>
      </c>
      <c r="B90" s="67" t="str">
        <f t="array" ref="B90">IFERROR(INDEX('Teacher Calendar'!$E$259:$E$268,SMALL(IF(('Teacher Calendar'!$E$259:$E$268&lt;&gt;"")*('Teacher Calendar'!$E$259:$E$268&lt;&gt;0),ROW('Teacher Calendar'!$E$259:$E$268)-ROW('Teacher Calendar'!$E$259)+1),7)),"")</f>
        <v>Practice Set</v>
      </c>
      <c r="C90" s="67" t="str">
        <f t="array" ref="C90">IFERROR(INDEX('Teacher Calendar'!$F$259:$F$268,SMALL(IF(('Teacher Calendar'!$F$259:$F$268&lt;&gt;"")*('Teacher Calendar'!$F$259:$F$268&lt;&gt;0),ROW('Teacher Calendar'!$F$259:$F$268)-ROW('Teacher Calendar'!$F$259)+1),7)),"")</f>
        <v>Practice Set</v>
      </c>
      <c r="D90" s="67" t="str">
        <f t="array" ref="D90">IFERROR(INDEX('Teacher Calendar'!$G$259:$G$268,SMALL(IF(('Teacher Calendar'!$G$259:$G$268&lt;&gt;"")*('Teacher Calendar'!$G$259:$G$268&lt;&gt;0),ROW('Teacher Calendar'!$G$259:$G$268)-ROW('Teacher Calendar'!$G$259)+1),7)),"")</f>
        <v>Practice Set</v>
      </c>
      <c r="E90" s="67" t="str">
        <f t="array" ref="E90">IFERROR(INDEX('Teacher Calendar'!$H$259:$H$268,SMALL(IF(('Teacher Calendar'!$H$259:$H$268&lt;&gt;"")*('Teacher Calendar'!$H$259:$H$268&lt;&gt;0),ROW('Teacher Calendar'!$H$259:$H$268)-ROW('Teacher Calendar'!$H$259)+1),7)),"")</f>
        <v>Practice Set</v>
      </c>
    </row>
    <row r="91" ht="15.75" customHeight="1">
      <c r="A91" s="146">
        <f>'Teacher Calendar'!D285</f>
        <v>46335</v>
      </c>
      <c r="B91" s="146">
        <f>'Teacher Calendar'!E285</f>
        <v>46336</v>
      </c>
      <c r="C91" s="146">
        <f>'Teacher Calendar'!F285</f>
        <v>46337</v>
      </c>
      <c r="D91" s="146">
        <f>'Teacher Calendar'!G285</f>
        <v>46338</v>
      </c>
      <c r="E91" s="146">
        <f>'Teacher Calendar'!H285</f>
        <v>46339</v>
      </c>
    </row>
    <row r="92" ht="15.75" customHeight="1">
      <c r="A92" s="131" t="str">
        <f t="array" ref="A92">IFERROR(INDEX('Teacher Calendar'!$D$286:$D$295,SMALL(IF(('Teacher Calendar'!$D$286:$D$295&lt;&gt;"")*('Teacher Calendar'!$D$286:$D$295&lt;&gt;0),ROW('Teacher Calendar'!$D$286:$D$295)-ROW('Teacher Calendar'!$D$286)+1),1)),"")</f>
        <v>3.4: Newton's 3rd</v>
      </c>
      <c r="B92" s="131" t="str">
        <f t="array" ref="B92">IFERROR(INDEX('Teacher Calendar'!$E$286:$E$295,SMALL(IF(('Teacher Calendar'!$E$286:$E$295&lt;&gt;"")*('Teacher Calendar'!$E$286:$E$295&lt;&gt;0),ROW('Teacher Calendar'!$E$286:$E$295)-ROW('Teacher Calendar'!$E$286)+1),1)),"")</f>
        <v>3.5: Projectile</v>
      </c>
      <c r="C92" s="131" t="str">
        <f t="array" ref="C92">IFERROR(INDEX('Teacher Calendar'!$F$286:$F$295,SMALL(IF(('Teacher Calendar'!$F$286:$F$295&lt;&gt;"")*('Teacher Calendar'!$F$286:$F$295&lt;&gt;0),ROW('Teacher Calendar'!$F$286:$F$295)-ROW('Teacher Calendar'!$F$286)+1),1)),"")</f>
        <v>3.5: Projectile</v>
      </c>
      <c r="D92" s="131" t="str">
        <f t="array" ref="D92">IFERROR(INDEX('Teacher Calendar'!$G$286:$G$295,SMALL(IF(('Teacher Calendar'!$G$286:$G$295&lt;&gt;"")*('Teacher Calendar'!$G$286:$G$295&lt;&gt;0),ROW('Teacher Calendar'!$G$286:$G$295)-ROW('Teacher Calendar'!$G$286)+1),1)),"")</f>
        <v>3.5: Projectile</v>
      </c>
      <c r="E92" s="131" t="str">
        <f t="array" ref="E92">IFERROR(INDEX('Teacher Calendar'!$H$286:$H$295,SMALL(IF(('Teacher Calendar'!$H$286:$H$295&lt;&gt;"")*('Teacher Calendar'!$H$286:$H$295&lt;&gt;0),ROW('Teacher Calendar'!$H$286:$H$295)-ROW('Teacher Calendar'!$H$286)+1),1)),"")</f>
        <v>Unit 3 Sum Assess</v>
      </c>
    </row>
    <row r="93" ht="15.75" customHeight="1">
      <c r="A93" s="67" t="str">
        <f t="array" ref="A93">IFERROR(INDEX('Teacher Calendar'!$D$286:$D$295,SMALL(IF(('Teacher Calendar'!$D$286:$D$295&lt;&gt;"")*('Teacher Calendar'!$D$286:$D$295&lt;&gt;0),ROW('Teacher Calendar'!$D$286:$D$295)-ROW('Teacher Calendar'!$D$286)+1),2)),"")</f>
        <v>Warm Up</v>
      </c>
      <c r="B93" s="67" t="str">
        <f t="array" ref="B93">IFERROR(INDEX('Teacher Calendar'!$E$286:$E$295,SMALL(IF(('Teacher Calendar'!$E$286:$E$295&lt;&gt;"")*('Teacher Calendar'!$E$286:$E$295&lt;&gt;0),ROW('Teacher Calendar'!$E$286:$E$295)-ROW('Teacher Calendar'!$E$286)+1),2)),"")</f>
        <v>Warm Up</v>
      </c>
      <c r="C93" s="67" t="str">
        <f t="array" ref="C93">IFERROR(INDEX('Teacher Calendar'!$F$286:$F$295,SMALL(IF(('Teacher Calendar'!$F$286:$F$295&lt;&gt;"")*('Teacher Calendar'!$F$286:$F$295&lt;&gt;0),ROW('Teacher Calendar'!$F$286:$F$295)-ROW('Teacher Calendar'!$F$286)+1),2)),"")</f>
        <v>Warm Up</v>
      </c>
      <c r="D93" s="67" t="str">
        <f t="array" ref="D93">IFERROR(INDEX('Teacher Calendar'!$G$286:$G$295,SMALL(IF(('Teacher Calendar'!$G$286:$G$295&lt;&gt;"")*('Teacher Calendar'!$G$286:$G$295&lt;&gt;0),ROW('Teacher Calendar'!$G$286:$G$295)-ROW('Teacher Calendar'!$G$286)+1),2)),"")</f>
        <v>Warm Up</v>
      </c>
      <c r="E93" s="131" t="str">
        <f t="array" ref="E93">IFERROR(INDEX('Teacher Calendar'!$H$286:$H$295,SMALL(IF(('Teacher Calendar'!$H$286:$H$295&lt;&gt;"")*('Teacher Calendar'!$H$286:$H$295&lt;&gt;0),ROW('Teacher Calendar'!$H$286:$H$295)-ROW('Teacher Calendar'!$H$286)+1),2)),"")</f>
        <v/>
      </c>
    </row>
    <row r="94" ht="15.75" customHeight="1">
      <c r="A94" s="67" t="str">
        <f t="array" ref="A94">IFERROR(INDEX('Teacher Calendar'!$D$286:$D$295,SMALL(IF(('Teacher Calendar'!$D$286:$D$295&lt;&gt;"")*('Teacher Calendar'!$D$286:$D$295&lt;&gt;0),ROW('Teacher Calendar'!$D$286:$D$295)-ROW('Teacher Calendar'!$D$286)+1),3)),"")</f>
        <v>Demo</v>
      </c>
      <c r="B94" s="67" t="str">
        <f t="array" ref="B94">IFERROR(INDEX('Teacher Calendar'!$E$286:$E$295,SMALL(IF(('Teacher Calendar'!$E$286:$E$295&lt;&gt;"")*('Teacher Calendar'!$E$286:$E$295&lt;&gt;0),ROW('Teacher Calendar'!$E$286:$E$295)-ROW('Teacher Calendar'!$E$286)+1),3)),"")</f>
        <v>Demo</v>
      </c>
      <c r="C94" s="67" t="str">
        <f t="array" ref="C94">IFERROR(INDEX('Teacher Calendar'!$F$286:$F$295,SMALL(IF(('Teacher Calendar'!$F$286:$F$295&lt;&gt;"")*('Teacher Calendar'!$F$286:$F$295&lt;&gt;0),ROW('Teacher Calendar'!$F$286:$F$295)-ROW('Teacher Calendar'!$F$286)+1),3)),"")</f>
        <v>Demo</v>
      </c>
      <c r="D94" s="67" t="str">
        <f t="array" ref="D94">IFERROR(INDEX('Teacher Calendar'!$G$286:$G$295,SMALL(IF(('Teacher Calendar'!$G$286:$G$295&lt;&gt;"")*('Teacher Calendar'!$G$286:$G$295&lt;&gt;0),ROW('Teacher Calendar'!$G$286:$G$295)-ROW('Teacher Calendar'!$G$286)+1),3)),"")</f>
        <v>Demo</v>
      </c>
      <c r="E94" s="131" t="str">
        <f t="array" ref="E94">IFERROR(INDEX('Teacher Calendar'!$H$286:$H$295,SMALL(IF(('Teacher Calendar'!$H$286:$H$295&lt;&gt;"")*('Teacher Calendar'!$H$286:$H$295&lt;&gt;0),ROW('Teacher Calendar'!$H$286:$H$295)-ROW('Teacher Calendar'!$H$286)+1),3)),"")</f>
        <v/>
      </c>
    </row>
    <row r="95" ht="15.75" customHeight="1">
      <c r="A95" s="67" t="str">
        <f t="array" ref="A95">IFERROR(INDEX('Teacher Calendar'!$D$286:$D$295,SMALL(IF(('Teacher Calendar'!$D$286:$D$295&lt;&gt;"")*('Teacher Calendar'!$D$286:$D$295&lt;&gt;0),ROW('Teacher Calendar'!$D$286:$D$295)-ROW('Teacher Calendar'!$D$286)+1),4)),"")</f>
        <v>Notes</v>
      </c>
      <c r="B95" s="67" t="str">
        <f t="array" ref="B95">IFERROR(INDEX('Teacher Calendar'!$E$286:$E$295,SMALL(IF(('Teacher Calendar'!$E$286:$E$295&lt;&gt;"")*('Teacher Calendar'!$E$286:$E$295&lt;&gt;0),ROW('Teacher Calendar'!$E$286:$E$295)-ROW('Teacher Calendar'!$E$286)+1),4)),"")</f>
        <v>Notes</v>
      </c>
      <c r="C95" s="67" t="str">
        <f t="array" ref="C95">IFERROR(INDEX('Teacher Calendar'!$F$286:$F$295,SMALL(IF(('Teacher Calendar'!$F$286:$F$295&lt;&gt;"")*('Teacher Calendar'!$F$286:$F$295&lt;&gt;0),ROW('Teacher Calendar'!$F$286:$F$295)-ROW('Teacher Calendar'!$F$286)+1),4)),"")</f>
        <v>Notes</v>
      </c>
      <c r="D95" s="67" t="str">
        <f t="array" ref="D95">IFERROR(INDEX('Teacher Calendar'!$G$286:$G$295,SMALL(IF(('Teacher Calendar'!$G$286:$G$295&lt;&gt;"")*('Teacher Calendar'!$G$286:$G$295&lt;&gt;0),ROW('Teacher Calendar'!$G$286:$G$295)-ROW('Teacher Calendar'!$G$286)+1),4)),"")</f>
        <v>Notes</v>
      </c>
      <c r="E95" s="131" t="str">
        <f t="array" ref="E95">IFERROR(INDEX('Teacher Calendar'!$H$286:$H$295,SMALL(IF(('Teacher Calendar'!$H$286:$H$295&lt;&gt;"")*('Teacher Calendar'!$H$286:$H$295&lt;&gt;0),ROW('Teacher Calendar'!$H$286:$H$295)-ROW('Teacher Calendar'!$H$286)+1),4)),"")</f>
        <v/>
      </c>
    </row>
    <row r="96" ht="15.75" customHeight="1">
      <c r="A96" s="67" t="str">
        <f t="array" ref="A96">IFERROR(INDEX('Teacher Calendar'!$D$286:$D$295,SMALL(IF(('Teacher Calendar'!$D$286:$D$295&lt;&gt;"")*('Teacher Calendar'!$D$286:$D$295&lt;&gt;0),ROW('Teacher Calendar'!$D$286:$D$295)-ROW('Teacher Calendar'!$D$286)+1),5)),"")</f>
        <v>Investigation</v>
      </c>
      <c r="B96" s="67" t="str">
        <f t="array" ref="B96">IFERROR(INDEX('Teacher Calendar'!$E$286:$E$295,SMALL(IF(('Teacher Calendar'!$E$286:$E$295&lt;&gt;"")*('Teacher Calendar'!$E$286:$E$295&lt;&gt;0),ROW('Teacher Calendar'!$E$286:$E$295)-ROW('Teacher Calendar'!$E$286)+1),5)),"")</f>
        <v>Investigation</v>
      </c>
      <c r="C96" s="67" t="str">
        <f t="array" ref="C96">IFERROR(INDEX('Teacher Calendar'!$F$286:$F$295,SMALL(IF(('Teacher Calendar'!$F$286:$F$295&lt;&gt;"")*('Teacher Calendar'!$F$286:$F$295&lt;&gt;0),ROW('Teacher Calendar'!$F$286:$F$295)-ROW('Teacher Calendar'!$F$286)+1),5)),"")</f>
        <v>Investigation</v>
      </c>
      <c r="D96" s="67" t="str">
        <f t="array" ref="D96">IFERROR(INDEX('Teacher Calendar'!$G$286:$G$295,SMALL(IF(('Teacher Calendar'!$G$286:$G$295&lt;&gt;"")*('Teacher Calendar'!$G$286:$G$295&lt;&gt;0),ROW('Teacher Calendar'!$G$286:$G$295)-ROW('Teacher Calendar'!$G$286)+1),5)),"")</f>
        <v>Investigation</v>
      </c>
      <c r="E96" s="131" t="str">
        <f t="array" ref="E96">IFERROR(INDEX('Teacher Calendar'!$H$286:$H$295,SMALL(IF(('Teacher Calendar'!$H$286:$H$295&lt;&gt;"")*('Teacher Calendar'!$H$286:$H$295&lt;&gt;0),ROW('Teacher Calendar'!$H$286:$H$295)-ROW('Teacher Calendar'!$H$286)+1),5)),"")</f>
        <v/>
      </c>
    </row>
    <row r="97" ht="15.75" customHeight="1">
      <c r="A97" s="67" t="str">
        <f t="array" ref="A97">IFERROR(INDEX('Teacher Calendar'!$D$286:$D$295,SMALL(IF(('Teacher Calendar'!$D$286:$D$295&lt;&gt;"")*('Teacher Calendar'!$D$286:$D$295&lt;&gt;0),ROW('Teacher Calendar'!$D$286:$D$295)-ROW('Teacher Calendar'!$D$286)+1),6)),"")</f>
        <v>Activity</v>
      </c>
      <c r="B97" s="67" t="str">
        <f t="array" ref="B97">IFERROR(INDEX('Teacher Calendar'!$E$286:$E$295,SMALL(IF(('Teacher Calendar'!$E$286:$E$295&lt;&gt;"")*('Teacher Calendar'!$E$286:$E$295&lt;&gt;0),ROW('Teacher Calendar'!$E$286:$E$295)-ROW('Teacher Calendar'!$E$286)+1),6)),"")</f>
        <v>Activity</v>
      </c>
      <c r="C97" s="67" t="str">
        <f t="array" ref="C97">IFERROR(INDEX('Teacher Calendar'!$F$286:$F$295,SMALL(IF(('Teacher Calendar'!$F$286:$F$295&lt;&gt;"")*('Teacher Calendar'!$F$286:$F$295&lt;&gt;0),ROW('Teacher Calendar'!$F$286:$F$295)-ROW('Teacher Calendar'!$F$286)+1),6)),"")</f>
        <v>Activity</v>
      </c>
      <c r="D97" s="67" t="str">
        <f t="array" ref="D97">IFERROR(INDEX('Teacher Calendar'!$G$286:$G$295,SMALL(IF(('Teacher Calendar'!$G$286:$G$295&lt;&gt;"")*('Teacher Calendar'!$G$286:$G$295&lt;&gt;0),ROW('Teacher Calendar'!$G$286:$G$295)-ROW('Teacher Calendar'!$G$286)+1),6)),"")</f>
        <v>Activity</v>
      </c>
      <c r="E97" s="131" t="str">
        <f t="array" ref="E97">IFERROR(INDEX('Teacher Calendar'!$H$286:$H$295,SMALL(IF(('Teacher Calendar'!$H$286:$H$295&lt;&gt;"")*('Teacher Calendar'!$H$286:$H$295&lt;&gt;0),ROW('Teacher Calendar'!$H$286:$H$295)-ROW('Teacher Calendar'!$H$286)+1),6)),"")</f>
        <v/>
      </c>
    </row>
    <row r="98" ht="15.75" customHeight="1">
      <c r="A98" s="67" t="str">
        <f t="array" ref="A98">IFERROR(INDEX('Teacher Calendar'!$D$286:$D$295,SMALL(IF(('Teacher Calendar'!$D$286:$D$295&lt;&gt;"")*('Teacher Calendar'!$D$286:$D$295&lt;&gt;0),ROW('Teacher Calendar'!$D$286:$D$295)-ROW('Teacher Calendar'!$D$286)+1),7)),"")</f>
        <v>Practice Set</v>
      </c>
      <c r="B98" s="67" t="str">
        <f t="array" ref="B98">IFERROR(INDEX('Teacher Calendar'!$E$286:$E$295,SMALL(IF(('Teacher Calendar'!$E$286:$E$295&lt;&gt;"")*('Teacher Calendar'!$E$286:$E$295&lt;&gt;0),ROW('Teacher Calendar'!$E$286:$E$295)-ROW('Teacher Calendar'!$E$286)+1),7)),"")</f>
        <v>Practice Set</v>
      </c>
      <c r="C98" s="67" t="str">
        <f t="array" ref="C98">IFERROR(INDEX('Teacher Calendar'!$F$286:$F$295,SMALL(IF(('Teacher Calendar'!$F$286:$F$295&lt;&gt;"")*('Teacher Calendar'!$F$286:$F$295&lt;&gt;0),ROW('Teacher Calendar'!$F$286:$F$295)-ROW('Teacher Calendar'!$F$286)+1),7)),"")</f>
        <v>Practice Set</v>
      </c>
      <c r="D98" s="67" t="str">
        <f t="array" ref="D98">IFERROR(INDEX('Teacher Calendar'!$G$286:$G$295,SMALL(IF(('Teacher Calendar'!$G$286:$G$295&lt;&gt;"")*('Teacher Calendar'!$G$286:$G$295&lt;&gt;0),ROW('Teacher Calendar'!$G$286:$G$295)-ROW('Teacher Calendar'!$G$286)+1),7)),"")</f>
        <v>Practice Set</v>
      </c>
      <c r="E98" s="131" t="str">
        <f t="array" ref="E98">IFERROR(INDEX('Teacher Calendar'!$H$286:$H$295,SMALL(IF(('Teacher Calendar'!$H$286:$H$295&lt;&gt;"")*('Teacher Calendar'!$H$286:$H$295&lt;&gt;0),ROW('Teacher Calendar'!$H$286:$H$295)-ROW('Teacher Calendar'!$H$286)+1),7)),"")</f>
        <v/>
      </c>
    </row>
    <row r="99" ht="15.75" customHeight="1">
      <c r="A99" s="146">
        <f>'Teacher Calendar'!D312</f>
        <v>46342</v>
      </c>
      <c r="B99" s="146">
        <f>'Teacher Calendar'!E312</f>
        <v>46343</v>
      </c>
      <c r="C99" s="146">
        <f>'Teacher Calendar'!F312</f>
        <v>46344</v>
      </c>
      <c r="D99" s="146">
        <f>'Teacher Calendar'!G312</f>
        <v>46345</v>
      </c>
      <c r="E99" s="146">
        <f>'Teacher Calendar'!H312</f>
        <v>46346</v>
      </c>
    </row>
    <row r="100" ht="15.75" customHeight="1">
      <c r="A100" s="131" t="str">
        <f t="array" ref="A100">IFERROR(INDEX('Teacher Calendar'!$D$313:$D$322,SMALL(IF(('Teacher Calendar'!$D$313:$D$322&lt;&gt;"")*('Teacher Calendar'!$D$313:$D$322&lt;&gt;0),ROW('Teacher Calendar'!$D$313:$D$322)-ROW('Teacher Calendar'!$D$313)+1),1)),"")</f>
        <v>4.1: Mom &amp; Impulse</v>
      </c>
      <c r="B100" s="131" t="str">
        <f t="array" ref="B100">IFERROR(INDEX('Teacher Calendar'!$E$313:$E$322,SMALL(IF(('Teacher Calendar'!$E$313:$E$322&lt;&gt;"")*('Teacher Calendar'!$E$313:$E$322&lt;&gt;0),ROW('Teacher Calendar'!$E$313:$E$322)-ROW('Teacher Calendar'!$E$313)+1),1)),"")</f>
        <v>4.1: Mom &amp; Impulse</v>
      </c>
      <c r="C100" s="131" t="str">
        <f t="array" ref="C100">IFERROR(INDEX('Teacher Calendar'!$F$313:$F$322,SMALL(IF(('Teacher Calendar'!$F$313:$F$322&lt;&gt;"")*('Teacher Calendar'!$F$313:$F$322&lt;&gt;0),ROW('Teacher Calendar'!$F$313:$F$322)-ROW('Teacher Calendar'!$F$313)+1),1)),"")</f>
        <v>4.1: Mom &amp; Impulse</v>
      </c>
      <c r="D100" s="131" t="str">
        <f t="array" ref="D100">IFERROR(INDEX('Teacher Calendar'!$G$313:$G$322,SMALL(IF(('Teacher Calendar'!$G$313:$G$322&lt;&gt;"")*('Teacher Calendar'!$G$313:$G$322&lt;&gt;0),ROW('Teacher Calendar'!$G$313:$G$322)-ROW('Teacher Calendar'!$G$313)+1),1)),"")</f>
        <v>4.2: Conserve Mom</v>
      </c>
      <c r="E100" s="131" t="str">
        <f t="array" ref="E100">IFERROR(INDEX('Teacher Calendar'!$H$313:$H$322,SMALL(IF(('Teacher Calendar'!$H$313:$H$322&lt;&gt;"")*('Teacher Calendar'!$H$313:$H$322&lt;&gt;0),ROW('Teacher Calendar'!$H$313:$H$322)-ROW('Teacher Calendar'!$H$313)+1),1)),"")</f>
        <v>4.2: Conserve Mom</v>
      </c>
    </row>
    <row r="101" ht="15.75" customHeight="1">
      <c r="A101" s="67" t="str">
        <f t="array" ref="A101">IFERROR(INDEX('Teacher Calendar'!$D$313:$D$322,SMALL(IF(('Teacher Calendar'!$D$313:$D$322&lt;&gt;"")*('Teacher Calendar'!$D$313:$D$322&lt;&gt;0),ROW('Teacher Calendar'!$D$313:$D$322)-ROW('Teacher Calendar'!$D$313)+1),2)),"")</f>
        <v>Warm Up</v>
      </c>
      <c r="B101" s="67" t="str">
        <f t="array" ref="B101">IFERROR(INDEX('Teacher Calendar'!$E$313:$E$322,SMALL(IF(('Teacher Calendar'!$E$313:$E$322&lt;&gt;"")*('Teacher Calendar'!$E$313:$E$322&lt;&gt;0),ROW('Teacher Calendar'!$E$313:$E$322)-ROW('Teacher Calendar'!$E$313)+1),2)),"")</f>
        <v>Warm Up</v>
      </c>
      <c r="C101" s="67" t="str">
        <f t="array" ref="C101">IFERROR(INDEX('Teacher Calendar'!$F$313:$F$322,SMALL(IF(('Teacher Calendar'!$F$313:$F$322&lt;&gt;"")*('Teacher Calendar'!$F$313:$F$322&lt;&gt;0),ROW('Teacher Calendar'!$F$313:$F$322)-ROW('Teacher Calendar'!$F$313)+1),2)),"")</f>
        <v>Warm Up</v>
      </c>
      <c r="D101" s="67" t="str">
        <f t="array" ref="D101">IFERROR(INDEX('Teacher Calendar'!$G$313:$G$322,SMALL(IF(('Teacher Calendar'!$G$313:$G$322&lt;&gt;"")*('Teacher Calendar'!$G$313:$G$322&lt;&gt;0),ROW('Teacher Calendar'!$G$313:$G$322)-ROW('Teacher Calendar'!$G$313)+1),2)),"")</f>
        <v>Warm Up</v>
      </c>
      <c r="E101" s="67" t="str">
        <f t="array" ref="E101">IFERROR(INDEX('Teacher Calendar'!$H$313:$H$322,SMALL(IF(('Teacher Calendar'!$H$313:$H$322&lt;&gt;"")*('Teacher Calendar'!$H$313:$H$322&lt;&gt;0),ROW('Teacher Calendar'!$H$313:$H$322)-ROW('Teacher Calendar'!$H$313)+1),2)),"")</f>
        <v>Warm Up</v>
      </c>
    </row>
    <row r="102" ht="15.75" customHeight="1">
      <c r="A102" s="67" t="str">
        <f t="array" ref="A102">IFERROR(INDEX('Teacher Calendar'!$D$313:$D$322,SMALL(IF(('Teacher Calendar'!$D$313:$D$322&lt;&gt;"")*('Teacher Calendar'!$D$313:$D$322&lt;&gt;0),ROW('Teacher Calendar'!$D$313:$D$322)-ROW('Teacher Calendar'!$D$313)+1),3)),"")</f>
        <v>Demo</v>
      </c>
      <c r="B102" s="67" t="str">
        <f t="array" ref="B102">IFERROR(INDEX('Teacher Calendar'!$E$313:$E$322,SMALL(IF(('Teacher Calendar'!$E$313:$E$322&lt;&gt;"")*('Teacher Calendar'!$E$313:$E$322&lt;&gt;0),ROW('Teacher Calendar'!$E$313:$E$322)-ROW('Teacher Calendar'!$E$313)+1),3)),"")</f>
        <v>Demo</v>
      </c>
      <c r="C102" s="67" t="str">
        <f t="array" ref="C102">IFERROR(INDEX('Teacher Calendar'!$F$313:$F$322,SMALL(IF(('Teacher Calendar'!$F$313:$F$322&lt;&gt;"")*('Teacher Calendar'!$F$313:$F$322&lt;&gt;0),ROW('Teacher Calendar'!$F$313:$F$322)-ROW('Teacher Calendar'!$F$313)+1),3)),"")</f>
        <v>Demo</v>
      </c>
      <c r="D102" s="67" t="str">
        <f t="array" ref="D102">IFERROR(INDEX('Teacher Calendar'!$G$313:$G$322,SMALL(IF(('Teacher Calendar'!$G$313:$G$322&lt;&gt;"")*('Teacher Calendar'!$G$313:$G$322&lt;&gt;0),ROW('Teacher Calendar'!$G$313:$G$322)-ROW('Teacher Calendar'!$G$313)+1),3)),"")</f>
        <v>Demo</v>
      </c>
      <c r="E102" s="67" t="str">
        <f t="array" ref="E102">IFERROR(INDEX('Teacher Calendar'!$H$313:$H$322,SMALL(IF(('Teacher Calendar'!$H$313:$H$322&lt;&gt;"")*('Teacher Calendar'!$H$313:$H$322&lt;&gt;0),ROW('Teacher Calendar'!$H$313:$H$322)-ROW('Teacher Calendar'!$H$313)+1),3)),"")</f>
        <v>Demo</v>
      </c>
    </row>
    <row r="103" ht="15.75" customHeight="1">
      <c r="A103" s="67" t="str">
        <f t="array" ref="A103">IFERROR(INDEX('Teacher Calendar'!$D$313:$D$322,SMALL(IF(('Teacher Calendar'!$D$313:$D$322&lt;&gt;"")*('Teacher Calendar'!$D$313:$D$322&lt;&gt;0),ROW('Teacher Calendar'!$D$313:$D$322)-ROW('Teacher Calendar'!$D$313)+1),4)),"")</f>
        <v>Notes</v>
      </c>
      <c r="B103" s="67" t="str">
        <f t="array" ref="B103">IFERROR(INDEX('Teacher Calendar'!$E$313:$E$322,SMALL(IF(('Teacher Calendar'!$E$313:$E$322&lt;&gt;"")*('Teacher Calendar'!$E$313:$E$322&lt;&gt;0),ROW('Teacher Calendar'!$E$313:$E$322)-ROW('Teacher Calendar'!$E$313)+1),4)),"")</f>
        <v>Notes</v>
      </c>
      <c r="C103" s="67" t="str">
        <f t="array" ref="C103">IFERROR(INDEX('Teacher Calendar'!$F$313:$F$322,SMALL(IF(('Teacher Calendar'!$F$313:$F$322&lt;&gt;"")*('Teacher Calendar'!$F$313:$F$322&lt;&gt;0),ROW('Teacher Calendar'!$F$313:$F$322)-ROW('Teacher Calendar'!$F$313)+1),4)),"")</f>
        <v>Notes</v>
      </c>
      <c r="D103" s="67" t="str">
        <f t="array" ref="D103">IFERROR(INDEX('Teacher Calendar'!$G$313:$G$322,SMALL(IF(('Teacher Calendar'!$G$313:$G$322&lt;&gt;"")*('Teacher Calendar'!$G$313:$G$322&lt;&gt;0),ROW('Teacher Calendar'!$G$313:$G$322)-ROW('Teacher Calendar'!$G$313)+1),4)),"")</f>
        <v>Notes</v>
      </c>
      <c r="E103" s="67" t="str">
        <f t="array" ref="E103">IFERROR(INDEX('Teacher Calendar'!$H$313:$H$322,SMALL(IF(('Teacher Calendar'!$H$313:$H$322&lt;&gt;"")*('Teacher Calendar'!$H$313:$H$322&lt;&gt;0),ROW('Teacher Calendar'!$H$313:$H$322)-ROW('Teacher Calendar'!$H$313)+1),4)),"")</f>
        <v>Notes</v>
      </c>
    </row>
    <row r="104" ht="15.75" customHeight="1">
      <c r="A104" s="67" t="str">
        <f t="array" ref="A104">IFERROR(INDEX('Teacher Calendar'!$D$313:$D$322,SMALL(IF(('Teacher Calendar'!$D$313:$D$322&lt;&gt;"")*('Teacher Calendar'!$D$313:$D$322&lt;&gt;0),ROW('Teacher Calendar'!$D$313:$D$322)-ROW('Teacher Calendar'!$D$313)+1),5)),"")</f>
        <v>Investigation</v>
      </c>
      <c r="B104" s="67" t="str">
        <f t="array" ref="B104">IFERROR(INDEX('Teacher Calendar'!$E$313:$E$322,SMALL(IF(('Teacher Calendar'!$E$313:$E$322&lt;&gt;"")*('Teacher Calendar'!$E$313:$E$322&lt;&gt;0),ROW('Teacher Calendar'!$E$313:$E$322)-ROW('Teacher Calendar'!$E$313)+1),5)),"")</f>
        <v>Investigation</v>
      </c>
      <c r="C104" s="67" t="str">
        <f t="array" ref="C104">IFERROR(INDEX('Teacher Calendar'!$F$313:$F$322,SMALL(IF(('Teacher Calendar'!$F$313:$F$322&lt;&gt;"")*('Teacher Calendar'!$F$313:$F$322&lt;&gt;0),ROW('Teacher Calendar'!$F$313:$F$322)-ROW('Teacher Calendar'!$F$313)+1),5)),"")</f>
        <v>Investigation</v>
      </c>
      <c r="D104" s="67" t="str">
        <f t="array" ref="D104">IFERROR(INDEX('Teacher Calendar'!$G$313:$G$322,SMALL(IF(('Teacher Calendar'!$G$313:$G$322&lt;&gt;"")*('Teacher Calendar'!$G$313:$G$322&lt;&gt;0),ROW('Teacher Calendar'!$G$313:$G$322)-ROW('Teacher Calendar'!$G$313)+1),5)),"")</f>
        <v>Investigation</v>
      </c>
      <c r="E104" s="67" t="str">
        <f t="array" ref="E104">IFERROR(INDEX('Teacher Calendar'!$H$313:$H$322,SMALL(IF(('Teacher Calendar'!$H$313:$H$322&lt;&gt;"")*('Teacher Calendar'!$H$313:$H$322&lt;&gt;0),ROW('Teacher Calendar'!$H$313:$H$322)-ROW('Teacher Calendar'!$H$313)+1),5)),"")</f>
        <v>Investigation</v>
      </c>
    </row>
    <row r="105" ht="15.75" customHeight="1">
      <c r="A105" s="67" t="str">
        <f t="array" ref="A105">IFERROR(INDEX('Teacher Calendar'!$D$313:$D$322,SMALL(IF(('Teacher Calendar'!$D$313:$D$322&lt;&gt;"")*('Teacher Calendar'!$D$313:$D$322&lt;&gt;0),ROW('Teacher Calendar'!$D$313:$D$322)-ROW('Teacher Calendar'!$D$313)+1),6)),"")</f>
        <v>Activity</v>
      </c>
      <c r="B105" s="67" t="str">
        <f t="array" ref="B105">IFERROR(INDEX('Teacher Calendar'!$E$313:$E$322,SMALL(IF(('Teacher Calendar'!$E$313:$E$322&lt;&gt;"")*('Teacher Calendar'!$E$313:$E$322&lt;&gt;0),ROW('Teacher Calendar'!$E$313:$E$322)-ROW('Teacher Calendar'!$E$313)+1),6)),"")</f>
        <v>Activity</v>
      </c>
      <c r="C105" s="67" t="str">
        <f t="array" ref="C105">IFERROR(INDEX('Teacher Calendar'!$F$313:$F$322,SMALL(IF(('Teacher Calendar'!$F$313:$F$322&lt;&gt;"")*('Teacher Calendar'!$F$313:$F$322&lt;&gt;0),ROW('Teacher Calendar'!$F$313:$F$322)-ROW('Teacher Calendar'!$F$313)+1),6)),"")</f>
        <v>Activity</v>
      </c>
      <c r="D105" s="67" t="str">
        <f t="array" ref="D105">IFERROR(INDEX('Teacher Calendar'!$G$313:$G$322,SMALL(IF(('Teacher Calendar'!$G$313:$G$322&lt;&gt;"")*('Teacher Calendar'!$G$313:$G$322&lt;&gt;0),ROW('Teacher Calendar'!$G$313:$G$322)-ROW('Teacher Calendar'!$G$313)+1),6)),"")</f>
        <v>Activity</v>
      </c>
      <c r="E105" s="67" t="str">
        <f t="array" ref="E105">IFERROR(INDEX('Teacher Calendar'!$H$313:$H$322,SMALL(IF(('Teacher Calendar'!$H$313:$H$322&lt;&gt;"")*('Teacher Calendar'!$H$313:$H$322&lt;&gt;0),ROW('Teacher Calendar'!$H$313:$H$322)-ROW('Teacher Calendar'!$H$313)+1),6)),"")</f>
        <v>Activity</v>
      </c>
    </row>
    <row r="106" ht="15.75" customHeight="1">
      <c r="A106" s="67" t="str">
        <f t="array" ref="A106">IFERROR(INDEX('Teacher Calendar'!$D$313:$D$322,SMALL(IF(('Teacher Calendar'!$D$313:$D$322&lt;&gt;"")*('Teacher Calendar'!$D$313:$D$322&lt;&gt;0),ROW('Teacher Calendar'!$D$313:$D$322)-ROW('Teacher Calendar'!$D$313)+1),7)),"")</f>
        <v>Practice Set</v>
      </c>
      <c r="B106" s="67" t="str">
        <f t="array" ref="B106">IFERROR(INDEX('Teacher Calendar'!$E$313:$E$322,SMALL(IF(('Teacher Calendar'!$E$313:$E$322&lt;&gt;"")*('Teacher Calendar'!$E$313:$E$322&lt;&gt;0),ROW('Teacher Calendar'!$E$313:$E$322)-ROW('Teacher Calendar'!$E$313)+1),7)),"")</f>
        <v>Practice Set</v>
      </c>
      <c r="C106" s="67" t="str">
        <f t="array" ref="C106">IFERROR(INDEX('Teacher Calendar'!$F$313:$F$322,SMALL(IF(('Teacher Calendar'!$F$313:$F$322&lt;&gt;"")*('Teacher Calendar'!$F$313:$F$322&lt;&gt;0),ROW('Teacher Calendar'!$F$313:$F$322)-ROW('Teacher Calendar'!$F$313)+1),7)),"")</f>
        <v>Practice Set</v>
      </c>
      <c r="D106" s="67" t="str">
        <f t="array" ref="D106">IFERROR(INDEX('Teacher Calendar'!$G$313:$G$322,SMALL(IF(('Teacher Calendar'!$G$313:$G$322&lt;&gt;"")*('Teacher Calendar'!$G$313:$G$322&lt;&gt;0),ROW('Teacher Calendar'!$G$313:$G$322)-ROW('Teacher Calendar'!$G$313)+1),7)),"")</f>
        <v>Practice Set</v>
      </c>
      <c r="E106" s="67" t="str">
        <f t="array" ref="E106">IFERROR(INDEX('Teacher Calendar'!$H$313:$H$322,SMALL(IF(('Teacher Calendar'!$H$313:$H$322&lt;&gt;"")*('Teacher Calendar'!$H$313:$H$322&lt;&gt;0),ROW('Teacher Calendar'!$H$313:$H$322)-ROW('Teacher Calendar'!$H$313)+1),7)),"")</f>
        <v>Practice Set</v>
      </c>
    </row>
    <row r="107" ht="15.75" customHeight="1">
      <c r="A107" s="146">
        <f>'Teacher Calendar'!D339</f>
        <v>46349</v>
      </c>
      <c r="B107" s="146">
        <f>'Teacher Calendar'!E339</f>
        <v>46350</v>
      </c>
      <c r="C107" s="146">
        <f>'Teacher Calendar'!F339</f>
        <v>46351</v>
      </c>
      <c r="D107" s="146">
        <f>'Teacher Calendar'!G339</f>
        <v>46352</v>
      </c>
      <c r="E107" s="146">
        <f>'Teacher Calendar'!H339</f>
        <v>46353</v>
      </c>
    </row>
    <row r="108" ht="15.75" customHeight="1">
      <c r="A108" s="131" t="str">
        <f t="array" ref="A108">IFERROR(INDEX('Teacher Calendar'!$D$340:$D$349,SMALL(IF(('Teacher Calendar'!$D$340:$D$349&lt;&gt;"")*('Teacher Calendar'!$D$340:$D$349&lt;&gt;0),ROW('Teacher Calendar'!$D$340:$D$349)-ROW('Teacher Calendar'!$D$340)+1),1)),"")</f>
        <v>4.2: Conserve Mom</v>
      </c>
      <c r="B108" s="131" t="str">
        <f t="array" ref="B108">IFERROR(INDEX('Teacher Calendar'!$E$340:$E$349,SMALL(IF(('Teacher Calendar'!$E$340:$E$349&lt;&gt;"")*('Teacher Calendar'!$E$340:$E$349&lt;&gt;0),ROW('Teacher Calendar'!$E$340:$E$349)-ROW('Teacher Calendar'!$E$340)+1),1)),"")</f>
        <v>4.3: Work &amp; Energy</v>
      </c>
      <c r="C108" s="206" t="str">
        <f t="array" ref="C108">IFERROR(INDEX('Teacher Calendar'!$F$340:$F$349,SMALL(IF(('Teacher Calendar'!$F$340:$F$349&lt;&gt;"")*('Teacher Calendar'!$F$340:$F$349&lt;&gt;0),ROW('Teacher Calendar'!$F$340:$F$349)-ROW('Teacher Calendar'!$F$340)+1),1)),"")</f>
        <v>4.3: Work &amp; Energy</v>
      </c>
      <c r="D108" s="77" t="str">
        <f t="array" ref="D108">IFERROR(INDEX('Teacher Calendar'!$G$340:$G$349,SMALL(IF(('Teacher Calendar'!$G$340:$G$349&lt;&gt;"")*('Teacher Calendar'!$G$340:$G$349&lt;&gt;0),ROW('Teacher Calendar'!$G$340:$G$349)-ROW('Teacher Calendar'!$G$340)+1),1)),"")</f>
        <v/>
      </c>
      <c r="E108" s="77" t="str">
        <f t="array" ref="E108">IFERROR(INDEX('Teacher Calendar'!$H$340:$H$349,SMALL(IF(('Teacher Calendar'!$H$340:$H$349&lt;&gt;"")*('Teacher Calendar'!$H$340:$H$349&lt;&gt;0),ROW('Teacher Calendar'!$H$340:$H$349)-ROW('Teacher Calendar'!$H$340)+1),1)),"")</f>
        <v/>
      </c>
    </row>
    <row r="109" ht="15.75" customHeight="1">
      <c r="A109" s="67" t="str">
        <f t="array" ref="A109">IFERROR(INDEX('Teacher Calendar'!$D$340:$D$349,SMALL(IF(('Teacher Calendar'!$D$340:$D$349&lt;&gt;"")*('Teacher Calendar'!$D$340:$D$349&lt;&gt;0),ROW('Teacher Calendar'!$D$340:$D$349)-ROW('Teacher Calendar'!$D$340)+1),2)),"")</f>
        <v>Warm Up</v>
      </c>
      <c r="B109" s="67" t="str">
        <f t="array" ref="B109">IFERROR(INDEX('Teacher Calendar'!$E$340:$E$349,SMALL(IF(('Teacher Calendar'!$E$340:$E$349&lt;&gt;"")*('Teacher Calendar'!$E$340:$E$349&lt;&gt;0),ROW('Teacher Calendar'!$E$340:$E$349)-ROW('Teacher Calendar'!$E$340)+1),2)),"")</f>
        <v>Warm Up</v>
      </c>
      <c r="C109" s="216" t="str">
        <f t="array" ref="C109">IFERROR(INDEX('Teacher Calendar'!$F$340:$F$349,SMALL(IF(('Teacher Calendar'!$F$340:$F$349&lt;&gt;"")*('Teacher Calendar'!$F$340:$F$349&lt;&gt;0),ROW('Teacher Calendar'!$F$340:$F$349)-ROW('Teacher Calendar'!$F$340)+1),2)),"")</f>
        <v>Warm Up</v>
      </c>
      <c r="D109" s="77" t="str">
        <f t="array" ref="D109">IFERROR(INDEX('Teacher Calendar'!$G$340:$G$349,SMALL(IF(('Teacher Calendar'!$G$340:$G$349&lt;&gt;"")*('Teacher Calendar'!$G$340:$G$349&lt;&gt;0),ROW('Teacher Calendar'!$G$340:$G$349)-ROW('Teacher Calendar'!$G$340)+1),2)),"")</f>
        <v/>
      </c>
      <c r="E109" s="77" t="str">
        <f t="array" ref="E109">IFERROR(INDEX('Teacher Calendar'!$H$340:$H$349,SMALL(IF(('Teacher Calendar'!$H$340:$H$349&lt;&gt;"")*('Teacher Calendar'!$H$340:$H$349&lt;&gt;0),ROW('Teacher Calendar'!$H$340:$H$349)-ROW('Teacher Calendar'!$H$340)+1),2)),"")</f>
        <v/>
      </c>
    </row>
    <row r="110" ht="15.75" customHeight="1">
      <c r="A110" s="67" t="str">
        <f t="array" ref="A110">IFERROR(INDEX('Teacher Calendar'!$D$340:$D$349,SMALL(IF(('Teacher Calendar'!$D$340:$D$349&lt;&gt;"")*('Teacher Calendar'!$D$340:$D$349&lt;&gt;0),ROW('Teacher Calendar'!$D$340:$D$349)-ROW('Teacher Calendar'!$D$340)+1),3)),"")</f>
        <v>Demo</v>
      </c>
      <c r="B110" s="67" t="str">
        <f t="array" ref="B110">IFERROR(INDEX('Teacher Calendar'!$E$340:$E$349,SMALL(IF(('Teacher Calendar'!$E$340:$E$349&lt;&gt;"")*('Teacher Calendar'!$E$340:$E$349&lt;&gt;0),ROW('Teacher Calendar'!$E$340:$E$349)-ROW('Teacher Calendar'!$E$340)+1),3)),"")</f>
        <v>Demo</v>
      </c>
      <c r="C110" s="216" t="str">
        <f t="array" ref="C110">IFERROR(INDEX('Teacher Calendar'!$F$340:$F$349,SMALL(IF(('Teacher Calendar'!$F$340:$F$349&lt;&gt;"")*('Teacher Calendar'!$F$340:$F$349&lt;&gt;0),ROW('Teacher Calendar'!$F$340:$F$349)-ROW('Teacher Calendar'!$F$340)+1),3)),"")</f>
        <v>Demo</v>
      </c>
      <c r="D110" s="77" t="str">
        <f t="array" ref="D110">IFERROR(INDEX('Teacher Calendar'!$G$340:$G$349,SMALL(IF(('Teacher Calendar'!$G$340:$G$349&lt;&gt;"")*('Teacher Calendar'!$G$340:$G$349&lt;&gt;0),ROW('Teacher Calendar'!$G$340:$G$349)-ROW('Teacher Calendar'!$G$340)+1),3)),"")</f>
        <v/>
      </c>
      <c r="E110" s="77" t="str">
        <f t="array" ref="E110">IFERROR(INDEX('Teacher Calendar'!$H$340:$H$349,SMALL(IF(('Teacher Calendar'!$H$340:$H$349&lt;&gt;"")*('Teacher Calendar'!$H$340:$H$349&lt;&gt;0),ROW('Teacher Calendar'!$H$340:$H$349)-ROW('Teacher Calendar'!$H$340)+1),3)),"")</f>
        <v/>
      </c>
    </row>
    <row r="111" ht="15.75" customHeight="1">
      <c r="A111" s="67" t="str">
        <f t="array" ref="A111">IFERROR(INDEX('Teacher Calendar'!$D$340:$D$349,SMALL(IF(('Teacher Calendar'!$D$340:$D$349&lt;&gt;"")*('Teacher Calendar'!$D$340:$D$349&lt;&gt;0),ROW('Teacher Calendar'!$D$340:$D$349)-ROW('Teacher Calendar'!$D$340)+1),4)),"")</f>
        <v>Notes</v>
      </c>
      <c r="B111" s="67" t="str">
        <f t="array" ref="B111">IFERROR(INDEX('Teacher Calendar'!$E$340:$E$349,SMALL(IF(('Teacher Calendar'!$E$340:$E$349&lt;&gt;"")*('Teacher Calendar'!$E$340:$E$349&lt;&gt;0),ROW('Teacher Calendar'!$E$340:$E$349)-ROW('Teacher Calendar'!$E$340)+1),4)),"")</f>
        <v>Notes</v>
      </c>
      <c r="C111" s="216" t="str">
        <f t="array" ref="C111">IFERROR(INDEX('Teacher Calendar'!$F$340:$F$349,SMALL(IF(('Teacher Calendar'!$F$340:$F$349&lt;&gt;"")*('Teacher Calendar'!$F$340:$F$349&lt;&gt;0),ROW('Teacher Calendar'!$F$340:$F$349)-ROW('Teacher Calendar'!$F$340)+1),4)),"")</f>
        <v>Notes</v>
      </c>
      <c r="D111" s="77" t="str">
        <f t="array" ref="D111">IFERROR(INDEX('Teacher Calendar'!$G$340:$G$349,SMALL(IF(('Teacher Calendar'!$G$340:$G$349&lt;&gt;"")*('Teacher Calendar'!$G$340:$G$349&lt;&gt;0),ROW('Teacher Calendar'!$G$340:$G$349)-ROW('Teacher Calendar'!$G$340)+1),4)),"")</f>
        <v/>
      </c>
      <c r="E111" s="77" t="str">
        <f t="array" ref="E111">IFERROR(INDEX('Teacher Calendar'!$H$340:$H$349,SMALL(IF(('Teacher Calendar'!$H$340:$H$349&lt;&gt;"")*('Teacher Calendar'!$H$340:$H$349&lt;&gt;0),ROW('Teacher Calendar'!$H$340:$H$349)-ROW('Teacher Calendar'!$H$340)+1),4)),"")</f>
        <v/>
      </c>
    </row>
    <row r="112" ht="15.75" customHeight="1">
      <c r="A112" s="67" t="str">
        <f t="array" ref="A112">IFERROR(INDEX('Teacher Calendar'!$D$340:$D$349,SMALL(IF(('Teacher Calendar'!$D$340:$D$349&lt;&gt;"")*('Teacher Calendar'!$D$340:$D$349&lt;&gt;0),ROW('Teacher Calendar'!$D$340:$D$349)-ROW('Teacher Calendar'!$D$340)+1),5)),"")</f>
        <v>Investigation</v>
      </c>
      <c r="B112" s="67" t="str">
        <f t="array" ref="B112">IFERROR(INDEX('Teacher Calendar'!$E$340:$E$349,SMALL(IF(('Teacher Calendar'!$E$340:$E$349&lt;&gt;"")*('Teacher Calendar'!$E$340:$E$349&lt;&gt;0),ROW('Teacher Calendar'!$E$340:$E$349)-ROW('Teacher Calendar'!$E$340)+1),5)),"")</f>
        <v>Investigation</v>
      </c>
      <c r="C112" s="216" t="str">
        <f t="array" ref="C112">IFERROR(INDEX('Teacher Calendar'!$F$340:$F$349,SMALL(IF(('Teacher Calendar'!$F$340:$F$349&lt;&gt;"")*('Teacher Calendar'!$F$340:$F$349&lt;&gt;0),ROW('Teacher Calendar'!$F$340:$F$349)-ROW('Teacher Calendar'!$F$340)+1),5)),"")</f>
        <v>Investigation</v>
      </c>
      <c r="D112" s="77" t="str">
        <f t="array" ref="D112">IFERROR(INDEX('Teacher Calendar'!$G$340:$G$349,SMALL(IF(('Teacher Calendar'!$G$340:$G$349&lt;&gt;"")*('Teacher Calendar'!$G$340:$G$349&lt;&gt;0),ROW('Teacher Calendar'!$G$340:$G$349)-ROW('Teacher Calendar'!$G$340)+1),5)),"")</f>
        <v/>
      </c>
      <c r="E112" s="77" t="str">
        <f t="array" ref="E112">IFERROR(INDEX('Teacher Calendar'!$H$340:$H$349,SMALL(IF(('Teacher Calendar'!$H$340:$H$349&lt;&gt;"")*('Teacher Calendar'!$H$340:$H$349&lt;&gt;0),ROW('Teacher Calendar'!$H$340:$H$349)-ROW('Teacher Calendar'!$H$340)+1),5)),"")</f>
        <v/>
      </c>
    </row>
    <row r="113" ht="15.75" customHeight="1">
      <c r="A113" s="67" t="str">
        <f t="array" ref="A113">IFERROR(INDEX('Teacher Calendar'!$D$340:$D$349,SMALL(IF(('Teacher Calendar'!$D$340:$D$349&lt;&gt;"")*('Teacher Calendar'!$D$340:$D$349&lt;&gt;0),ROW('Teacher Calendar'!$D$340:$D$349)-ROW('Teacher Calendar'!$D$340)+1),6)),"")</f>
        <v>Activity</v>
      </c>
      <c r="B113" s="67" t="str">
        <f t="array" ref="B113">IFERROR(INDEX('Teacher Calendar'!$E$340:$E$349,SMALL(IF(('Teacher Calendar'!$E$340:$E$349&lt;&gt;"")*('Teacher Calendar'!$E$340:$E$349&lt;&gt;0),ROW('Teacher Calendar'!$E$340:$E$349)-ROW('Teacher Calendar'!$E$340)+1),6)),"")</f>
        <v>Activity</v>
      </c>
      <c r="C113" s="216" t="str">
        <f t="array" ref="C113">IFERROR(INDEX('Teacher Calendar'!$F$340:$F$349,SMALL(IF(('Teacher Calendar'!$F$340:$F$349&lt;&gt;"")*('Teacher Calendar'!$F$340:$F$349&lt;&gt;0),ROW('Teacher Calendar'!$F$340:$F$349)-ROW('Teacher Calendar'!$F$340)+1),6)),"")</f>
        <v>Activity</v>
      </c>
      <c r="D113" s="77" t="str">
        <f t="array" ref="D113">IFERROR(INDEX('Teacher Calendar'!$G$340:$G$349,SMALL(IF(('Teacher Calendar'!$G$340:$G$349&lt;&gt;"")*('Teacher Calendar'!$G$340:$G$349&lt;&gt;0),ROW('Teacher Calendar'!$G$340:$G$349)-ROW('Teacher Calendar'!$G$340)+1),6)),"")</f>
        <v/>
      </c>
      <c r="E113" s="77" t="str">
        <f t="array" ref="E113">IFERROR(INDEX('Teacher Calendar'!$H$340:$H$349,SMALL(IF(('Teacher Calendar'!$H$340:$H$349&lt;&gt;"")*('Teacher Calendar'!$H$340:$H$349&lt;&gt;0),ROW('Teacher Calendar'!$H$340:$H$349)-ROW('Teacher Calendar'!$H$340)+1),6)),"")</f>
        <v/>
      </c>
    </row>
    <row r="114" ht="15.75" customHeight="1">
      <c r="A114" s="67" t="str">
        <f t="array" ref="A114">IFERROR(INDEX('Teacher Calendar'!$D$340:$D$349,SMALL(IF(('Teacher Calendar'!$D$340:$D$349&lt;&gt;"")*('Teacher Calendar'!$D$340:$D$349&lt;&gt;0),ROW('Teacher Calendar'!$D$340:$D$349)-ROW('Teacher Calendar'!$D$340)+1),7)),"")</f>
        <v>Practice Set</v>
      </c>
      <c r="B114" s="67" t="str">
        <f t="array" ref="B114">IFERROR(INDEX('Teacher Calendar'!$E$340:$E$349,SMALL(IF(('Teacher Calendar'!$E$340:$E$349&lt;&gt;"")*('Teacher Calendar'!$E$340:$E$349&lt;&gt;0),ROW('Teacher Calendar'!$E$340:$E$349)-ROW('Teacher Calendar'!$E$340)+1),7)),"")</f>
        <v>Practice Set</v>
      </c>
      <c r="C114" s="216" t="str">
        <f t="array" ref="C114">IFERROR(INDEX('Teacher Calendar'!$F$340:$F$349,SMALL(IF(('Teacher Calendar'!$F$340:$F$349&lt;&gt;"")*('Teacher Calendar'!$F$340:$F$349&lt;&gt;0),ROW('Teacher Calendar'!$F$340:$F$349)-ROW('Teacher Calendar'!$F$340)+1),7)),"")</f>
        <v>Practice Set</v>
      </c>
      <c r="D114" s="77" t="str">
        <f t="array" ref="D114">IFERROR(INDEX('Teacher Calendar'!$G$340:$G$349,SMALL(IF(('Teacher Calendar'!$G$340:$G$349&lt;&gt;"")*('Teacher Calendar'!$G$340:$G$349&lt;&gt;0),ROW('Teacher Calendar'!$G$340:$G$349)-ROW('Teacher Calendar'!$G$340)+1),7)),"")</f>
        <v/>
      </c>
      <c r="E114" s="77" t="str">
        <f t="array" ref="E114">IFERROR(INDEX('Teacher Calendar'!$H$340:$H$349,SMALL(IF(('Teacher Calendar'!$H$340:$H$349&lt;&gt;"")*('Teacher Calendar'!$H$340:$H$349&lt;&gt;0),ROW('Teacher Calendar'!$H$340:$H$349)-ROW('Teacher Calendar'!$H$340)+1),7)),"")</f>
        <v/>
      </c>
    </row>
    <row r="115" ht="15.75" customHeight="1">
      <c r="A115" s="146">
        <f>'Teacher Calendar'!D366</f>
        <v>46356</v>
      </c>
      <c r="B115" s="146">
        <f>'Teacher Calendar'!E366</f>
        <v>46357</v>
      </c>
      <c r="C115" s="146">
        <f>'Teacher Calendar'!F366</f>
        <v>46358</v>
      </c>
      <c r="D115" s="146">
        <f>'Teacher Calendar'!G366</f>
        <v>46359</v>
      </c>
      <c r="E115" s="146">
        <f>'Teacher Calendar'!H366</f>
        <v>46360</v>
      </c>
    </row>
    <row r="116" ht="15.75" customHeight="1">
      <c r="A116" s="131" t="str">
        <f t="array" ref="A116">IFERROR(INDEX('Teacher Calendar'!$D$367:$D$376,SMALL(IF(('Teacher Calendar'!$D$367:$D$376&lt;&gt;"")*('Teacher Calendar'!$D$367:$D$376&lt;&gt;0),ROW('Teacher Calendar'!$D$367:$D$376)-ROW('Teacher Calendar'!$D$367)+1),1)),"")</f>
        <v>4.3: Work &amp; Energy</v>
      </c>
      <c r="B116" s="131" t="str">
        <f t="array" ref="B116">IFERROR(INDEX('Teacher Calendar'!$E$367:$E$376,SMALL(IF(('Teacher Calendar'!$E$367:$E$376&lt;&gt;"")*('Teacher Calendar'!$E$367:$E$376&lt;&gt;0),ROW('Teacher Calendar'!$E$367:$E$376)-ROW('Teacher Calendar'!$E$367)+1),1)),"")</f>
        <v>4.4: Conserve Energy</v>
      </c>
      <c r="C116" s="131" t="str">
        <f t="array" ref="C116">IFERROR(INDEX('Teacher Calendar'!$F$367:$F$376,SMALL(IF(('Teacher Calendar'!$F$367:$F$376&lt;&gt;"")*('Teacher Calendar'!$F$367:$F$376&lt;&gt;0),ROW('Teacher Calendar'!$F$367:$F$376)-ROW('Teacher Calendar'!$F$367)+1),1)),"")</f>
        <v>4.4: Conserve Energy</v>
      </c>
      <c r="D116" s="131" t="str">
        <f t="array" ref="D116">IFERROR(INDEX('Teacher Calendar'!$G$367:$G$376,SMALL(IF(('Teacher Calendar'!$G$367:$G$376&lt;&gt;"")*('Teacher Calendar'!$G$367:$G$376&lt;&gt;0),ROW('Teacher Calendar'!$G$367:$G$376)-ROW('Teacher Calendar'!$G$367)+1),1)),"")</f>
        <v>4.4: Conserve Energy</v>
      </c>
      <c r="E116" s="131" t="str">
        <f t="array" ref="E116">IFERROR(INDEX('Teacher Calendar'!$H$367:$H$376,SMALL(IF(('Teacher Calendar'!$H$367:$H$376&lt;&gt;"")*('Teacher Calendar'!$H$367:$H$376&lt;&gt;0),ROW('Teacher Calendar'!$H$367:$H$376)-ROW('Teacher Calendar'!$H$367)+1),1)),"")</f>
        <v>4.5: Energy &amp; Society</v>
      </c>
    </row>
    <row r="117" ht="15.75" customHeight="1">
      <c r="A117" s="67" t="str">
        <f t="array" ref="A117">IFERROR(INDEX('Teacher Calendar'!$D$367:$D$376,SMALL(IF(('Teacher Calendar'!$D$367:$D$376&lt;&gt;"")*('Teacher Calendar'!$D$367:$D$376&lt;&gt;0),ROW('Teacher Calendar'!$D$367:$D$376)-ROW('Teacher Calendar'!$D$367)+1),2)),"")</f>
        <v>Warm Up</v>
      </c>
      <c r="B117" s="67" t="str">
        <f t="array" ref="B117">IFERROR(INDEX('Teacher Calendar'!$E$367:$E$376,SMALL(IF(('Teacher Calendar'!$E$367:$E$376&lt;&gt;"")*('Teacher Calendar'!$E$367:$E$376&lt;&gt;0),ROW('Teacher Calendar'!$E$367:$E$376)-ROW('Teacher Calendar'!$E$367)+1),2)),"")</f>
        <v>Warm Up</v>
      </c>
      <c r="C117" s="67" t="str">
        <f t="array" ref="C117">IFERROR(INDEX('Teacher Calendar'!$F$367:$F$376,SMALL(IF(('Teacher Calendar'!$F$367:$F$376&lt;&gt;"")*('Teacher Calendar'!$F$367:$F$376&lt;&gt;0),ROW('Teacher Calendar'!$F$367:$F$376)-ROW('Teacher Calendar'!$F$367)+1),2)),"")</f>
        <v>Warm Up</v>
      </c>
      <c r="D117" s="67" t="str">
        <f t="array" ref="D117">IFERROR(INDEX('Teacher Calendar'!$G$367:$G$376,SMALL(IF(('Teacher Calendar'!$G$367:$G$376&lt;&gt;"")*('Teacher Calendar'!$G$367:$G$376&lt;&gt;0),ROW('Teacher Calendar'!$G$367:$G$376)-ROW('Teacher Calendar'!$G$367)+1),2)),"")</f>
        <v>Warm Up</v>
      </c>
      <c r="E117" s="67" t="str">
        <f t="array" ref="E117">IFERROR(INDEX('Teacher Calendar'!$H$367:$H$376,SMALL(IF(('Teacher Calendar'!$H$367:$H$376&lt;&gt;"")*('Teacher Calendar'!$H$367:$H$376&lt;&gt;0),ROW('Teacher Calendar'!$H$367:$H$376)-ROW('Teacher Calendar'!$H$367)+1),2)),"")</f>
        <v>Warm Up</v>
      </c>
    </row>
    <row r="118" ht="15.75" customHeight="1">
      <c r="A118" s="67" t="str">
        <f t="array" ref="A118">IFERROR(INDEX('Teacher Calendar'!$D$367:$D$376,SMALL(IF(('Teacher Calendar'!$D$367:$D$376&lt;&gt;"")*('Teacher Calendar'!$D$367:$D$376&lt;&gt;0),ROW('Teacher Calendar'!$D$367:$D$376)-ROW('Teacher Calendar'!$D$367)+1),3)),"")</f>
        <v>Demo</v>
      </c>
      <c r="B118" s="67" t="str">
        <f t="array" ref="B118">IFERROR(INDEX('Teacher Calendar'!$E$367:$E$376,SMALL(IF(('Teacher Calendar'!$E$367:$E$376&lt;&gt;"")*('Teacher Calendar'!$E$367:$E$376&lt;&gt;0),ROW('Teacher Calendar'!$E$367:$E$376)-ROW('Teacher Calendar'!$E$367)+1),3)),"")</f>
        <v>Demo</v>
      </c>
      <c r="C118" s="67" t="str">
        <f t="array" ref="C118">IFERROR(INDEX('Teacher Calendar'!$F$367:$F$376,SMALL(IF(('Teacher Calendar'!$F$367:$F$376&lt;&gt;"")*('Teacher Calendar'!$F$367:$F$376&lt;&gt;0),ROW('Teacher Calendar'!$F$367:$F$376)-ROW('Teacher Calendar'!$F$367)+1),3)),"")</f>
        <v>Demo</v>
      </c>
      <c r="D118" s="67" t="str">
        <f t="array" ref="D118">IFERROR(INDEX('Teacher Calendar'!$G$367:$G$376,SMALL(IF(('Teacher Calendar'!$G$367:$G$376&lt;&gt;"")*('Teacher Calendar'!$G$367:$G$376&lt;&gt;0),ROW('Teacher Calendar'!$G$367:$G$376)-ROW('Teacher Calendar'!$G$367)+1),3)),"")</f>
        <v>Demo</v>
      </c>
      <c r="E118" s="67" t="str">
        <f t="array" ref="E118">IFERROR(INDEX('Teacher Calendar'!$H$367:$H$376,SMALL(IF(('Teacher Calendar'!$H$367:$H$376&lt;&gt;"")*('Teacher Calendar'!$H$367:$H$376&lt;&gt;0),ROW('Teacher Calendar'!$H$367:$H$376)-ROW('Teacher Calendar'!$H$367)+1),3)),"")</f>
        <v>Demo</v>
      </c>
    </row>
    <row r="119" ht="15.75" customHeight="1">
      <c r="A119" s="67" t="str">
        <f t="array" ref="A119">IFERROR(INDEX('Teacher Calendar'!$D$367:$D$376,SMALL(IF(('Teacher Calendar'!$D$367:$D$376&lt;&gt;"")*('Teacher Calendar'!$D$367:$D$376&lt;&gt;0),ROW('Teacher Calendar'!$D$367:$D$376)-ROW('Teacher Calendar'!$D$367)+1),4)),"")</f>
        <v>Notes</v>
      </c>
      <c r="B119" s="67" t="str">
        <f t="array" ref="B119">IFERROR(INDEX('Teacher Calendar'!$E$367:$E$376,SMALL(IF(('Teacher Calendar'!$E$367:$E$376&lt;&gt;"")*('Teacher Calendar'!$E$367:$E$376&lt;&gt;0),ROW('Teacher Calendar'!$E$367:$E$376)-ROW('Teacher Calendar'!$E$367)+1),4)),"")</f>
        <v>Notes</v>
      </c>
      <c r="C119" s="67" t="str">
        <f t="array" ref="C119">IFERROR(INDEX('Teacher Calendar'!$F$367:$F$376,SMALL(IF(('Teacher Calendar'!$F$367:$F$376&lt;&gt;"")*('Teacher Calendar'!$F$367:$F$376&lt;&gt;0),ROW('Teacher Calendar'!$F$367:$F$376)-ROW('Teacher Calendar'!$F$367)+1),4)),"")</f>
        <v>Notes</v>
      </c>
      <c r="D119" s="67" t="str">
        <f t="array" ref="D119">IFERROR(INDEX('Teacher Calendar'!$G$367:$G$376,SMALL(IF(('Teacher Calendar'!$G$367:$G$376&lt;&gt;"")*('Teacher Calendar'!$G$367:$G$376&lt;&gt;0),ROW('Teacher Calendar'!$G$367:$G$376)-ROW('Teacher Calendar'!$G$367)+1),4)),"")</f>
        <v>Notes</v>
      </c>
      <c r="E119" s="67" t="str">
        <f t="array" ref="E119">IFERROR(INDEX('Teacher Calendar'!$H$367:$H$376,SMALL(IF(('Teacher Calendar'!$H$367:$H$376&lt;&gt;"")*('Teacher Calendar'!$H$367:$H$376&lt;&gt;0),ROW('Teacher Calendar'!$H$367:$H$376)-ROW('Teacher Calendar'!$H$367)+1),4)),"")</f>
        <v>Notes</v>
      </c>
    </row>
    <row r="120" ht="15.75" customHeight="1">
      <c r="A120" s="67" t="str">
        <f t="array" ref="A120">IFERROR(INDEX('Teacher Calendar'!$D$367:$D$376,SMALL(IF(('Teacher Calendar'!$D$367:$D$376&lt;&gt;"")*('Teacher Calendar'!$D$367:$D$376&lt;&gt;0),ROW('Teacher Calendar'!$D$367:$D$376)-ROW('Teacher Calendar'!$D$367)+1),5)),"")</f>
        <v>Investigation</v>
      </c>
      <c r="B120" s="67" t="str">
        <f t="array" ref="B120">IFERROR(INDEX('Teacher Calendar'!$E$367:$E$376,SMALL(IF(('Teacher Calendar'!$E$367:$E$376&lt;&gt;"")*('Teacher Calendar'!$E$367:$E$376&lt;&gt;0),ROW('Teacher Calendar'!$E$367:$E$376)-ROW('Teacher Calendar'!$E$367)+1),5)),"")</f>
        <v>Investigation</v>
      </c>
      <c r="C120" s="67" t="str">
        <f t="array" ref="C120">IFERROR(INDEX('Teacher Calendar'!$F$367:$F$376,SMALL(IF(('Teacher Calendar'!$F$367:$F$376&lt;&gt;"")*('Teacher Calendar'!$F$367:$F$376&lt;&gt;0),ROW('Teacher Calendar'!$F$367:$F$376)-ROW('Teacher Calendar'!$F$367)+1),5)),"")</f>
        <v>Investigation</v>
      </c>
      <c r="D120" s="67" t="str">
        <f t="array" ref="D120">IFERROR(INDEX('Teacher Calendar'!$G$367:$G$376,SMALL(IF(('Teacher Calendar'!$G$367:$G$376&lt;&gt;"")*('Teacher Calendar'!$G$367:$G$376&lt;&gt;0),ROW('Teacher Calendar'!$G$367:$G$376)-ROW('Teacher Calendar'!$G$367)+1),5)),"")</f>
        <v>Investigation</v>
      </c>
      <c r="E120" s="67" t="str">
        <f t="array" ref="E120">IFERROR(INDEX('Teacher Calendar'!$H$367:$H$376,SMALL(IF(('Teacher Calendar'!$H$367:$H$376&lt;&gt;"")*('Teacher Calendar'!$H$367:$H$376&lt;&gt;0),ROW('Teacher Calendar'!$H$367:$H$376)-ROW('Teacher Calendar'!$H$367)+1),5)),"")</f>
        <v>Investigation</v>
      </c>
    </row>
    <row r="121" ht="15.75" customHeight="1">
      <c r="A121" s="67" t="str">
        <f t="array" ref="A121">IFERROR(INDEX('Teacher Calendar'!$D$367:$D$376,SMALL(IF(('Teacher Calendar'!$D$367:$D$376&lt;&gt;"")*('Teacher Calendar'!$D$367:$D$376&lt;&gt;0),ROW('Teacher Calendar'!$D$367:$D$376)-ROW('Teacher Calendar'!$D$367)+1),6)),"")</f>
        <v>Activity</v>
      </c>
      <c r="B121" s="67" t="str">
        <f t="array" ref="B121">IFERROR(INDEX('Teacher Calendar'!$E$367:$E$376,SMALL(IF(('Teacher Calendar'!$E$367:$E$376&lt;&gt;"")*('Teacher Calendar'!$E$367:$E$376&lt;&gt;0),ROW('Teacher Calendar'!$E$367:$E$376)-ROW('Teacher Calendar'!$E$367)+1),6)),"")</f>
        <v>Activity</v>
      </c>
      <c r="C121" s="67" t="str">
        <f t="array" ref="C121">IFERROR(INDEX('Teacher Calendar'!$F$367:$F$376,SMALL(IF(('Teacher Calendar'!$F$367:$F$376&lt;&gt;"")*('Teacher Calendar'!$F$367:$F$376&lt;&gt;0),ROW('Teacher Calendar'!$F$367:$F$376)-ROW('Teacher Calendar'!$F$367)+1),6)),"")</f>
        <v>Activity</v>
      </c>
      <c r="D121" s="67" t="str">
        <f t="array" ref="D121">IFERROR(INDEX('Teacher Calendar'!$G$367:$G$376,SMALL(IF(('Teacher Calendar'!$G$367:$G$376&lt;&gt;"")*('Teacher Calendar'!$G$367:$G$376&lt;&gt;0),ROW('Teacher Calendar'!$G$367:$G$376)-ROW('Teacher Calendar'!$G$367)+1),6)),"")</f>
        <v>Activity</v>
      </c>
      <c r="E121" s="67" t="str">
        <f t="array" ref="E121">IFERROR(INDEX('Teacher Calendar'!$H$367:$H$376,SMALL(IF(('Teacher Calendar'!$H$367:$H$376&lt;&gt;"")*('Teacher Calendar'!$H$367:$H$376&lt;&gt;0),ROW('Teacher Calendar'!$H$367:$H$376)-ROW('Teacher Calendar'!$H$367)+1),6)),"")</f>
        <v>Activity</v>
      </c>
    </row>
    <row r="122" ht="15.75" customHeight="1">
      <c r="A122" s="67" t="str">
        <f t="array" ref="A122">IFERROR(INDEX('Teacher Calendar'!$D$367:$D$376,SMALL(IF(('Teacher Calendar'!$D$367:$D$376&lt;&gt;"")*('Teacher Calendar'!$D$367:$D$376&lt;&gt;0),ROW('Teacher Calendar'!$D$367:$D$376)-ROW('Teacher Calendar'!$D$367)+1),7)),"")</f>
        <v>Practice Set</v>
      </c>
      <c r="B122" s="67" t="str">
        <f t="array" ref="B122">IFERROR(INDEX('Teacher Calendar'!$E$367:$E$376,SMALL(IF(('Teacher Calendar'!$E$367:$E$376&lt;&gt;"")*('Teacher Calendar'!$E$367:$E$376&lt;&gt;0),ROW('Teacher Calendar'!$E$367:$E$376)-ROW('Teacher Calendar'!$E$367)+1),7)),"")</f>
        <v>Practice Set</v>
      </c>
      <c r="C122" s="67" t="str">
        <f t="array" ref="C122">IFERROR(INDEX('Teacher Calendar'!$F$367:$F$376,SMALL(IF(('Teacher Calendar'!$F$367:$F$376&lt;&gt;"")*('Teacher Calendar'!$F$367:$F$376&lt;&gt;0),ROW('Teacher Calendar'!$F$367:$F$376)-ROW('Teacher Calendar'!$F$367)+1),7)),"")</f>
        <v>Practice Set</v>
      </c>
      <c r="D122" s="67" t="str">
        <f t="array" ref="D122">IFERROR(INDEX('Teacher Calendar'!$G$367:$G$376,SMALL(IF(('Teacher Calendar'!$G$367:$G$376&lt;&gt;"")*('Teacher Calendar'!$G$367:$G$376&lt;&gt;0),ROW('Teacher Calendar'!$G$367:$G$376)-ROW('Teacher Calendar'!$G$367)+1),7)),"")</f>
        <v>Practice Set</v>
      </c>
      <c r="E122" s="67" t="str">
        <f t="array" ref="E122">IFERROR(INDEX('Teacher Calendar'!$H$367:$H$376,SMALL(IF(('Teacher Calendar'!$H$367:$H$376&lt;&gt;"")*('Teacher Calendar'!$H$367:$H$376&lt;&gt;0),ROW('Teacher Calendar'!$H$367:$H$376)-ROW('Teacher Calendar'!$H$367)+1),7)),"")</f>
        <v>Practice Set</v>
      </c>
    </row>
    <row r="123" ht="15.75" customHeight="1">
      <c r="A123" s="146">
        <f>'Teacher Calendar'!D393</f>
        <v>46363</v>
      </c>
      <c r="B123" s="146">
        <f>'Teacher Calendar'!E393</f>
        <v>46364</v>
      </c>
      <c r="C123" s="146">
        <f>'Teacher Calendar'!F393</f>
        <v>46365</v>
      </c>
      <c r="D123" s="146">
        <f>'Teacher Calendar'!G393</f>
        <v>46366</v>
      </c>
      <c r="E123" s="146">
        <f>'Teacher Calendar'!H393</f>
        <v>46367</v>
      </c>
    </row>
    <row r="124" ht="15.75" customHeight="1">
      <c r="A124" s="131" t="str">
        <f t="array" ref="A124">IFERROR(INDEX('Teacher Calendar'!$D$394:$D$403,SMALL(IF(('Teacher Calendar'!$D$394:$D$403&lt;&gt;"")*('Teacher Calendar'!$D$394:$D$403&lt;&gt;0),ROW('Teacher Calendar'!$D$394:$D$403)-ROW('Teacher Calendar'!$D$394)+1),1)),"")</f>
        <v>4.5: Energy &amp; Society</v>
      </c>
      <c r="B124" s="131" t="str">
        <f t="array" ref="B124">IFERROR(INDEX('Teacher Calendar'!$E$394:$E$403,SMALL(IF(('Teacher Calendar'!$E$394:$E$403&lt;&gt;"")*('Teacher Calendar'!$E$394:$E$403&lt;&gt;0),ROW('Teacher Calendar'!$E$394:$E$403)-ROW('Teacher Calendar'!$E$394)+1),1)),"")</f>
        <v>4.5: Energy &amp; Society</v>
      </c>
      <c r="C124" s="131" t="str">
        <f t="array" ref="C124">IFERROR(INDEX('Teacher Calendar'!$F$394:$F$403,SMALL(IF(('Teacher Calendar'!$F$394:$F$403&lt;&gt;"")*('Teacher Calendar'!$F$394:$F$403&lt;&gt;0),ROW('Teacher Calendar'!$F$394:$F$403)-ROW('Teacher Calendar'!$F$394)+1),1)),"")</f>
        <v>Unit 4 Sum Assess</v>
      </c>
      <c r="D124" s="131" t="str">
        <f t="array" ref="D124">IFERROR(INDEX('Teacher Calendar'!$G$394:$G$403,SMALL(IF(('Teacher Calendar'!$G$394:$G$403&lt;&gt;"")*('Teacher Calendar'!$G$394:$G$403&lt;&gt;0),ROW('Teacher Calendar'!$G$394:$G$403)-ROW('Teacher Calendar'!$G$394)+1),1)),"")</f>
        <v>5.1: Waves &amp; Vibr</v>
      </c>
      <c r="E124" s="131" t="str">
        <f t="array" ref="E124">IFERROR(INDEX('Teacher Calendar'!$H$394:$H$403,SMALL(IF(('Teacher Calendar'!$H$394:$H$403&lt;&gt;"")*('Teacher Calendar'!$H$394:$H$403&lt;&gt;0),ROW('Teacher Calendar'!$H$394:$H$403)-ROW('Teacher Calendar'!$H$394)+1),1)),"")</f>
        <v>5.1: Waves &amp; Vibr</v>
      </c>
    </row>
    <row r="125" ht="15.75" customHeight="1">
      <c r="A125" s="67" t="str">
        <f t="array" ref="A125">IFERROR(INDEX('Teacher Calendar'!$D$394:$D$403,SMALL(IF(('Teacher Calendar'!$D$394:$D$403&lt;&gt;"")*('Teacher Calendar'!$D$394:$D$403&lt;&gt;0),ROW('Teacher Calendar'!$D$394:$D$403)-ROW('Teacher Calendar'!$D$394)+1),2)),"")</f>
        <v>Warm Up</v>
      </c>
      <c r="B125" s="67" t="str">
        <f t="array" ref="B125">IFERROR(INDEX('Teacher Calendar'!$E$394:$E$403,SMALL(IF(('Teacher Calendar'!$E$394:$E$403&lt;&gt;"")*('Teacher Calendar'!$E$394:$E$403&lt;&gt;0),ROW('Teacher Calendar'!$E$394:$E$403)-ROW('Teacher Calendar'!$E$394)+1),2)),"")</f>
        <v>Warm Up</v>
      </c>
      <c r="C125" s="131" t="str">
        <f t="array" ref="C125">IFERROR(INDEX('Teacher Calendar'!$F$394:$F$403,SMALL(IF(('Teacher Calendar'!$F$394:$F$403&lt;&gt;"")*('Teacher Calendar'!$F$394:$F$403&lt;&gt;0),ROW('Teacher Calendar'!$F$394:$F$403)-ROW('Teacher Calendar'!$F$394)+1),2)),"")</f>
        <v/>
      </c>
      <c r="D125" s="67" t="str">
        <f t="array" ref="D125">IFERROR(INDEX('Teacher Calendar'!$G$394:$G$403,SMALL(IF(('Teacher Calendar'!$G$394:$G$403&lt;&gt;"")*('Teacher Calendar'!$G$394:$G$403&lt;&gt;0),ROW('Teacher Calendar'!$G$394:$G$403)-ROW('Teacher Calendar'!$G$394)+1),2)),"")</f>
        <v>Warm Up</v>
      </c>
      <c r="E125" s="67" t="str">
        <f t="array" ref="E125">IFERROR(INDEX('Teacher Calendar'!$H$394:$H$403,SMALL(IF(('Teacher Calendar'!$H$394:$H$403&lt;&gt;"")*('Teacher Calendar'!$H$394:$H$403&lt;&gt;0),ROW('Teacher Calendar'!$H$394:$H$403)-ROW('Teacher Calendar'!$H$394)+1),2)),"")</f>
        <v>Warm Up</v>
      </c>
    </row>
    <row r="126" ht="15.75" customHeight="1">
      <c r="A126" s="67" t="str">
        <f t="array" ref="A126">IFERROR(INDEX('Teacher Calendar'!$D$394:$D$403,SMALL(IF(('Teacher Calendar'!$D$394:$D$403&lt;&gt;"")*('Teacher Calendar'!$D$394:$D$403&lt;&gt;0),ROW('Teacher Calendar'!$D$394:$D$403)-ROW('Teacher Calendar'!$D$394)+1),3)),"")</f>
        <v>Demo</v>
      </c>
      <c r="B126" s="67" t="str">
        <f t="array" ref="B126">IFERROR(INDEX('Teacher Calendar'!$E$394:$E$403,SMALL(IF(('Teacher Calendar'!$E$394:$E$403&lt;&gt;"")*('Teacher Calendar'!$E$394:$E$403&lt;&gt;0),ROW('Teacher Calendar'!$E$394:$E$403)-ROW('Teacher Calendar'!$E$394)+1),3)),"")</f>
        <v>Demo</v>
      </c>
      <c r="C126" s="131" t="str">
        <f t="array" ref="C126">IFERROR(INDEX('Teacher Calendar'!$F$394:$F$403,SMALL(IF(('Teacher Calendar'!$F$394:$F$403&lt;&gt;"")*('Teacher Calendar'!$F$394:$F$403&lt;&gt;0),ROW('Teacher Calendar'!$F$394:$F$403)-ROW('Teacher Calendar'!$F$394)+1),3)),"")</f>
        <v/>
      </c>
      <c r="D126" s="67" t="str">
        <f t="array" ref="D126">IFERROR(INDEX('Teacher Calendar'!$G$394:$G$403,SMALL(IF(('Teacher Calendar'!$G$394:$G$403&lt;&gt;"")*('Teacher Calendar'!$G$394:$G$403&lt;&gt;0),ROW('Teacher Calendar'!$G$394:$G$403)-ROW('Teacher Calendar'!$G$394)+1),3)),"")</f>
        <v>Demo</v>
      </c>
      <c r="E126" s="67" t="str">
        <f t="array" ref="E126">IFERROR(INDEX('Teacher Calendar'!$H$394:$H$403,SMALL(IF(('Teacher Calendar'!$H$394:$H$403&lt;&gt;"")*('Teacher Calendar'!$H$394:$H$403&lt;&gt;0),ROW('Teacher Calendar'!$H$394:$H$403)-ROW('Teacher Calendar'!$H$394)+1),3)),"")</f>
        <v>Demo</v>
      </c>
    </row>
    <row r="127" ht="15.75" customHeight="1">
      <c r="A127" s="67" t="str">
        <f t="array" ref="A127">IFERROR(INDEX('Teacher Calendar'!$D$394:$D$403,SMALL(IF(('Teacher Calendar'!$D$394:$D$403&lt;&gt;"")*('Teacher Calendar'!$D$394:$D$403&lt;&gt;0),ROW('Teacher Calendar'!$D$394:$D$403)-ROW('Teacher Calendar'!$D$394)+1),4)),"")</f>
        <v>Notes</v>
      </c>
      <c r="B127" s="67" t="str">
        <f t="array" ref="B127">IFERROR(INDEX('Teacher Calendar'!$E$394:$E$403,SMALL(IF(('Teacher Calendar'!$E$394:$E$403&lt;&gt;"")*('Teacher Calendar'!$E$394:$E$403&lt;&gt;0),ROW('Teacher Calendar'!$E$394:$E$403)-ROW('Teacher Calendar'!$E$394)+1),4)),"")</f>
        <v>Notes</v>
      </c>
      <c r="C127" s="131" t="str">
        <f t="array" ref="C127">IFERROR(INDEX('Teacher Calendar'!$F$394:$F$403,SMALL(IF(('Teacher Calendar'!$F$394:$F$403&lt;&gt;"")*('Teacher Calendar'!$F$394:$F$403&lt;&gt;0),ROW('Teacher Calendar'!$F$394:$F$403)-ROW('Teacher Calendar'!$F$394)+1),4)),"")</f>
        <v/>
      </c>
      <c r="D127" s="67" t="str">
        <f t="array" ref="D127">IFERROR(INDEX('Teacher Calendar'!$G$394:$G$403,SMALL(IF(('Teacher Calendar'!$G$394:$G$403&lt;&gt;"")*('Teacher Calendar'!$G$394:$G$403&lt;&gt;0),ROW('Teacher Calendar'!$G$394:$G$403)-ROW('Teacher Calendar'!$G$394)+1),4)),"")</f>
        <v>Notes</v>
      </c>
      <c r="E127" s="67" t="str">
        <f t="array" ref="E127">IFERROR(INDEX('Teacher Calendar'!$H$394:$H$403,SMALL(IF(('Teacher Calendar'!$H$394:$H$403&lt;&gt;"")*('Teacher Calendar'!$H$394:$H$403&lt;&gt;0),ROW('Teacher Calendar'!$H$394:$H$403)-ROW('Teacher Calendar'!$H$394)+1),4)),"")</f>
        <v>Notes</v>
      </c>
    </row>
    <row r="128" ht="15.75" customHeight="1">
      <c r="A128" s="67" t="str">
        <f t="array" ref="A128">IFERROR(INDEX('Teacher Calendar'!$D$394:$D$403,SMALL(IF(('Teacher Calendar'!$D$394:$D$403&lt;&gt;"")*('Teacher Calendar'!$D$394:$D$403&lt;&gt;0),ROW('Teacher Calendar'!$D$394:$D$403)-ROW('Teacher Calendar'!$D$394)+1),5)),"")</f>
        <v>Investigation</v>
      </c>
      <c r="B128" s="67" t="str">
        <f t="array" ref="B128">IFERROR(INDEX('Teacher Calendar'!$E$394:$E$403,SMALL(IF(('Teacher Calendar'!$E$394:$E$403&lt;&gt;"")*('Teacher Calendar'!$E$394:$E$403&lt;&gt;0),ROW('Teacher Calendar'!$E$394:$E$403)-ROW('Teacher Calendar'!$E$394)+1),5)),"")</f>
        <v>Investigation</v>
      </c>
      <c r="C128" s="131" t="str">
        <f t="array" ref="C128">IFERROR(INDEX('Teacher Calendar'!$F$394:$F$403,SMALL(IF(('Teacher Calendar'!$F$394:$F$403&lt;&gt;"")*('Teacher Calendar'!$F$394:$F$403&lt;&gt;0),ROW('Teacher Calendar'!$F$394:$F$403)-ROW('Teacher Calendar'!$F$394)+1),5)),"")</f>
        <v/>
      </c>
      <c r="D128" s="67" t="str">
        <f t="array" ref="D128">IFERROR(INDEX('Teacher Calendar'!$G$394:$G$403,SMALL(IF(('Teacher Calendar'!$G$394:$G$403&lt;&gt;"")*('Teacher Calendar'!$G$394:$G$403&lt;&gt;0),ROW('Teacher Calendar'!$G$394:$G$403)-ROW('Teacher Calendar'!$G$394)+1),5)),"")</f>
        <v>Investigation</v>
      </c>
      <c r="E128" s="67" t="str">
        <f t="array" ref="E128">IFERROR(INDEX('Teacher Calendar'!$H$394:$H$403,SMALL(IF(('Teacher Calendar'!$H$394:$H$403&lt;&gt;"")*('Teacher Calendar'!$H$394:$H$403&lt;&gt;0),ROW('Teacher Calendar'!$H$394:$H$403)-ROW('Teacher Calendar'!$H$394)+1),5)),"")</f>
        <v>Investigation</v>
      </c>
    </row>
    <row r="129" ht="15.75" customHeight="1">
      <c r="A129" s="67" t="str">
        <f t="array" ref="A129">IFERROR(INDEX('Teacher Calendar'!$D$394:$D$403,SMALL(IF(('Teacher Calendar'!$D$394:$D$403&lt;&gt;"")*('Teacher Calendar'!$D$394:$D$403&lt;&gt;0),ROW('Teacher Calendar'!$D$394:$D$403)-ROW('Teacher Calendar'!$D$394)+1),6)),"")</f>
        <v>Activity</v>
      </c>
      <c r="B129" s="67" t="str">
        <f t="array" ref="B129">IFERROR(INDEX('Teacher Calendar'!$E$394:$E$403,SMALL(IF(('Teacher Calendar'!$E$394:$E$403&lt;&gt;"")*('Teacher Calendar'!$E$394:$E$403&lt;&gt;0),ROW('Teacher Calendar'!$E$394:$E$403)-ROW('Teacher Calendar'!$E$394)+1),6)),"")</f>
        <v>Activity</v>
      </c>
      <c r="C129" s="131" t="str">
        <f t="array" ref="C129">IFERROR(INDEX('Teacher Calendar'!$F$394:$F$403,SMALL(IF(('Teacher Calendar'!$F$394:$F$403&lt;&gt;"")*('Teacher Calendar'!$F$394:$F$403&lt;&gt;0),ROW('Teacher Calendar'!$F$394:$F$403)-ROW('Teacher Calendar'!$F$394)+1),6)),"")</f>
        <v/>
      </c>
      <c r="D129" s="67" t="str">
        <f t="array" ref="D129">IFERROR(INDEX('Teacher Calendar'!$G$394:$G$403,SMALL(IF(('Teacher Calendar'!$G$394:$G$403&lt;&gt;"")*('Teacher Calendar'!$G$394:$G$403&lt;&gt;0),ROW('Teacher Calendar'!$G$394:$G$403)-ROW('Teacher Calendar'!$G$394)+1),6)),"")</f>
        <v>Activity</v>
      </c>
      <c r="E129" s="67" t="str">
        <f t="array" ref="E129">IFERROR(INDEX('Teacher Calendar'!$H$394:$H$403,SMALL(IF(('Teacher Calendar'!$H$394:$H$403&lt;&gt;"")*('Teacher Calendar'!$H$394:$H$403&lt;&gt;0),ROW('Teacher Calendar'!$H$394:$H$403)-ROW('Teacher Calendar'!$H$394)+1),6)),"")</f>
        <v>Activity</v>
      </c>
    </row>
    <row r="130" ht="15.75" customHeight="1">
      <c r="A130" s="67" t="str">
        <f t="array" ref="A130">IFERROR(INDEX('Teacher Calendar'!$D$394:$D$403,SMALL(IF(('Teacher Calendar'!$D$394:$D$403&lt;&gt;"")*('Teacher Calendar'!$D$394:$D$403&lt;&gt;0),ROW('Teacher Calendar'!$D$394:$D$403)-ROW('Teacher Calendar'!$D$394)+1),7)),"")</f>
        <v>Practice Set</v>
      </c>
      <c r="B130" s="67" t="str">
        <f t="array" ref="B130">IFERROR(INDEX('Teacher Calendar'!$E$394:$E$403,SMALL(IF(('Teacher Calendar'!$E$394:$E$403&lt;&gt;"")*('Teacher Calendar'!$E$394:$E$403&lt;&gt;0),ROW('Teacher Calendar'!$E$394:$E$403)-ROW('Teacher Calendar'!$E$394)+1),7)),"")</f>
        <v>Practice Set</v>
      </c>
      <c r="C130" s="131" t="str">
        <f t="array" ref="C130">IFERROR(INDEX('Teacher Calendar'!$F$394:$F$403,SMALL(IF(('Teacher Calendar'!$F$394:$F$403&lt;&gt;"")*('Teacher Calendar'!$F$394:$F$403&lt;&gt;0),ROW('Teacher Calendar'!$F$394:$F$403)-ROW('Teacher Calendar'!$F$394)+1),7)),"")</f>
        <v/>
      </c>
      <c r="D130" s="67" t="str">
        <f t="array" ref="D130">IFERROR(INDEX('Teacher Calendar'!$G$394:$G$403,SMALL(IF(('Teacher Calendar'!$G$394:$G$403&lt;&gt;"")*('Teacher Calendar'!$G$394:$G$403&lt;&gt;0),ROW('Teacher Calendar'!$G$394:$G$403)-ROW('Teacher Calendar'!$G$394)+1),7)),"")</f>
        <v>Practice Set</v>
      </c>
      <c r="E130" s="67" t="str">
        <f t="array" ref="E130">IFERROR(INDEX('Teacher Calendar'!$H$394:$H$403,SMALL(IF(('Teacher Calendar'!$H$394:$H$403&lt;&gt;"")*('Teacher Calendar'!$H$394:$H$403&lt;&gt;0),ROW('Teacher Calendar'!$H$394:$H$403)-ROW('Teacher Calendar'!$H$394)+1),7)),"")</f>
        <v>Practice Set</v>
      </c>
    </row>
    <row r="131" ht="15.75" customHeight="1">
      <c r="A131" s="146">
        <f>'Teacher Calendar'!D420</f>
        <v>46370</v>
      </c>
      <c r="B131" s="146">
        <f>'Teacher Calendar'!E420</f>
        <v>46371</v>
      </c>
      <c r="C131" s="146">
        <f>'Teacher Calendar'!F420</f>
        <v>46372</v>
      </c>
      <c r="D131" s="146">
        <f>'Teacher Calendar'!G420</f>
        <v>46373</v>
      </c>
      <c r="E131" s="146">
        <f>'Teacher Calendar'!H420</f>
        <v>46374</v>
      </c>
    </row>
    <row r="132" ht="15.75" customHeight="1">
      <c r="A132" s="131" t="str">
        <f t="array" ref="A132">IFERROR(INDEX('Teacher Calendar'!$D$421:$D$430,SMALL(IF(('Teacher Calendar'!$D$421:$D$430&lt;&gt;"")*('Teacher Calendar'!$D$421:$D$430&lt;&gt;0),ROW('Teacher Calendar'!$D$421:$D$430)-ROW('Teacher Calendar'!$D$421)+1),1)),"")</f>
        <v>5.1: Waves &amp; Vibr</v>
      </c>
      <c r="B132" s="131" t="str">
        <f t="array" ref="B132">IFERROR(INDEX('Teacher Calendar'!$E$421:$E$430,SMALL(IF(('Teacher Calendar'!$E$421:$E$430&lt;&gt;"")*('Teacher Calendar'!$E$421:$E$430&lt;&gt;0),ROW('Teacher Calendar'!$E$421:$E$430)-ROW('Teacher Calendar'!$E$421)+1),1)),"")</f>
        <v>5.2: Wave Interact</v>
      </c>
      <c r="C132" s="131" t="str">
        <f t="array" ref="C132">IFERROR(INDEX('Teacher Calendar'!$F$421:$F$430,SMALL(IF(('Teacher Calendar'!$F$421:$F$430&lt;&gt;"")*('Teacher Calendar'!$F$421:$F$430&lt;&gt;0),ROW('Teacher Calendar'!$F$421:$F$430)-ROW('Teacher Calendar'!$F$421)+1),1)),"")</f>
        <v>5.2: Wave Interact</v>
      </c>
      <c r="D132" s="131" t="str">
        <f t="array" ref="D132">IFERROR(INDEX('Teacher Calendar'!$G$421:$G$430,SMALL(IF(('Teacher Calendar'!$G$421:$G$430&lt;&gt;"")*('Teacher Calendar'!$G$421:$G$430&lt;&gt;0),ROW('Teacher Calendar'!$G$421:$G$430)-ROW('Teacher Calendar'!$G$421)+1),1)),"")</f>
        <v>5.2: Wave Interact</v>
      </c>
      <c r="E132" s="131" t="str">
        <f t="array" ref="E132">IFERROR(INDEX('Teacher Calendar'!$H$421:$H$430,SMALL(IF(('Teacher Calendar'!$H$421:$H$430&lt;&gt;"")*('Teacher Calendar'!$H$421:$H$430&lt;&gt;0),ROW('Teacher Calendar'!$H$421:$H$430)-ROW('Teacher Calendar'!$H$421)+1),1)),"")</f>
        <v>5.3: Sound</v>
      </c>
    </row>
    <row r="133" ht="15.75" customHeight="1">
      <c r="A133" s="67" t="str">
        <f t="array" ref="A133">IFERROR(INDEX('Teacher Calendar'!$D$421:$D$430,SMALL(IF(('Teacher Calendar'!$D$421:$D$430&lt;&gt;"")*('Teacher Calendar'!$D$421:$D$430&lt;&gt;0),ROW('Teacher Calendar'!$D$421:$D$430)-ROW('Teacher Calendar'!$D$421)+1),2)),"")</f>
        <v>Warm Up</v>
      </c>
      <c r="B133" s="67" t="str">
        <f t="array" ref="B133">IFERROR(INDEX('Teacher Calendar'!$E$421:$E$430,SMALL(IF(('Teacher Calendar'!$E$421:$E$430&lt;&gt;"")*('Teacher Calendar'!$E$421:$E$430&lt;&gt;0),ROW('Teacher Calendar'!$E$421:$E$430)-ROW('Teacher Calendar'!$E$421)+1),2)),"")</f>
        <v>Warm Up</v>
      </c>
      <c r="C133" s="67" t="str">
        <f t="array" ref="C133">IFERROR(INDEX('Teacher Calendar'!$F$421:$F$430,SMALL(IF(('Teacher Calendar'!$F$421:$F$430&lt;&gt;"")*('Teacher Calendar'!$F$421:$F$430&lt;&gt;0),ROW('Teacher Calendar'!$F$421:$F$430)-ROW('Teacher Calendar'!$F$421)+1),2)),"")</f>
        <v>Warm Up</v>
      </c>
      <c r="D133" s="67" t="str">
        <f t="array" ref="D133">IFERROR(INDEX('Teacher Calendar'!$G$421:$G$430,SMALL(IF(('Teacher Calendar'!$G$421:$G$430&lt;&gt;"")*('Teacher Calendar'!$G$421:$G$430&lt;&gt;0),ROW('Teacher Calendar'!$G$421:$G$430)-ROW('Teacher Calendar'!$G$421)+1),2)),"")</f>
        <v>Warm Up</v>
      </c>
      <c r="E133" s="67" t="str">
        <f t="array" ref="E133">IFERROR(INDEX('Teacher Calendar'!$H$421:$H$430,SMALL(IF(('Teacher Calendar'!$H$421:$H$430&lt;&gt;"")*('Teacher Calendar'!$H$421:$H$430&lt;&gt;0),ROW('Teacher Calendar'!$H$421:$H$430)-ROW('Teacher Calendar'!$H$421)+1),2)),"")</f>
        <v>Warm Up</v>
      </c>
    </row>
    <row r="134" ht="15.75" customHeight="1">
      <c r="A134" s="67" t="str">
        <f t="array" ref="A134">IFERROR(INDEX('Teacher Calendar'!$D$421:$D$430,SMALL(IF(('Teacher Calendar'!$D$421:$D$430&lt;&gt;"")*('Teacher Calendar'!$D$421:$D$430&lt;&gt;0),ROW('Teacher Calendar'!$D$421:$D$430)-ROW('Teacher Calendar'!$D$421)+1),3)),"")</f>
        <v>Demo</v>
      </c>
      <c r="B134" s="67" t="str">
        <f t="array" ref="B134">IFERROR(INDEX('Teacher Calendar'!$E$421:$E$430,SMALL(IF(('Teacher Calendar'!$E$421:$E$430&lt;&gt;"")*('Teacher Calendar'!$E$421:$E$430&lt;&gt;0),ROW('Teacher Calendar'!$E$421:$E$430)-ROW('Teacher Calendar'!$E$421)+1),3)),"")</f>
        <v>Demo</v>
      </c>
      <c r="C134" s="67" t="str">
        <f t="array" ref="C134">IFERROR(INDEX('Teacher Calendar'!$F$421:$F$430,SMALL(IF(('Teacher Calendar'!$F$421:$F$430&lt;&gt;"")*('Teacher Calendar'!$F$421:$F$430&lt;&gt;0),ROW('Teacher Calendar'!$F$421:$F$430)-ROW('Teacher Calendar'!$F$421)+1),3)),"")</f>
        <v>Demo</v>
      </c>
      <c r="D134" s="67" t="str">
        <f t="array" ref="D134">IFERROR(INDEX('Teacher Calendar'!$G$421:$G$430,SMALL(IF(('Teacher Calendar'!$G$421:$G$430&lt;&gt;"")*('Teacher Calendar'!$G$421:$G$430&lt;&gt;0),ROW('Teacher Calendar'!$G$421:$G$430)-ROW('Teacher Calendar'!$G$421)+1),3)),"")</f>
        <v>Demo</v>
      </c>
      <c r="E134" s="67" t="str">
        <f t="array" ref="E134">IFERROR(INDEX('Teacher Calendar'!$H$421:$H$430,SMALL(IF(('Teacher Calendar'!$H$421:$H$430&lt;&gt;"")*('Teacher Calendar'!$H$421:$H$430&lt;&gt;0),ROW('Teacher Calendar'!$H$421:$H$430)-ROW('Teacher Calendar'!$H$421)+1),3)),"")</f>
        <v>Demo</v>
      </c>
    </row>
    <row r="135" ht="15.75" customHeight="1">
      <c r="A135" s="67" t="str">
        <f t="array" ref="A135">IFERROR(INDEX('Teacher Calendar'!$D$421:$D$430,SMALL(IF(('Teacher Calendar'!$D$421:$D$430&lt;&gt;"")*('Teacher Calendar'!$D$421:$D$430&lt;&gt;0),ROW('Teacher Calendar'!$D$421:$D$430)-ROW('Teacher Calendar'!$D$421)+1),4)),"")</f>
        <v>Notes</v>
      </c>
      <c r="B135" s="67" t="str">
        <f t="array" ref="B135">IFERROR(INDEX('Teacher Calendar'!$E$421:$E$430,SMALL(IF(('Teacher Calendar'!$E$421:$E$430&lt;&gt;"")*('Teacher Calendar'!$E$421:$E$430&lt;&gt;0),ROW('Teacher Calendar'!$E$421:$E$430)-ROW('Teacher Calendar'!$E$421)+1),4)),"")</f>
        <v>Notes</v>
      </c>
      <c r="C135" s="67" t="str">
        <f t="array" ref="C135">IFERROR(INDEX('Teacher Calendar'!$F$421:$F$430,SMALL(IF(('Teacher Calendar'!$F$421:$F$430&lt;&gt;"")*('Teacher Calendar'!$F$421:$F$430&lt;&gt;0),ROW('Teacher Calendar'!$F$421:$F$430)-ROW('Teacher Calendar'!$F$421)+1),4)),"")</f>
        <v>Notes</v>
      </c>
      <c r="D135" s="67" t="str">
        <f t="array" ref="D135">IFERROR(INDEX('Teacher Calendar'!$G$421:$G$430,SMALL(IF(('Teacher Calendar'!$G$421:$G$430&lt;&gt;"")*('Teacher Calendar'!$G$421:$G$430&lt;&gt;0),ROW('Teacher Calendar'!$G$421:$G$430)-ROW('Teacher Calendar'!$G$421)+1),4)),"")</f>
        <v>Notes</v>
      </c>
      <c r="E135" s="67" t="str">
        <f t="array" ref="E135">IFERROR(INDEX('Teacher Calendar'!$H$421:$H$430,SMALL(IF(('Teacher Calendar'!$H$421:$H$430&lt;&gt;"")*('Teacher Calendar'!$H$421:$H$430&lt;&gt;0),ROW('Teacher Calendar'!$H$421:$H$430)-ROW('Teacher Calendar'!$H$421)+1),4)),"")</f>
        <v>Notes</v>
      </c>
    </row>
    <row r="136" ht="15.75" customHeight="1">
      <c r="A136" s="67" t="str">
        <f t="array" ref="A136">IFERROR(INDEX('Teacher Calendar'!$D$421:$D$430,SMALL(IF(('Teacher Calendar'!$D$421:$D$430&lt;&gt;"")*('Teacher Calendar'!$D$421:$D$430&lt;&gt;0),ROW('Teacher Calendar'!$D$421:$D$430)-ROW('Teacher Calendar'!$D$421)+1),5)),"")</f>
        <v>Investigation</v>
      </c>
      <c r="B136" s="67" t="str">
        <f t="array" ref="B136">IFERROR(INDEX('Teacher Calendar'!$E$421:$E$430,SMALL(IF(('Teacher Calendar'!$E$421:$E$430&lt;&gt;"")*('Teacher Calendar'!$E$421:$E$430&lt;&gt;0),ROW('Teacher Calendar'!$E$421:$E$430)-ROW('Teacher Calendar'!$E$421)+1),5)),"")</f>
        <v>Investigation</v>
      </c>
      <c r="C136" s="67" t="str">
        <f t="array" ref="C136">IFERROR(INDEX('Teacher Calendar'!$F$421:$F$430,SMALL(IF(('Teacher Calendar'!$F$421:$F$430&lt;&gt;"")*('Teacher Calendar'!$F$421:$F$430&lt;&gt;0),ROW('Teacher Calendar'!$F$421:$F$430)-ROW('Teacher Calendar'!$F$421)+1),5)),"")</f>
        <v>Investigation</v>
      </c>
      <c r="D136" s="67" t="str">
        <f t="array" ref="D136">IFERROR(INDEX('Teacher Calendar'!$G$421:$G$430,SMALL(IF(('Teacher Calendar'!$G$421:$G$430&lt;&gt;"")*('Teacher Calendar'!$G$421:$G$430&lt;&gt;0),ROW('Teacher Calendar'!$G$421:$G$430)-ROW('Teacher Calendar'!$G$421)+1),5)),"")</f>
        <v>Investigation</v>
      </c>
      <c r="E136" s="67" t="str">
        <f t="array" ref="E136">IFERROR(INDEX('Teacher Calendar'!$H$421:$H$430,SMALL(IF(('Teacher Calendar'!$H$421:$H$430&lt;&gt;"")*('Teacher Calendar'!$H$421:$H$430&lt;&gt;0),ROW('Teacher Calendar'!$H$421:$H$430)-ROW('Teacher Calendar'!$H$421)+1),5)),"")</f>
        <v>Investigation</v>
      </c>
    </row>
    <row r="137" ht="15.75" customHeight="1">
      <c r="A137" s="67" t="str">
        <f t="array" ref="A137">IFERROR(INDEX('Teacher Calendar'!$D$421:$D$430,SMALL(IF(('Teacher Calendar'!$D$421:$D$430&lt;&gt;"")*('Teacher Calendar'!$D$421:$D$430&lt;&gt;0),ROW('Teacher Calendar'!$D$421:$D$430)-ROW('Teacher Calendar'!$D$421)+1),6)),"")</f>
        <v>Activity</v>
      </c>
      <c r="B137" s="67" t="str">
        <f t="array" ref="B137">IFERROR(INDEX('Teacher Calendar'!$E$421:$E$430,SMALL(IF(('Teacher Calendar'!$E$421:$E$430&lt;&gt;"")*('Teacher Calendar'!$E$421:$E$430&lt;&gt;0),ROW('Teacher Calendar'!$E$421:$E$430)-ROW('Teacher Calendar'!$E$421)+1),6)),"")</f>
        <v>Activity</v>
      </c>
      <c r="C137" s="67" t="str">
        <f t="array" ref="C137">IFERROR(INDEX('Teacher Calendar'!$F$421:$F$430,SMALL(IF(('Teacher Calendar'!$F$421:$F$430&lt;&gt;"")*('Teacher Calendar'!$F$421:$F$430&lt;&gt;0),ROW('Teacher Calendar'!$F$421:$F$430)-ROW('Teacher Calendar'!$F$421)+1),6)),"")</f>
        <v>Activity</v>
      </c>
      <c r="D137" s="67" t="str">
        <f t="array" ref="D137">IFERROR(INDEX('Teacher Calendar'!$G$421:$G$430,SMALL(IF(('Teacher Calendar'!$G$421:$G$430&lt;&gt;"")*('Teacher Calendar'!$G$421:$G$430&lt;&gt;0),ROW('Teacher Calendar'!$G$421:$G$430)-ROW('Teacher Calendar'!$G$421)+1),6)),"")</f>
        <v>Activity</v>
      </c>
      <c r="E137" s="67" t="str">
        <f t="array" ref="E137">IFERROR(INDEX('Teacher Calendar'!$H$421:$H$430,SMALL(IF(('Teacher Calendar'!$H$421:$H$430&lt;&gt;"")*('Teacher Calendar'!$H$421:$H$430&lt;&gt;0),ROW('Teacher Calendar'!$H$421:$H$430)-ROW('Teacher Calendar'!$H$421)+1),6)),"")</f>
        <v>Activity</v>
      </c>
    </row>
    <row r="138" ht="15.75" customHeight="1">
      <c r="A138" s="67" t="str">
        <f t="array" ref="A138">IFERROR(INDEX('Teacher Calendar'!$D$421:$D$430,SMALL(IF(('Teacher Calendar'!$D$421:$D$430&lt;&gt;"")*('Teacher Calendar'!$D$421:$D$430&lt;&gt;0),ROW('Teacher Calendar'!$D$421:$D$430)-ROW('Teacher Calendar'!$D$421)+1),7)),"")</f>
        <v>Practice Set</v>
      </c>
      <c r="B138" s="67" t="str">
        <f t="array" ref="B138">IFERROR(INDEX('Teacher Calendar'!$E$421:$E$430,SMALL(IF(('Teacher Calendar'!$E$421:$E$430&lt;&gt;"")*('Teacher Calendar'!$E$421:$E$430&lt;&gt;0),ROW('Teacher Calendar'!$E$421:$E$430)-ROW('Teacher Calendar'!$E$421)+1),7)),"")</f>
        <v>Practice Set</v>
      </c>
      <c r="C138" s="67" t="str">
        <f t="array" ref="C138">IFERROR(INDEX('Teacher Calendar'!$F$421:$F$430,SMALL(IF(('Teacher Calendar'!$F$421:$F$430&lt;&gt;"")*('Teacher Calendar'!$F$421:$F$430&lt;&gt;0),ROW('Teacher Calendar'!$F$421:$F$430)-ROW('Teacher Calendar'!$F$421)+1),7)),"")</f>
        <v>Practice Set</v>
      </c>
      <c r="D138" s="67" t="str">
        <f t="array" ref="D138">IFERROR(INDEX('Teacher Calendar'!$G$421:$G$430,SMALL(IF(('Teacher Calendar'!$G$421:$G$430&lt;&gt;"")*('Teacher Calendar'!$G$421:$G$430&lt;&gt;0),ROW('Teacher Calendar'!$G$421:$G$430)-ROW('Teacher Calendar'!$G$421)+1),7)),"")</f>
        <v>Practice Set</v>
      </c>
      <c r="E138" s="67" t="str">
        <f t="array" ref="E138">IFERROR(INDEX('Teacher Calendar'!$H$421:$H$430,SMALL(IF(('Teacher Calendar'!$H$421:$H$430&lt;&gt;"")*('Teacher Calendar'!$H$421:$H$430&lt;&gt;0),ROW('Teacher Calendar'!$H$421:$H$430)-ROW('Teacher Calendar'!$H$421)+1),7)),"")</f>
        <v>Practice Set</v>
      </c>
    </row>
    <row r="139" ht="15.75" customHeight="1">
      <c r="A139" s="146">
        <f>'Teacher Calendar'!D447</f>
        <v>46377</v>
      </c>
      <c r="B139" s="146">
        <f>'Teacher Calendar'!E447</f>
        <v>46378</v>
      </c>
      <c r="C139" s="146">
        <f>'Teacher Calendar'!F447</f>
        <v>46379</v>
      </c>
      <c r="D139" s="146">
        <f>'Teacher Calendar'!G447</f>
        <v>46380</v>
      </c>
      <c r="E139" s="146">
        <f>'Teacher Calendar'!H447</f>
        <v>46381</v>
      </c>
    </row>
    <row r="140" ht="15.75" customHeight="1">
      <c r="A140" s="77" t="str">
        <f t="array" ref="A140">IFERROR(INDEX('Teacher Calendar'!$D$448:$D$457,SMALL(IF(('Teacher Calendar'!$D$448:$D$457&lt;&gt;"")*('Teacher Calendar'!$D$448:$D$457&lt;&gt;0),ROW('Teacher Calendar'!$D$448:$D$457)-ROW('Teacher Calendar'!$D$448)+1),1)),"")</f>
        <v/>
      </c>
      <c r="B140" s="77" t="str">
        <f t="array" ref="B140">IFERROR(INDEX('Teacher Calendar'!$E$448:$E$457,SMALL(IF(('Teacher Calendar'!$E$448:$E$457&lt;&gt;"")*('Teacher Calendar'!$E$448:$E$457&lt;&gt;0),ROW('Teacher Calendar'!$E$448:$E$457)-ROW('Teacher Calendar'!$E$448)+1),1)),"")</f>
        <v/>
      </c>
      <c r="C140" s="77" t="str">
        <f t="array" ref="C140">IFERROR(INDEX('Teacher Calendar'!$F$448:$F$457,SMALL(IF(('Teacher Calendar'!$F$448:$F$457&lt;&gt;"")*('Teacher Calendar'!$F$448:$F$457&lt;&gt;0),ROW('Teacher Calendar'!$F$448:$F$457)-ROW('Teacher Calendar'!$F$448)+1),1)),"")</f>
        <v/>
      </c>
      <c r="D140" s="77" t="str">
        <f t="array" ref="D140">IFERROR(INDEX('Teacher Calendar'!$G$448:$G$457,SMALL(IF(('Teacher Calendar'!$G$448:$G$457&lt;&gt;"")*('Teacher Calendar'!$G$448:$G$457&lt;&gt;0),ROW('Teacher Calendar'!$G$448:$G$457)-ROW('Teacher Calendar'!$G$448)+1),1)),"")</f>
        <v/>
      </c>
      <c r="E140" s="77" t="str">
        <f t="array" ref="E140">IFERROR(INDEX('Teacher Calendar'!$H$448:$H$457,SMALL(IF(('Teacher Calendar'!$H$448:$H$457&lt;&gt;"")*('Teacher Calendar'!$H$448:$H$457&lt;&gt;0),ROW('Teacher Calendar'!$H$448:$H$457)-ROW('Teacher Calendar'!$H$448)+1),1)),"")</f>
        <v/>
      </c>
    </row>
    <row r="141" ht="15.75" customHeight="1">
      <c r="A141" s="77" t="str">
        <f t="array" ref="A141">IFERROR(INDEX('Teacher Calendar'!$D$448:$D$457,SMALL(IF(('Teacher Calendar'!$D$448:$D$457&lt;&gt;"")*('Teacher Calendar'!$D$448:$D$457&lt;&gt;0),ROW('Teacher Calendar'!$D$448:$D$457)-ROW('Teacher Calendar'!$D$448)+1),2)),"")</f>
        <v/>
      </c>
      <c r="B141" s="77" t="str">
        <f t="array" ref="B141">IFERROR(INDEX('Teacher Calendar'!$E$448:$E$457,SMALL(IF(('Teacher Calendar'!$E$448:$E$457&lt;&gt;"")*('Teacher Calendar'!$E$448:$E$457&lt;&gt;0),ROW('Teacher Calendar'!$E$448:$E$457)-ROW('Teacher Calendar'!$E$448)+1),2)),"")</f>
        <v/>
      </c>
      <c r="C141" s="77" t="str">
        <f t="array" ref="C141">IFERROR(INDEX('Teacher Calendar'!$F$448:$F$457,SMALL(IF(('Teacher Calendar'!$F$448:$F$457&lt;&gt;"")*('Teacher Calendar'!$F$448:$F$457&lt;&gt;0),ROW('Teacher Calendar'!$F$448:$F$457)-ROW('Teacher Calendar'!$F$448)+1),2)),"")</f>
        <v/>
      </c>
      <c r="D141" s="77" t="str">
        <f t="array" ref="D141">IFERROR(INDEX('Teacher Calendar'!$G$448:$G$457,SMALL(IF(('Teacher Calendar'!$G$448:$G$457&lt;&gt;"")*('Teacher Calendar'!$G$448:$G$457&lt;&gt;0),ROW('Teacher Calendar'!$G$448:$G$457)-ROW('Teacher Calendar'!$G$448)+1),2)),"")</f>
        <v/>
      </c>
      <c r="E141" s="77" t="str">
        <f t="array" ref="E141">IFERROR(INDEX('Teacher Calendar'!$H$448:$H$457,SMALL(IF(('Teacher Calendar'!$H$448:$H$457&lt;&gt;"")*('Teacher Calendar'!$H$448:$H$457&lt;&gt;0),ROW('Teacher Calendar'!$H$448:$H$457)-ROW('Teacher Calendar'!$H$448)+1),2)),"")</f>
        <v/>
      </c>
    </row>
    <row r="142" ht="15.75" customHeight="1">
      <c r="A142" s="77" t="str">
        <f t="array" ref="A142">IFERROR(INDEX('Teacher Calendar'!$D$448:$D$457,SMALL(IF(('Teacher Calendar'!$D$448:$D$457&lt;&gt;"")*('Teacher Calendar'!$D$448:$D$457&lt;&gt;0),ROW('Teacher Calendar'!$D$448:$D$457)-ROW('Teacher Calendar'!$D$448)+1),3)),"")</f>
        <v/>
      </c>
      <c r="B142" s="77" t="str">
        <f t="array" ref="B142">IFERROR(INDEX('Teacher Calendar'!$E$448:$E$457,SMALL(IF(('Teacher Calendar'!$E$448:$E$457&lt;&gt;"")*('Teacher Calendar'!$E$448:$E$457&lt;&gt;0),ROW('Teacher Calendar'!$E$448:$E$457)-ROW('Teacher Calendar'!$E$448)+1),3)),"")</f>
        <v/>
      </c>
      <c r="C142" s="77" t="str">
        <f t="array" ref="C142">IFERROR(INDEX('Teacher Calendar'!$F$448:$F$457,SMALL(IF(('Teacher Calendar'!$F$448:$F$457&lt;&gt;"")*('Teacher Calendar'!$F$448:$F$457&lt;&gt;0),ROW('Teacher Calendar'!$F$448:$F$457)-ROW('Teacher Calendar'!$F$448)+1),3)),"")</f>
        <v/>
      </c>
      <c r="D142" s="77" t="str">
        <f t="array" ref="D142">IFERROR(INDEX('Teacher Calendar'!$G$448:$G$457,SMALL(IF(('Teacher Calendar'!$G$448:$G$457&lt;&gt;"")*('Teacher Calendar'!$G$448:$G$457&lt;&gt;0),ROW('Teacher Calendar'!$G$448:$G$457)-ROW('Teacher Calendar'!$G$448)+1),3)),"")</f>
        <v/>
      </c>
      <c r="E142" s="77" t="str">
        <f t="array" ref="E142">IFERROR(INDEX('Teacher Calendar'!$H$448:$H$457,SMALL(IF(('Teacher Calendar'!$H$448:$H$457&lt;&gt;"")*('Teacher Calendar'!$H$448:$H$457&lt;&gt;0),ROW('Teacher Calendar'!$H$448:$H$457)-ROW('Teacher Calendar'!$H$448)+1),3)),"")</f>
        <v/>
      </c>
    </row>
    <row r="143" ht="15.75" customHeight="1">
      <c r="A143" s="77" t="str">
        <f t="array" ref="A143">IFERROR(INDEX('Teacher Calendar'!$D$448:$D$457,SMALL(IF(('Teacher Calendar'!$D$448:$D$457&lt;&gt;"")*('Teacher Calendar'!$D$448:$D$457&lt;&gt;0),ROW('Teacher Calendar'!$D$448:$D$457)-ROW('Teacher Calendar'!$D$448)+1),4)),"")</f>
        <v/>
      </c>
      <c r="B143" s="77" t="str">
        <f t="array" ref="B143">IFERROR(INDEX('Teacher Calendar'!$E$448:$E$457,SMALL(IF(('Teacher Calendar'!$E$448:$E$457&lt;&gt;"")*('Teacher Calendar'!$E$448:$E$457&lt;&gt;0),ROW('Teacher Calendar'!$E$448:$E$457)-ROW('Teacher Calendar'!$E$448)+1),4)),"")</f>
        <v/>
      </c>
      <c r="C143" s="77" t="str">
        <f t="array" ref="C143">IFERROR(INDEX('Teacher Calendar'!$F$448:$F$457,SMALL(IF(('Teacher Calendar'!$F$448:$F$457&lt;&gt;"")*('Teacher Calendar'!$F$448:$F$457&lt;&gt;0),ROW('Teacher Calendar'!$F$448:$F$457)-ROW('Teacher Calendar'!$F$448)+1),4)),"")</f>
        <v/>
      </c>
      <c r="D143" s="77" t="str">
        <f t="array" ref="D143">IFERROR(INDEX('Teacher Calendar'!$G$448:$G$457,SMALL(IF(('Teacher Calendar'!$G$448:$G$457&lt;&gt;"")*('Teacher Calendar'!$G$448:$G$457&lt;&gt;0),ROW('Teacher Calendar'!$G$448:$G$457)-ROW('Teacher Calendar'!$G$448)+1),4)),"")</f>
        <v/>
      </c>
      <c r="E143" s="77" t="str">
        <f t="array" ref="E143">IFERROR(INDEX('Teacher Calendar'!$H$448:$H$457,SMALL(IF(('Teacher Calendar'!$H$448:$H$457&lt;&gt;"")*('Teacher Calendar'!$H$448:$H$457&lt;&gt;0),ROW('Teacher Calendar'!$H$448:$H$457)-ROW('Teacher Calendar'!$H$448)+1),4)),"")</f>
        <v/>
      </c>
    </row>
    <row r="144" ht="15.75" customHeight="1">
      <c r="A144" s="77" t="str">
        <f t="array" ref="A144">IFERROR(INDEX('Teacher Calendar'!$D$448:$D$457,SMALL(IF(('Teacher Calendar'!$D$448:$D$457&lt;&gt;"")*('Teacher Calendar'!$D$448:$D$457&lt;&gt;0),ROW('Teacher Calendar'!$D$448:$D$457)-ROW('Teacher Calendar'!$D$448)+1),5)),"")</f>
        <v/>
      </c>
      <c r="B144" s="77" t="str">
        <f t="array" ref="B144">IFERROR(INDEX('Teacher Calendar'!$E$448:$E$457,SMALL(IF(('Teacher Calendar'!$E$448:$E$457&lt;&gt;"")*('Teacher Calendar'!$E$448:$E$457&lt;&gt;0),ROW('Teacher Calendar'!$E$448:$E$457)-ROW('Teacher Calendar'!$E$448)+1),5)),"")</f>
        <v/>
      </c>
      <c r="C144" s="77" t="str">
        <f t="array" ref="C144">IFERROR(INDEX('Teacher Calendar'!$F$448:$F$457,SMALL(IF(('Teacher Calendar'!$F$448:$F$457&lt;&gt;"")*('Teacher Calendar'!$F$448:$F$457&lt;&gt;0),ROW('Teacher Calendar'!$F$448:$F$457)-ROW('Teacher Calendar'!$F$448)+1),5)),"")</f>
        <v/>
      </c>
      <c r="D144" s="77" t="str">
        <f t="array" ref="D144">IFERROR(INDEX('Teacher Calendar'!$G$448:$G$457,SMALL(IF(('Teacher Calendar'!$G$448:$G$457&lt;&gt;"")*('Teacher Calendar'!$G$448:$G$457&lt;&gt;0),ROW('Teacher Calendar'!$G$448:$G$457)-ROW('Teacher Calendar'!$G$448)+1),5)),"")</f>
        <v/>
      </c>
      <c r="E144" s="77" t="str">
        <f t="array" ref="E144">IFERROR(INDEX('Teacher Calendar'!$H$448:$H$457,SMALL(IF(('Teacher Calendar'!$H$448:$H$457&lt;&gt;"")*('Teacher Calendar'!$H$448:$H$457&lt;&gt;0),ROW('Teacher Calendar'!$H$448:$H$457)-ROW('Teacher Calendar'!$H$448)+1),5)),"")</f>
        <v/>
      </c>
    </row>
    <row r="145" ht="15.75" customHeight="1">
      <c r="A145" s="77" t="str">
        <f t="array" ref="A145">IFERROR(INDEX('Teacher Calendar'!$D$448:$D$457,SMALL(IF(('Teacher Calendar'!$D$448:$D$457&lt;&gt;"")*('Teacher Calendar'!$D$448:$D$457&lt;&gt;0),ROW('Teacher Calendar'!$D$448:$D$457)-ROW('Teacher Calendar'!$D$448)+1),6)),"")</f>
        <v/>
      </c>
      <c r="B145" s="77" t="str">
        <f t="array" ref="B145">IFERROR(INDEX('Teacher Calendar'!$E$448:$E$457,SMALL(IF(('Teacher Calendar'!$E$448:$E$457&lt;&gt;"")*('Teacher Calendar'!$E$448:$E$457&lt;&gt;0),ROW('Teacher Calendar'!$E$448:$E$457)-ROW('Teacher Calendar'!$E$448)+1),6)),"")</f>
        <v/>
      </c>
      <c r="C145" s="77" t="str">
        <f t="array" ref="C145">IFERROR(INDEX('Teacher Calendar'!$F$448:$F$457,SMALL(IF(('Teacher Calendar'!$F$448:$F$457&lt;&gt;"")*('Teacher Calendar'!$F$448:$F$457&lt;&gt;0),ROW('Teacher Calendar'!$F$448:$F$457)-ROW('Teacher Calendar'!$F$448)+1),6)),"")</f>
        <v/>
      </c>
      <c r="D145" s="77" t="str">
        <f t="array" ref="D145">IFERROR(INDEX('Teacher Calendar'!$G$448:$G$457,SMALL(IF(('Teacher Calendar'!$G$448:$G$457&lt;&gt;"")*('Teacher Calendar'!$G$448:$G$457&lt;&gt;0),ROW('Teacher Calendar'!$G$448:$G$457)-ROW('Teacher Calendar'!$G$448)+1),6)),"")</f>
        <v/>
      </c>
      <c r="E145" s="77" t="str">
        <f t="array" ref="E145">IFERROR(INDEX('Teacher Calendar'!$H$448:$H$457,SMALL(IF(('Teacher Calendar'!$H$448:$H$457&lt;&gt;"")*('Teacher Calendar'!$H$448:$H$457&lt;&gt;0),ROW('Teacher Calendar'!$H$448:$H$457)-ROW('Teacher Calendar'!$H$448)+1),6)),"")</f>
        <v/>
      </c>
    </row>
    <row r="146" ht="15.75" customHeight="1">
      <c r="A146" s="77" t="str">
        <f t="array" ref="A146">IFERROR(INDEX('Teacher Calendar'!$D$448:$D$457,SMALL(IF(('Teacher Calendar'!$D$448:$D$457&lt;&gt;"")*('Teacher Calendar'!$D$448:$D$457&lt;&gt;0),ROW('Teacher Calendar'!$D$448:$D$457)-ROW('Teacher Calendar'!$D$448)+1),7)),"")</f>
        <v/>
      </c>
      <c r="B146" s="77" t="str">
        <f t="array" ref="B146">IFERROR(INDEX('Teacher Calendar'!$E$448:$E$457,SMALL(IF(('Teacher Calendar'!$E$448:$E$457&lt;&gt;"")*('Teacher Calendar'!$E$448:$E$457&lt;&gt;0),ROW('Teacher Calendar'!$E$448:$E$457)-ROW('Teacher Calendar'!$E$448)+1),7)),"")</f>
        <v/>
      </c>
      <c r="C146" s="77" t="str">
        <f t="array" ref="C146">IFERROR(INDEX('Teacher Calendar'!$F$448:$F$457,SMALL(IF(('Teacher Calendar'!$F$448:$F$457&lt;&gt;"")*('Teacher Calendar'!$F$448:$F$457&lt;&gt;0),ROW('Teacher Calendar'!$F$448:$F$457)-ROW('Teacher Calendar'!$F$448)+1),7)),"")</f>
        <v/>
      </c>
      <c r="D146" s="77" t="str">
        <f t="array" ref="D146">IFERROR(INDEX('Teacher Calendar'!$G$448:$G$457,SMALL(IF(('Teacher Calendar'!$G$448:$G$457&lt;&gt;"")*('Teacher Calendar'!$G$448:$G$457&lt;&gt;0),ROW('Teacher Calendar'!$G$448:$G$457)-ROW('Teacher Calendar'!$G$448)+1),7)),"")</f>
        <v/>
      </c>
      <c r="E146" s="77" t="str">
        <f t="array" ref="E146">IFERROR(INDEX('Teacher Calendar'!$H$448:$H$457,SMALL(IF(('Teacher Calendar'!$H$448:$H$457&lt;&gt;"")*('Teacher Calendar'!$H$448:$H$457&lt;&gt;0),ROW('Teacher Calendar'!$H$448:$H$457)-ROW('Teacher Calendar'!$H$448)+1),7)),"")</f>
        <v/>
      </c>
    </row>
    <row r="147" ht="15.75" customHeight="1">
      <c r="A147" s="146">
        <f>'Teacher Calendar'!D474</f>
        <v>46384</v>
      </c>
      <c r="B147" s="146">
        <f>'Teacher Calendar'!E474</f>
        <v>46385</v>
      </c>
      <c r="C147" s="146">
        <f>'Teacher Calendar'!F474</f>
        <v>46386</v>
      </c>
      <c r="D147" s="146">
        <f>'Teacher Calendar'!G474</f>
        <v>46387</v>
      </c>
      <c r="E147" s="146">
        <f>'Teacher Calendar'!H474</f>
        <v>46388</v>
      </c>
    </row>
    <row r="148" ht="15.75" customHeight="1">
      <c r="A148" s="77" t="str">
        <f t="array" ref="A148">IFERROR(INDEX('Teacher Calendar'!$D$475:$D$484,SMALL(IF(('Teacher Calendar'!$D$475:$D$484&lt;&gt;"")*('Teacher Calendar'!$D$475:$D$484&lt;&gt;0),ROW('Teacher Calendar'!$D$475:$D$484)-ROW('Teacher Calendar'!$D$475)+1),1)),"")</f>
        <v/>
      </c>
      <c r="B148" s="77" t="str">
        <f t="array" ref="B148">IFERROR(INDEX('Teacher Calendar'!$E$475:$E$484,SMALL(IF(('Teacher Calendar'!$E$475:$E$484&lt;&gt;"")*('Teacher Calendar'!$E$475:$E$484&lt;&gt;0),ROW('Teacher Calendar'!$E$475:$E$484)-ROW('Teacher Calendar'!$E$475)+1),1)),"")</f>
        <v/>
      </c>
      <c r="C148" s="77" t="str">
        <f t="array" ref="C148">IFERROR(INDEX('Teacher Calendar'!$F$475:$F$484,SMALL(IF(('Teacher Calendar'!$F$475:$F$484&lt;&gt;"")*('Teacher Calendar'!$F$475:$F$484&lt;&gt;0),ROW('Teacher Calendar'!$F$475:$F$484)-ROW('Teacher Calendar'!$F$475)+1),1)),"")</f>
        <v/>
      </c>
      <c r="D148" s="77" t="str">
        <f t="array" ref="D148">IFERROR(INDEX('Teacher Calendar'!$G$475:$G$484,SMALL(IF(('Teacher Calendar'!$G$475:$G$484&lt;&gt;"")*('Teacher Calendar'!$G$475:$G$484&lt;&gt;0),ROW('Teacher Calendar'!$G$475:$G$484)-ROW('Teacher Calendar'!$G$475)+1),1)),"")</f>
        <v/>
      </c>
      <c r="E148" s="77" t="str">
        <f t="array" ref="E148">IFERROR(INDEX('Teacher Calendar'!$H$475:$H$484,SMALL(IF(('Teacher Calendar'!$H$475:$H$484&lt;&gt;"")*('Teacher Calendar'!$H$475:$H$484&lt;&gt;0),ROW('Teacher Calendar'!$H$475:$H$484)-ROW('Teacher Calendar'!$H$475)+1),1)),"")</f>
        <v/>
      </c>
    </row>
    <row r="149" ht="15.75" customHeight="1">
      <c r="A149" s="77" t="str">
        <f t="array" ref="A149">IFERROR(INDEX('Teacher Calendar'!$D$475:$D$484,SMALL(IF(('Teacher Calendar'!$D$475:$D$484&lt;&gt;"")*('Teacher Calendar'!$D$475:$D$484&lt;&gt;0),ROW('Teacher Calendar'!$D$475:$D$484)-ROW('Teacher Calendar'!$D$475)+1),2)),"")</f>
        <v/>
      </c>
      <c r="B149" s="77" t="str">
        <f t="array" ref="B149">IFERROR(INDEX('Teacher Calendar'!$E$475:$E$484,SMALL(IF(('Teacher Calendar'!$E$475:$E$484&lt;&gt;"")*('Teacher Calendar'!$E$475:$E$484&lt;&gt;0),ROW('Teacher Calendar'!$E$475:$E$484)-ROW('Teacher Calendar'!$E$475)+1),2)),"")</f>
        <v/>
      </c>
      <c r="C149" s="77" t="str">
        <f t="array" ref="C149">IFERROR(INDEX('Teacher Calendar'!$F$475:$F$484,SMALL(IF(('Teacher Calendar'!$F$475:$F$484&lt;&gt;"")*('Teacher Calendar'!$F$475:$F$484&lt;&gt;0),ROW('Teacher Calendar'!$F$475:$F$484)-ROW('Teacher Calendar'!$F$475)+1),2)),"")</f>
        <v/>
      </c>
      <c r="D149" s="77" t="str">
        <f t="array" ref="D149">IFERROR(INDEX('Teacher Calendar'!$G$475:$G$484,SMALL(IF(('Teacher Calendar'!$G$475:$G$484&lt;&gt;"")*('Teacher Calendar'!$G$475:$G$484&lt;&gt;0),ROW('Teacher Calendar'!$G$475:$G$484)-ROW('Teacher Calendar'!$G$475)+1),2)),"")</f>
        <v/>
      </c>
      <c r="E149" s="77" t="str">
        <f t="array" ref="E149">IFERROR(INDEX('Teacher Calendar'!$H$475:$H$484,SMALL(IF(('Teacher Calendar'!$H$475:$H$484&lt;&gt;"")*('Teacher Calendar'!$H$475:$H$484&lt;&gt;0),ROW('Teacher Calendar'!$H$475:$H$484)-ROW('Teacher Calendar'!$H$475)+1),2)),"")</f>
        <v/>
      </c>
    </row>
    <row r="150" ht="15.75" customHeight="1">
      <c r="A150" s="77" t="str">
        <f t="array" ref="A150">IFERROR(INDEX('Teacher Calendar'!$D$475:$D$484,SMALL(IF(('Teacher Calendar'!$D$475:$D$484&lt;&gt;"")*('Teacher Calendar'!$D$475:$D$484&lt;&gt;0),ROW('Teacher Calendar'!$D$475:$D$484)-ROW('Teacher Calendar'!$D$475)+1),3)),"")</f>
        <v/>
      </c>
      <c r="B150" s="77" t="str">
        <f t="array" ref="B150">IFERROR(INDEX('Teacher Calendar'!$E$475:$E$484,SMALL(IF(('Teacher Calendar'!$E$475:$E$484&lt;&gt;"")*('Teacher Calendar'!$E$475:$E$484&lt;&gt;0),ROW('Teacher Calendar'!$E$475:$E$484)-ROW('Teacher Calendar'!$E$475)+1),3)),"")</f>
        <v/>
      </c>
      <c r="C150" s="77" t="str">
        <f t="array" ref="C150">IFERROR(INDEX('Teacher Calendar'!$F$475:$F$484,SMALL(IF(('Teacher Calendar'!$F$475:$F$484&lt;&gt;"")*('Teacher Calendar'!$F$475:$F$484&lt;&gt;0),ROW('Teacher Calendar'!$F$475:$F$484)-ROW('Teacher Calendar'!$F$475)+1),3)),"")</f>
        <v/>
      </c>
      <c r="D150" s="77" t="str">
        <f t="array" ref="D150">IFERROR(INDEX('Teacher Calendar'!$G$475:$G$484,SMALL(IF(('Teacher Calendar'!$G$475:$G$484&lt;&gt;"")*('Teacher Calendar'!$G$475:$G$484&lt;&gt;0),ROW('Teacher Calendar'!$G$475:$G$484)-ROW('Teacher Calendar'!$G$475)+1),3)),"")</f>
        <v/>
      </c>
      <c r="E150" s="77" t="str">
        <f t="array" ref="E150">IFERROR(INDEX('Teacher Calendar'!$H$475:$H$484,SMALL(IF(('Teacher Calendar'!$H$475:$H$484&lt;&gt;"")*('Teacher Calendar'!$H$475:$H$484&lt;&gt;0),ROW('Teacher Calendar'!$H$475:$H$484)-ROW('Teacher Calendar'!$H$475)+1),3)),"")</f>
        <v/>
      </c>
    </row>
    <row r="151" ht="15.75" customHeight="1">
      <c r="A151" s="77" t="str">
        <f t="array" ref="A151">IFERROR(INDEX('Teacher Calendar'!$D$475:$D$484,SMALL(IF(('Teacher Calendar'!$D$475:$D$484&lt;&gt;"")*('Teacher Calendar'!$D$475:$D$484&lt;&gt;0),ROW('Teacher Calendar'!$D$475:$D$484)-ROW('Teacher Calendar'!$D$475)+1),4)),"")</f>
        <v/>
      </c>
      <c r="B151" s="77" t="str">
        <f t="array" ref="B151">IFERROR(INDEX('Teacher Calendar'!$E$475:$E$484,SMALL(IF(('Teacher Calendar'!$E$475:$E$484&lt;&gt;"")*('Teacher Calendar'!$E$475:$E$484&lt;&gt;0),ROW('Teacher Calendar'!$E$475:$E$484)-ROW('Teacher Calendar'!$E$475)+1),4)),"")</f>
        <v/>
      </c>
      <c r="C151" s="77" t="str">
        <f t="array" ref="C151">IFERROR(INDEX('Teacher Calendar'!$F$475:$F$484,SMALL(IF(('Teacher Calendar'!$F$475:$F$484&lt;&gt;"")*('Teacher Calendar'!$F$475:$F$484&lt;&gt;0),ROW('Teacher Calendar'!$F$475:$F$484)-ROW('Teacher Calendar'!$F$475)+1),4)),"")</f>
        <v/>
      </c>
      <c r="D151" s="77" t="str">
        <f t="array" ref="D151">IFERROR(INDEX('Teacher Calendar'!$G$475:$G$484,SMALL(IF(('Teacher Calendar'!$G$475:$G$484&lt;&gt;"")*('Teacher Calendar'!$G$475:$G$484&lt;&gt;0),ROW('Teacher Calendar'!$G$475:$G$484)-ROW('Teacher Calendar'!$G$475)+1),4)),"")</f>
        <v/>
      </c>
      <c r="E151" s="77" t="str">
        <f t="array" ref="E151">IFERROR(INDEX('Teacher Calendar'!$H$475:$H$484,SMALL(IF(('Teacher Calendar'!$H$475:$H$484&lt;&gt;"")*('Teacher Calendar'!$H$475:$H$484&lt;&gt;0),ROW('Teacher Calendar'!$H$475:$H$484)-ROW('Teacher Calendar'!$H$475)+1),4)),"")</f>
        <v/>
      </c>
    </row>
    <row r="152" ht="15.75" customHeight="1">
      <c r="A152" s="77" t="str">
        <f t="array" ref="A152">IFERROR(INDEX('Teacher Calendar'!$D$475:$D$484,SMALL(IF(('Teacher Calendar'!$D$475:$D$484&lt;&gt;"")*('Teacher Calendar'!$D$475:$D$484&lt;&gt;0),ROW('Teacher Calendar'!$D$475:$D$484)-ROW('Teacher Calendar'!$D$475)+1),5)),"")</f>
        <v/>
      </c>
      <c r="B152" s="77" t="str">
        <f t="array" ref="B152">IFERROR(INDEX('Teacher Calendar'!$E$475:$E$484,SMALL(IF(('Teacher Calendar'!$E$475:$E$484&lt;&gt;"")*('Teacher Calendar'!$E$475:$E$484&lt;&gt;0),ROW('Teacher Calendar'!$E$475:$E$484)-ROW('Teacher Calendar'!$E$475)+1),5)),"")</f>
        <v/>
      </c>
      <c r="C152" s="77" t="str">
        <f t="array" ref="C152">IFERROR(INDEX('Teacher Calendar'!$F$475:$F$484,SMALL(IF(('Teacher Calendar'!$F$475:$F$484&lt;&gt;"")*('Teacher Calendar'!$F$475:$F$484&lt;&gt;0),ROW('Teacher Calendar'!$F$475:$F$484)-ROW('Teacher Calendar'!$F$475)+1),5)),"")</f>
        <v/>
      </c>
      <c r="D152" s="77" t="str">
        <f t="array" ref="D152">IFERROR(INDEX('Teacher Calendar'!$G$475:$G$484,SMALL(IF(('Teacher Calendar'!$G$475:$G$484&lt;&gt;"")*('Teacher Calendar'!$G$475:$G$484&lt;&gt;0),ROW('Teacher Calendar'!$G$475:$G$484)-ROW('Teacher Calendar'!$G$475)+1),5)),"")</f>
        <v/>
      </c>
      <c r="E152" s="77" t="str">
        <f t="array" ref="E152">IFERROR(INDEX('Teacher Calendar'!$H$475:$H$484,SMALL(IF(('Teacher Calendar'!$H$475:$H$484&lt;&gt;"")*('Teacher Calendar'!$H$475:$H$484&lt;&gt;0),ROW('Teacher Calendar'!$H$475:$H$484)-ROW('Teacher Calendar'!$H$475)+1),5)),"")</f>
        <v/>
      </c>
    </row>
    <row r="153" ht="15.75" customHeight="1">
      <c r="A153" s="77" t="str">
        <f t="array" ref="A153">IFERROR(INDEX('Teacher Calendar'!$D$475:$D$484,SMALL(IF(('Teacher Calendar'!$D$475:$D$484&lt;&gt;"")*('Teacher Calendar'!$D$475:$D$484&lt;&gt;0),ROW('Teacher Calendar'!$D$475:$D$484)-ROW('Teacher Calendar'!$D$475)+1),6)),"")</f>
        <v/>
      </c>
      <c r="B153" s="77" t="str">
        <f t="array" ref="B153">IFERROR(INDEX('Teacher Calendar'!$E$475:$E$484,SMALL(IF(('Teacher Calendar'!$E$475:$E$484&lt;&gt;"")*('Teacher Calendar'!$E$475:$E$484&lt;&gt;0),ROW('Teacher Calendar'!$E$475:$E$484)-ROW('Teacher Calendar'!$E$475)+1),6)),"")</f>
        <v/>
      </c>
      <c r="C153" s="77" t="str">
        <f t="array" ref="C153">IFERROR(INDEX('Teacher Calendar'!$F$475:$F$484,SMALL(IF(('Teacher Calendar'!$F$475:$F$484&lt;&gt;"")*('Teacher Calendar'!$F$475:$F$484&lt;&gt;0),ROW('Teacher Calendar'!$F$475:$F$484)-ROW('Teacher Calendar'!$F$475)+1),6)),"")</f>
        <v/>
      </c>
      <c r="D153" s="77" t="str">
        <f t="array" ref="D153">IFERROR(INDEX('Teacher Calendar'!$G$475:$G$484,SMALL(IF(('Teacher Calendar'!$G$475:$G$484&lt;&gt;"")*('Teacher Calendar'!$G$475:$G$484&lt;&gt;0),ROW('Teacher Calendar'!$G$475:$G$484)-ROW('Teacher Calendar'!$G$475)+1),6)),"")</f>
        <v/>
      </c>
      <c r="E153" s="77" t="str">
        <f t="array" ref="E153">IFERROR(INDEX('Teacher Calendar'!$H$475:$H$484,SMALL(IF(('Teacher Calendar'!$H$475:$H$484&lt;&gt;"")*('Teacher Calendar'!$H$475:$H$484&lt;&gt;0),ROW('Teacher Calendar'!$H$475:$H$484)-ROW('Teacher Calendar'!$H$475)+1),6)),"")</f>
        <v/>
      </c>
    </row>
    <row r="154" ht="15.75" customHeight="1">
      <c r="A154" s="77" t="str">
        <f t="array" ref="A154">IFERROR(INDEX('Teacher Calendar'!$D$475:$D$484,SMALL(IF(('Teacher Calendar'!$D$475:$D$484&lt;&gt;"")*('Teacher Calendar'!$D$475:$D$484&lt;&gt;0),ROW('Teacher Calendar'!$D$475:$D$484)-ROW('Teacher Calendar'!$D$475)+1),7)),"")</f>
        <v/>
      </c>
      <c r="B154" s="77" t="str">
        <f t="array" ref="B154">IFERROR(INDEX('Teacher Calendar'!$E$475:$E$484,SMALL(IF(('Teacher Calendar'!$E$475:$E$484&lt;&gt;"")*('Teacher Calendar'!$E$475:$E$484&lt;&gt;0),ROW('Teacher Calendar'!$E$475:$E$484)-ROW('Teacher Calendar'!$E$475)+1),7)),"")</f>
        <v/>
      </c>
      <c r="C154" s="77" t="str">
        <f t="array" ref="C154">IFERROR(INDEX('Teacher Calendar'!$F$475:$F$484,SMALL(IF(('Teacher Calendar'!$F$475:$F$484&lt;&gt;"")*('Teacher Calendar'!$F$475:$F$484&lt;&gt;0),ROW('Teacher Calendar'!$F$475:$F$484)-ROW('Teacher Calendar'!$F$475)+1),7)),"")</f>
        <v/>
      </c>
      <c r="D154" s="77" t="str">
        <f t="array" ref="D154">IFERROR(INDEX('Teacher Calendar'!$G$475:$G$484,SMALL(IF(('Teacher Calendar'!$G$475:$G$484&lt;&gt;"")*('Teacher Calendar'!$G$475:$G$484&lt;&gt;0),ROW('Teacher Calendar'!$G$475:$G$484)-ROW('Teacher Calendar'!$G$475)+1),7)),"")</f>
        <v/>
      </c>
      <c r="E154" s="77" t="str">
        <f t="array" ref="E154">IFERROR(INDEX('Teacher Calendar'!$H$475:$H$484,SMALL(IF(('Teacher Calendar'!$H$475:$H$484&lt;&gt;"")*('Teacher Calendar'!$H$475:$H$484&lt;&gt;0),ROW('Teacher Calendar'!$H$475:$H$484)-ROW('Teacher Calendar'!$H$475)+1),7)),"")</f>
        <v/>
      </c>
    </row>
    <row r="155" ht="15.75" customHeight="1">
      <c r="A155" s="146">
        <f>'Teacher Calendar'!D501</f>
        <v>46391</v>
      </c>
      <c r="B155" s="146">
        <f>'Teacher Calendar'!E501</f>
        <v>46392</v>
      </c>
      <c r="C155" s="146">
        <f>'Teacher Calendar'!F501</f>
        <v>46393</v>
      </c>
      <c r="D155" s="146">
        <f>'Teacher Calendar'!G501</f>
        <v>46394</v>
      </c>
      <c r="E155" s="146">
        <f>'Teacher Calendar'!H501</f>
        <v>46395</v>
      </c>
    </row>
    <row r="156" ht="15.75" customHeight="1">
      <c r="A156" s="131" t="str">
        <f t="array" ref="A156">IFERROR(INDEX('Teacher Calendar'!$D$502:$D$511,SMALL(IF(('Teacher Calendar'!$D$502:$D$511&lt;&gt;"")*('Teacher Calendar'!$D$502:$D$511&lt;&gt;0),ROW('Teacher Calendar'!$D$502:$D$511)-ROW('Teacher Calendar'!$D$502)+1),1)),"")</f>
        <v>5.3: Sound</v>
      </c>
      <c r="B156" s="131" t="str">
        <f t="array" ref="B156">IFERROR(INDEX('Teacher Calendar'!$E$502:$E$511,SMALL(IF(('Teacher Calendar'!$E$502:$E$511&lt;&gt;"")*('Teacher Calendar'!$E$502:$E$511&lt;&gt;0),ROW('Teacher Calendar'!$E$502:$E$511)-ROW('Teacher Calendar'!$E$502)+1),1)),"")</f>
        <v>5.3: Sound</v>
      </c>
      <c r="C156" s="131" t="str">
        <f t="array" ref="C156">IFERROR(INDEX('Teacher Calendar'!$F$502:$F$511,SMALL(IF(('Teacher Calendar'!$F$502:$F$511&lt;&gt;"")*('Teacher Calendar'!$F$502:$F$511&lt;&gt;0),ROW('Teacher Calendar'!$F$502:$F$511)-ROW('Teacher Calendar'!$F$502)+1),1)),"")</f>
        <v>5.4: Refl/Refr/Res</v>
      </c>
      <c r="D156" s="131" t="str">
        <f t="array" ref="D156">IFERROR(INDEX('Teacher Calendar'!$G$502:$G$511,SMALL(IF(('Teacher Calendar'!$G$502:$G$511&lt;&gt;"")*('Teacher Calendar'!$G$502:$G$511&lt;&gt;0),ROW('Teacher Calendar'!$G$502:$G$511)-ROW('Teacher Calendar'!$G$502)+1),1)),"")</f>
        <v>5.4: Refl/Refr/Res</v>
      </c>
      <c r="E156" s="131" t="str">
        <f t="array" ref="E156">IFERROR(INDEX('Teacher Calendar'!$H$502:$H$511,SMALL(IF(('Teacher Calendar'!$H$502:$H$511&lt;&gt;"")*('Teacher Calendar'!$H$502:$H$511&lt;&gt;0),ROW('Teacher Calendar'!$H$502:$H$511)-ROW('Teacher Calendar'!$H$502)+1),1)),"")</f>
        <v>5.4: Refl/Refr/Res</v>
      </c>
    </row>
    <row r="157" ht="15.75" customHeight="1">
      <c r="A157" s="67" t="str">
        <f t="array" ref="A157">IFERROR(INDEX('Teacher Calendar'!$D$502:$D$511,SMALL(IF(('Teacher Calendar'!$D$502:$D$511&lt;&gt;"")*('Teacher Calendar'!$D$502:$D$511&lt;&gt;0),ROW('Teacher Calendar'!$D$502:$D$511)-ROW('Teacher Calendar'!$D$502)+1),2)),"")</f>
        <v>Warm Up</v>
      </c>
      <c r="B157" s="67" t="str">
        <f t="array" ref="B157">IFERROR(INDEX('Teacher Calendar'!$E$502:$E$511,SMALL(IF(('Teacher Calendar'!$E$502:$E$511&lt;&gt;"")*('Teacher Calendar'!$E$502:$E$511&lt;&gt;0),ROW('Teacher Calendar'!$E$502:$E$511)-ROW('Teacher Calendar'!$E$502)+1),2)),"")</f>
        <v>Warm Up</v>
      </c>
      <c r="C157" s="67" t="str">
        <f t="array" ref="C157">IFERROR(INDEX('Teacher Calendar'!$F$502:$F$511,SMALL(IF(('Teacher Calendar'!$F$502:$F$511&lt;&gt;"")*('Teacher Calendar'!$F$502:$F$511&lt;&gt;0),ROW('Teacher Calendar'!$F$502:$F$511)-ROW('Teacher Calendar'!$F$502)+1),2)),"")</f>
        <v>Warm Up</v>
      </c>
      <c r="D157" s="67" t="str">
        <f t="array" ref="D157">IFERROR(INDEX('Teacher Calendar'!$G$502:$G$511,SMALL(IF(('Teacher Calendar'!$G$502:$G$511&lt;&gt;"")*('Teacher Calendar'!$G$502:$G$511&lt;&gt;0),ROW('Teacher Calendar'!$G$502:$G$511)-ROW('Teacher Calendar'!$G$502)+1),2)),"")</f>
        <v>Warm Up</v>
      </c>
      <c r="E157" s="67" t="str">
        <f t="array" ref="E157">IFERROR(INDEX('Teacher Calendar'!$H$502:$H$511,SMALL(IF(('Teacher Calendar'!$H$502:$H$511&lt;&gt;"")*('Teacher Calendar'!$H$502:$H$511&lt;&gt;0),ROW('Teacher Calendar'!$H$502:$H$511)-ROW('Teacher Calendar'!$H$502)+1),2)),"")</f>
        <v>Warm Up</v>
      </c>
    </row>
    <row r="158" ht="15.75" customHeight="1">
      <c r="A158" s="67" t="str">
        <f t="array" ref="A158">IFERROR(INDEX('Teacher Calendar'!$D$502:$D$511,SMALL(IF(('Teacher Calendar'!$D$502:$D$511&lt;&gt;"")*('Teacher Calendar'!$D$502:$D$511&lt;&gt;0),ROW('Teacher Calendar'!$D$502:$D$511)-ROW('Teacher Calendar'!$D$502)+1),3)),"")</f>
        <v>Demo</v>
      </c>
      <c r="B158" s="67" t="str">
        <f t="array" ref="B158">IFERROR(INDEX('Teacher Calendar'!$E$502:$E$511,SMALL(IF(('Teacher Calendar'!$E$502:$E$511&lt;&gt;"")*('Teacher Calendar'!$E$502:$E$511&lt;&gt;0),ROW('Teacher Calendar'!$E$502:$E$511)-ROW('Teacher Calendar'!$E$502)+1),3)),"")</f>
        <v>Demo</v>
      </c>
      <c r="C158" s="67" t="str">
        <f t="array" ref="C158">IFERROR(INDEX('Teacher Calendar'!$F$502:$F$511,SMALL(IF(('Teacher Calendar'!$F$502:$F$511&lt;&gt;"")*('Teacher Calendar'!$F$502:$F$511&lt;&gt;0),ROW('Teacher Calendar'!$F$502:$F$511)-ROW('Teacher Calendar'!$F$502)+1),3)),"")</f>
        <v>Demo</v>
      </c>
      <c r="D158" s="67" t="str">
        <f t="array" ref="D158">IFERROR(INDEX('Teacher Calendar'!$G$502:$G$511,SMALL(IF(('Teacher Calendar'!$G$502:$G$511&lt;&gt;"")*('Teacher Calendar'!$G$502:$G$511&lt;&gt;0),ROW('Teacher Calendar'!$G$502:$G$511)-ROW('Teacher Calendar'!$G$502)+1),3)),"")</f>
        <v>Demo</v>
      </c>
      <c r="E158" s="67" t="str">
        <f t="array" ref="E158">IFERROR(INDEX('Teacher Calendar'!$H$502:$H$511,SMALL(IF(('Teacher Calendar'!$H$502:$H$511&lt;&gt;"")*('Teacher Calendar'!$H$502:$H$511&lt;&gt;0),ROW('Teacher Calendar'!$H$502:$H$511)-ROW('Teacher Calendar'!$H$502)+1),3)),"")</f>
        <v>Demo</v>
      </c>
    </row>
    <row r="159" ht="15.75" customHeight="1">
      <c r="A159" s="67" t="str">
        <f t="array" ref="A159">IFERROR(INDEX('Teacher Calendar'!$D$502:$D$511,SMALL(IF(('Teacher Calendar'!$D$502:$D$511&lt;&gt;"")*('Teacher Calendar'!$D$502:$D$511&lt;&gt;0),ROW('Teacher Calendar'!$D$502:$D$511)-ROW('Teacher Calendar'!$D$502)+1),4)),"")</f>
        <v>Notes</v>
      </c>
      <c r="B159" s="67" t="str">
        <f t="array" ref="B159">IFERROR(INDEX('Teacher Calendar'!$E$502:$E$511,SMALL(IF(('Teacher Calendar'!$E$502:$E$511&lt;&gt;"")*('Teacher Calendar'!$E$502:$E$511&lt;&gt;0),ROW('Teacher Calendar'!$E$502:$E$511)-ROW('Teacher Calendar'!$E$502)+1),4)),"")</f>
        <v>Notes</v>
      </c>
      <c r="C159" s="67" t="str">
        <f t="array" ref="C159">IFERROR(INDEX('Teacher Calendar'!$F$502:$F$511,SMALL(IF(('Teacher Calendar'!$F$502:$F$511&lt;&gt;"")*('Teacher Calendar'!$F$502:$F$511&lt;&gt;0),ROW('Teacher Calendar'!$F$502:$F$511)-ROW('Teacher Calendar'!$F$502)+1),4)),"")</f>
        <v>Notes</v>
      </c>
      <c r="D159" s="67" t="str">
        <f t="array" ref="D159">IFERROR(INDEX('Teacher Calendar'!$G$502:$G$511,SMALL(IF(('Teacher Calendar'!$G$502:$G$511&lt;&gt;"")*('Teacher Calendar'!$G$502:$G$511&lt;&gt;0),ROW('Teacher Calendar'!$G$502:$G$511)-ROW('Teacher Calendar'!$G$502)+1),4)),"")</f>
        <v>Notes</v>
      </c>
      <c r="E159" s="67" t="str">
        <f t="array" ref="E159">IFERROR(INDEX('Teacher Calendar'!$H$502:$H$511,SMALL(IF(('Teacher Calendar'!$H$502:$H$511&lt;&gt;"")*('Teacher Calendar'!$H$502:$H$511&lt;&gt;0),ROW('Teacher Calendar'!$H$502:$H$511)-ROW('Teacher Calendar'!$H$502)+1),4)),"")</f>
        <v>Notes</v>
      </c>
    </row>
    <row r="160" ht="15.75" customHeight="1">
      <c r="A160" s="67" t="str">
        <f t="array" ref="A160">IFERROR(INDEX('Teacher Calendar'!$D$502:$D$511,SMALL(IF(('Teacher Calendar'!$D$502:$D$511&lt;&gt;"")*('Teacher Calendar'!$D$502:$D$511&lt;&gt;0),ROW('Teacher Calendar'!$D$502:$D$511)-ROW('Teacher Calendar'!$D$502)+1),5)),"")</f>
        <v>Investigation</v>
      </c>
      <c r="B160" s="67" t="str">
        <f t="array" ref="B160">IFERROR(INDEX('Teacher Calendar'!$E$502:$E$511,SMALL(IF(('Teacher Calendar'!$E$502:$E$511&lt;&gt;"")*('Teacher Calendar'!$E$502:$E$511&lt;&gt;0),ROW('Teacher Calendar'!$E$502:$E$511)-ROW('Teacher Calendar'!$E$502)+1),5)),"")</f>
        <v>Investigation</v>
      </c>
      <c r="C160" s="67" t="str">
        <f t="array" ref="C160">IFERROR(INDEX('Teacher Calendar'!$F$502:$F$511,SMALL(IF(('Teacher Calendar'!$F$502:$F$511&lt;&gt;"")*('Teacher Calendar'!$F$502:$F$511&lt;&gt;0),ROW('Teacher Calendar'!$F$502:$F$511)-ROW('Teacher Calendar'!$F$502)+1),5)),"")</f>
        <v>Investigation</v>
      </c>
      <c r="D160" s="67" t="str">
        <f t="array" ref="D160">IFERROR(INDEX('Teacher Calendar'!$G$502:$G$511,SMALL(IF(('Teacher Calendar'!$G$502:$G$511&lt;&gt;"")*('Teacher Calendar'!$G$502:$G$511&lt;&gt;0),ROW('Teacher Calendar'!$G$502:$G$511)-ROW('Teacher Calendar'!$G$502)+1),5)),"")</f>
        <v>Investigation</v>
      </c>
      <c r="E160" s="67" t="str">
        <f t="array" ref="E160">IFERROR(INDEX('Teacher Calendar'!$H$502:$H$511,SMALL(IF(('Teacher Calendar'!$H$502:$H$511&lt;&gt;"")*('Teacher Calendar'!$H$502:$H$511&lt;&gt;0),ROW('Teacher Calendar'!$H$502:$H$511)-ROW('Teacher Calendar'!$H$502)+1),5)),"")</f>
        <v>Investigation</v>
      </c>
    </row>
    <row r="161" ht="15.75" customHeight="1">
      <c r="A161" s="67" t="str">
        <f t="array" ref="A161">IFERROR(INDEX('Teacher Calendar'!$D$502:$D$511,SMALL(IF(('Teacher Calendar'!$D$502:$D$511&lt;&gt;"")*('Teacher Calendar'!$D$502:$D$511&lt;&gt;0),ROW('Teacher Calendar'!$D$502:$D$511)-ROW('Teacher Calendar'!$D$502)+1),6)),"")</f>
        <v>Activity</v>
      </c>
      <c r="B161" s="67" t="str">
        <f t="array" ref="B161">IFERROR(INDEX('Teacher Calendar'!$E$502:$E$511,SMALL(IF(('Teacher Calendar'!$E$502:$E$511&lt;&gt;"")*('Teacher Calendar'!$E$502:$E$511&lt;&gt;0),ROW('Teacher Calendar'!$E$502:$E$511)-ROW('Teacher Calendar'!$E$502)+1),6)),"")</f>
        <v>Activity</v>
      </c>
      <c r="C161" s="67" t="str">
        <f t="array" ref="C161">IFERROR(INDEX('Teacher Calendar'!$F$502:$F$511,SMALL(IF(('Teacher Calendar'!$F$502:$F$511&lt;&gt;"")*('Teacher Calendar'!$F$502:$F$511&lt;&gt;0),ROW('Teacher Calendar'!$F$502:$F$511)-ROW('Teacher Calendar'!$F$502)+1),6)),"")</f>
        <v>Activity</v>
      </c>
      <c r="D161" s="67" t="str">
        <f t="array" ref="D161">IFERROR(INDEX('Teacher Calendar'!$G$502:$G$511,SMALL(IF(('Teacher Calendar'!$G$502:$G$511&lt;&gt;"")*('Teacher Calendar'!$G$502:$G$511&lt;&gt;0),ROW('Teacher Calendar'!$G$502:$G$511)-ROW('Teacher Calendar'!$G$502)+1),6)),"")</f>
        <v>Activity</v>
      </c>
      <c r="E161" s="67" t="str">
        <f t="array" ref="E161">IFERROR(INDEX('Teacher Calendar'!$H$502:$H$511,SMALL(IF(('Teacher Calendar'!$H$502:$H$511&lt;&gt;"")*('Teacher Calendar'!$H$502:$H$511&lt;&gt;0),ROW('Teacher Calendar'!$H$502:$H$511)-ROW('Teacher Calendar'!$H$502)+1),6)),"")</f>
        <v>Activity</v>
      </c>
    </row>
    <row r="162" ht="15.75" customHeight="1">
      <c r="A162" s="67" t="str">
        <f t="array" ref="A162">IFERROR(INDEX('Teacher Calendar'!$D$502:$D$511,SMALL(IF(('Teacher Calendar'!$D$502:$D$511&lt;&gt;"")*('Teacher Calendar'!$D$502:$D$511&lt;&gt;0),ROW('Teacher Calendar'!$D$502:$D$511)-ROW('Teacher Calendar'!$D$502)+1),7)),"")</f>
        <v>Practice Set</v>
      </c>
      <c r="B162" s="67" t="str">
        <f t="array" ref="B162">IFERROR(INDEX('Teacher Calendar'!$E$502:$E$511,SMALL(IF(('Teacher Calendar'!$E$502:$E$511&lt;&gt;"")*('Teacher Calendar'!$E$502:$E$511&lt;&gt;0),ROW('Teacher Calendar'!$E$502:$E$511)-ROW('Teacher Calendar'!$E$502)+1),7)),"")</f>
        <v>Practice Set</v>
      </c>
      <c r="C162" s="67" t="str">
        <f t="array" ref="C162">IFERROR(INDEX('Teacher Calendar'!$F$502:$F$511,SMALL(IF(('Teacher Calendar'!$F$502:$F$511&lt;&gt;"")*('Teacher Calendar'!$F$502:$F$511&lt;&gt;0),ROW('Teacher Calendar'!$F$502:$F$511)-ROW('Teacher Calendar'!$F$502)+1),7)),"")</f>
        <v>Practice Set</v>
      </c>
      <c r="D162" s="67" t="str">
        <f t="array" ref="D162">IFERROR(INDEX('Teacher Calendar'!$G$502:$G$511,SMALL(IF(('Teacher Calendar'!$G$502:$G$511&lt;&gt;"")*('Teacher Calendar'!$G$502:$G$511&lt;&gt;0),ROW('Teacher Calendar'!$G$502:$G$511)-ROW('Teacher Calendar'!$G$502)+1),7)),"")</f>
        <v>Practice Set</v>
      </c>
      <c r="E162" s="67" t="str">
        <f t="array" ref="E162">IFERROR(INDEX('Teacher Calendar'!$H$502:$H$511,SMALL(IF(('Teacher Calendar'!$H$502:$H$511&lt;&gt;"")*('Teacher Calendar'!$H$502:$H$511&lt;&gt;0),ROW('Teacher Calendar'!$H$502:$H$511)-ROW('Teacher Calendar'!$H$502)+1),7)),"")</f>
        <v>Practice Set</v>
      </c>
    </row>
    <row r="163" ht="15.75" customHeight="1">
      <c r="A163" s="146">
        <f>'Teacher Calendar'!D528</f>
        <v>46398</v>
      </c>
      <c r="B163" s="146">
        <f>'Teacher Calendar'!E528</f>
        <v>46399</v>
      </c>
      <c r="C163" s="146">
        <f>'Teacher Calendar'!F528</f>
        <v>46400</v>
      </c>
      <c r="D163" s="146">
        <f>'Teacher Calendar'!G528</f>
        <v>46401</v>
      </c>
      <c r="E163" s="146">
        <f>'Teacher Calendar'!H528</f>
        <v>46402</v>
      </c>
    </row>
    <row r="164" ht="15.75" customHeight="1">
      <c r="A164" s="131" t="str">
        <f t="array" ref="A164">IFERROR(INDEX('Teacher Calendar'!$D$529:$D$538,SMALL(IF(('Teacher Calendar'!$D$529:$D$538&lt;&gt;"")*('Teacher Calendar'!$D$529:$D$538&lt;&gt;0),ROW('Teacher Calendar'!$D$529:$D$538)-ROW('Teacher Calendar'!$D$529)+1),1)),"")</f>
        <v>5.5: Beats &amp; Interf</v>
      </c>
      <c r="B164" s="131" t="str">
        <f t="array" ref="B164">IFERROR(INDEX('Teacher Calendar'!$E$529:$E$538,SMALL(IF(('Teacher Calendar'!$E$529:$E$538&lt;&gt;"")*('Teacher Calendar'!$E$529:$E$538&lt;&gt;0),ROW('Teacher Calendar'!$E$529:$E$538)-ROW('Teacher Calendar'!$E$529)+1),1)),"")</f>
        <v>5.5: Beats &amp; Interf</v>
      </c>
      <c r="C164" s="131" t="str">
        <f t="array" ref="C164">IFERROR(INDEX('Teacher Calendar'!$F$529:$F$538,SMALL(IF(('Teacher Calendar'!$F$529:$F$538&lt;&gt;"")*('Teacher Calendar'!$F$529:$F$538&lt;&gt;0),ROW('Teacher Calendar'!$F$529:$F$538)-ROW('Teacher Calendar'!$F$529)+1),1)),"")</f>
        <v>5.5: Beats &amp; Interf</v>
      </c>
      <c r="D164" s="131" t="str">
        <f t="array" ref="D164">IFERROR(INDEX('Teacher Calendar'!$G$529:$G$538,SMALL(IF(('Teacher Calendar'!$G$529:$G$538&lt;&gt;"")*('Teacher Calendar'!$G$529:$G$538&lt;&gt;0),ROW('Teacher Calendar'!$G$529:$G$538)-ROW('Teacher Calendar'!$G$529)+1),1)),"")</f>
        <v>Unit 5 Sum Assess</v>
      </c>
      <c r="E164" s="229" t="str">
        <f t="array" ref="E164">IFERROR(INDEX('Teacher Calendar'!$H$529:$H$538,SMALL(IF(('Teacher Calendar'!$H$529:$H$538&lt;&gt;"")*('Teacher Calendar'!$H$529:$H$538&lt;&gt;0),ROW('Teacher Calendar'!$H$529:$H$538)-ROW('Teacher Calendar'!$H$529)+1),1)),"")</f>
        <v>6.1: Nature of Light</v>
      </c>
    </row>
    <row r="165" ht="15.75" customHeight="1">
      <c r="A165" s="67" t="str">
        <f t="array" ref="A165">IFERROR(INDEX('Teacher Calendar'!$D$529:$D$538,SMALL(IF(('Teacher Calendar'!$D$529:$D$538&lt;&gt;"")*('Teacher Calendar'!$D$529:$D$538&lt;&gt;0),ROW('Teacher Calendar'!$D$529:$D$538)-ROW('Teacher Calendar'!$D$529)+1),2)),"")</f>
        <v>Warm Up</v>
      </c>
      <c r="B165" s="67" t="str">
        <f t="array" ref="B165">IFERROR(INDEX('Teacher Calendar'!$E$529:$E$538,SMALL(IF(('Teacher Calendar'!$E$529:$E$538&lt;&gt;"")*('Teacher Calendar'!$E$529:$E$538&lt;&gt;0),ROW('Teacher Calendar'!$E$529:$E$538)-ROW('Teacher Calendar'!$E$529)+1),2)),"")</f>
        <v>Warm Up</v>
      </c>
      <c r="C165" s="67" t="str">
        <f t="array" ref="C165">IFERROR(INDEX('Teacher Calendar'!$F$529:$F$538,SMALL(IF(('Teacher Calendar'!$F$529:$F$538&lt;&gt;"")*('Teacher Calendar'!$F$529:$F$538&lt;&gt;0),ROW('Teacher Calendar'!$F$529:$F$538)-ROW('Teacher Calendar'!$F$529)+1),2)),"")</f>
        <v>Warm Up</v>
      </c>
      <c r="D165" s="131" t="str">
        <f t="array" ref="D165">IFERROR(INDEX('Teacher Calendar'!$G$529:$G$538,SMALL(IF(('Teacher Calendar'!$G$529:$G$538&lt;&gt;"")*('Teacher Calendar'!$G$529:$G$538&lt;&gt;0),ROW('Teacher Calendar'!$G$529:$G$538)-ROW('Teacher Calendar'!$G$529)+1),2)),"")</f>
        <v/>
      </c>
      <c r="E165" s="233" t="str">
        <f t="array" ref="E165">IFERROR(INDEX('Teacher Calendar'!$H$529:$H$538,SMALL(IF(('Teacher Calendar'!$H$529:$H$538&lt;&gt;"")*('Teacher Calendar'!$H$529:$H$538&lt;&gt;0),ROW('Teacher Calendar'!$H$529:$H$538)-ROW('Teacher Calendar'!$H$529)+1),2)),"")</f>
        <v>Warm Up</v>
      </c>
    </row>
    <row r="166" ht="15.75" customHeight="1">
      <c r="A166" s="67" t="str">
        <f t="array" ref="A166">IFERROR(INDEX('Teacher Calendar'!$D$529:$D$538,SMALL(IF(('Teacher Calendar'!$D$529:$D$538&lt;&gt;"")*('Teacher Calendar'!$D$529:$D$538&lt;&gt;0),ROW('Teacher Calendar'!$D$529:$D$538)-ROW('Teacher Calendar'!$D$529)+1),3)),"")</f>
        <v>Demo</v>
      </c>
      <c r="B166" s="67" t="str">
        <f t="array" ref="B166">IFERROR(INDEX('Teacher Calendar'!$E$529:$E$538,SMALL(IF(('Teacher Calendar'!$E$529:$E$538&lt;&gt;"")*('Teacher Calendar'!$E$529:$E$538&lt;&gt;0),ROW('Teacher Calendar'!$E$529:$E$538)-ROW('Teacher Calendar'!$E$529)+1),3)),"")</f>
        <v>Demo</v>
      </c>
      <c r="C166" s="67" t="str">
        <f t="array" ref="C166">IFERROR(INDEX('Teacher Calendar'!$F$529:$F$538,SMALL(IF(('Teacher Calendar'!$F$529:$F$538&lt;&gt;"")*('Teacher Calendar'!$F$529:$F$538&lt;&gt;0),ROW('Teacher Calendar'!$F$529:$F$538)-ROW('Teacher Calendar'!$F$529)+1),3)),"")</f>
        <v>Demo</v>
      </c>
      <c r="D166" s="131" t="str">
        <f t="array" ref="D166">IFERROR(INDEX('Teacher Calendar'!$G$529:$G$538,SMALL(IF(('Teacher Calendar'!$G$529:$G$538&lt;&gt;"")*('Teacher Calendar'!$G$529:$G$538&lt;&gt;0),ROW('Teacher Calendar'!$G$529:$G$538)-ROW('Teacher Calendar'!$G$529)+1),3)),"")</f>
        <v/>
      </c>
      <c r="E166" s="233" t="str">
        <f t="array" ref="E166">IFERROR(INDEX('Teacher Calendar'!$H$529:$H$538,SMALL(IF(('Teacher Calendar'!$H$529:$H$538&lt;&gt;"")*('Teacher Calendar'!$H$529:$H$538&lt;&gt;0),ROW('Teacher Calendar'!$H$529:$H$538)-ROW('Teacher Calendar'!$H$529)+1),3)),"")</f>
        <v>Demo</v>
      </c>
    </row>
    <row r="167" ht="15.75" customHeight="1">
      <c r="A167" s="67" t="str">
        <f t="array" ref="A167">IFERROR(INDEX('Teacher Calendar'!$D$529:$D$538,SMALL(IF(('Teacher Calendar'!$D$529:$D$538&lt;&gt;"")*('Teacher Calendar'!$D$529:$D$538&lt;&gt;0),ROW('Teacher Calendar'!$D$529:$D$538)-ROW('Teacher Calendar'!$D$529)+1),4)),"")</f>
        <v>Notes</v>
      </c>
      <c r="B167" s="67" t="str">
        <f t="array" ref="B167">IFERROR(INDEX('Teacher Calendar'!$E$529:$E$538,SMALL(IF(('Teacher Calendar'!$E$529:$E$538&lt;&gt;"")*('Teacher Calendar'!$E$529:$E$538&lt;&gt;0),ROW('Teacher Calendar'!$E$529:$E$538)-ROW('Teacher Calendar'!$E$529)+1),4)),"")</f>
        <v>Notes</v>
      </c>
      <c r="C167" s="67" t="str">
        <f t="array" ref="C167">IFERROR(INDEX('Teacher Calendar'!$F$529:$F$538,SMALL(IF(('Teacher Calendar'!$F$529:$F$538&lt;&gt;"")*('Teacher Calendar'!$F$529:$F$538&lt;&gt;0),ROW('Teacher Calendar'!$F$529:$F$538)-ROW('Teacher Calendar'!$F$529)+1),4)),"")</f>
        <v>Notes</v>
      </c>
      <c r="D167" s="131" t="str">
        <f t="array" ref="D167">IFERROR(INDEX('Teacher Calendar'!$G$529:$G$538,SMALL(IF(('Teacher Calendar'!$G$529:$G$538&lt;&gt;"")*('Teacher Calendar'!$G$529:$G$538&lt;&gt;0),ROW('Teacher Calendar'!$G$529:$G$538)-ROW('Teacher Calendar'!$G$529)+1),4)),"")</f>
        <v/>
      </c>
      <c r="E167" s="233" t="str">
        <f t="array" ref="E167">IFERROR(INDEX('Teacher Calendar'!$H$529:$H$538,SMALL(IF(('Teacher Calendar'!$H$529:$H$538&lt;&gt;"")*('Teacher Calendar'!$H$529:$H$538&lt;&gt;0),ROW('Teacher Calendar'!$H$529:$H$538)-ROW('Teacher Calendar'!$H$529)+1),4)),"")</f>
        <v>Notes</v>
      </c>
    </row>
    <row r="168" ht="15.75" customHeight="1">
      <c r="A168" s="67" t="str">
        <f t="array" ref="A168">IFERROR(INDEX('Teacher Calendar'!$D$529:$D$538,SMALL(IF(('Teacher Calendar'!$D$529:$D$538&lt;&gt;"")*('Teacher Calendar'!$D$529:$D$538&lt;&gt;0),ROW('Teacher Calendar'!$D$529:$D$538)-ROW('Teacher Calendar'!$D$529)+1),5)),"")</f>
        <v>Investigation</v>
      </c>
      <c r="B168" s="67" t="str">
        <f t="array" ref="B168">IFERROR(INDEX('Teacher Calendar'!$E$529:$E$538,SMALL(IF(('Teacher Calendar'!$E$529:$E$538&lt;&gt;"")*('Teacher Calendar'!$E$529:$E$538&lt;&gt;0),ROW('Teacher Calendar'!$E$529:$E$538)-ROW('Teacher Calendar'!$E$529)+1),5)),"")</f>
        <v>Investigation</v>
      </c>
      <c r="C168" s="67" t="str">
        <f t="array" ref="C168">IFERROR(INDEX('Teacher Calendar'!$F$529:$F$538,SMALL(IF(('Teacher Calendar'!$F$529:$F$538&lt;&gt;"")*('Teacher Calendar'!$F$529:$F$538&lt;&gt;0),ROW('Teacher Calendar'!$F$529:$F$538)-ROW('Teacher Calendar'!$F$529)+1),5)),"")</f>
        <v>Investigation</v>
      </c>
      <c r="D168" s="131" t="str">
        <f t="array" ref="D168">IFERROR(INDEX('Teacher Calendar'!$G$529:$G$538,SMALL(IF(('Teacher Calendar'!$G$529:$G$538&lt;&gt;"")*('Teacher Calendar'!$G$529:$G$538&lt;&gt;0),ROW('Teacher Calendar'!$G$529:$G$538)-ROW('Teacher Calendar'!$G$529)+1),5)),"")</f>
        <v/>
      </c>
      <c r="E168" s="233" t="str">
        <f t="array" ref="E168">IFERROR(INDEX('Teacher Calendar'!$H$529:$H$538,SMALL(IF(('Teacher Calendar'!$H$529:$H$538&lt;&gt;"")*('Teacher Calendar'!$H$529:$H$538&lt;&gt;0),ROW('Teacher Calendar'!$H$529:$H$538)-ROW('Teacher Calendar'!$H$529)+1),5)),"")</f>
        <v>Investigation</v>
      </c>
    </row>
    <row r="169" ht="15.75" customHeight="1">
      <c r="A169" s="67" t="str">
        <f t="array" ref="A169">IFERROR(INDEX('Teacher Calendar'!$D$529:$D$538,SMALL(IF(('Teacher Calendar'!$D$529:$D$538&lt;&gt;"")*('Teacher Calendar'!$D$529:$D$538&lt;&gt;0),ROW('Teacher Calendar'!$D$529:$D$538)-ROW('Teacher Calendar'!$D$529)+1),6)),"")</f>
        <v>Activity</v>
      </c>
      <c r="B169" s="67" t="str">
        <f t="array" ref="B169">IFERROR(INDEX('Teacher Calendar'!$E$529:$E$538,SMALL(IF(('Teacher Calendar'!$E$529:$E$538&lt;&gt;"")*('Teacher Calendar'!$E$529:$E$538&lt;&gt;0),ROW('Teacher Calendar'!$E$529:$E$538)-ROW('Teacher Calendar'!$E$529)+1),6)),"")</f>
        <v>Activity</v>
      </c>
      <c r="C169" s="67" t="str">
        <f t="array" ref="C169">IFERROR(INDEX('Teacher Calendar'!$F$529:$F$538,SMALL(IF(('Teacher Calendar'!$F$529:$F$538&lt;&gt;"")*('Teacher Calendar'!$F$529:$F$538&lt;&gt;0),ROW('Teacher Calendar'!$F$529:$F$538)-ROW('Teacher Calendar'!$F$529)+1),6)),"")</f>
        <v>Activity</v>
      </c>
      <c r="D169" s="131" t="str">
        <f t="array" ref="D169">IFERROR(INDEX('Teacher Calendar'!$G$529:$G$538,SMALL(IF(('Teacher Calendar'!$G$529:$G$538&lt;&gt;"")*('Teacher Calendar'!$G$529:$G$538&lt;&gt;0),ROW('Teacher Calendar'!$G$529:$G$538)-ROW('Teacher Calendar'!$G$529)+1),6)),"")</f>
        <v/>
      </c>
      <c r="E169" s="233" t="str">
        <f t="array" ref="E169">IFERROR(INDEX('Teacher Calendar'!$H$529:$H$538,SMALL(IF(('Teacher Calendar'!$H$529:$H$538&lt;&gt;"")*('Teacher Calendar'!$H$529:$H$538&lt;&gt;0),ROW('Teacher Calendar'!$H$529:$H$538)-ROW('Teacher Calendar'!$H$529)+1),6)),"")</f>
        <v>Activity</v>
      </c>
    </row>
    <row r="170" ht="15.75" customHeight="1">
      <c r="A170" s="67" t="str">
        <f t="array" ref="A170">IFERROR(INDEX('Teacher Calendar'!$D$529:$D$538,SMALL(IF(('Teacher Calendar'!$D$529:$D$538&lt;&gt;"")*('Teacher Calendar'!$D$529:$D$538&lt;&gt;0),ROW('Teacher Calendar'!$D$529:$D$538)-ROW('Teacher Calendar'!$D$529)+1),7)),"")</f>
        <v>Practice Set</v>
      </c>
      <c r="B170" s="67" t="str">
        <f t="array" ref="B170">IFERROR(INDEX('Teacher Calendar'!$E$529:$E$538,SMALL(IF(('Teacher Calendar'!$E$529:$E$538&lt;&gt;"")*('Teacher Calendar'!$E$529:$E$538&lt;&gt;0),ROW('Teacher Calendar'!$E$529:$E$538)-ROW('Teacher Calendar'!$E$529)+1),7)),"")</f>
        <v>Practice Set</v>
      </c>
      <c r="C170" s="67" t="str">
        <f t="array" ref="C170">IFERROR(INDEX('Teacher Calendar'!$F$529:$F$538,SMALL(IF(('Teacher Calendar'!$F$529:$F$538&lt;&gt;"")*('Teacher Calendar'!$F$529:$F$538&lt;&gt;0),ROW('Teacher Calendar'!$F$529:$F$538)-ROW('Teacher Calendar'!$F$529)+1),7)),"")</f>
        <v>Practice Set</v>
      </c>
      <c r="D170" s="131" t="str">
        <f t="array" ref="D170">IFERROR(INDEX('Teacher Calendar'!$G$529:$G$538,SMALL(IF(('Teacher Calendar'!$G$529:$G$538&lt;&gt;"")*('Teacher Calendar'!$G$529:$G$538&lt;&gt;0),ROW('Teacher Calendar'!$G$529:$G$538)-ROW('Teacher Calendar'!$G$529)+1),7)),"")</f>
        <v/>
      </c>
      <c r="E170" s="233" t="str">
        <f t="array" ref="E170">IFERROR(INDEX('Teacher Calendar'!$H$529:$H$538,SMALL(IF(('Teacher Calendar'!$H$529:$H$538&lt;&gt;"")*('Teacher Calendar'!$H$529:$H$538&lt;&gt;0),ROW('Teacher Calendar'!$H$529:$H$538)-ROW('Teacher Calendar'!$H$529)+1),7)),"")</f>
        <v>Practice Set</v>
      </c>
    </row>
    <row r="171" ht="15.75" customHeight="1">
      <c r="A171" s="146">
        <f>'Teacher Calendar'!D555</f>
        <v>46405</v>
      </c>
      <c r="B171" s="146">
        <f>'Teacher Calendar'!E555</f>
        <v>46406</v>
      </c>
      <c r="C171" s="146">
        <f>'Teacher Calendar'!F555</f>
        <v>46407</v>
      </c>
      <c r="D171" s="146">
        <f>'Teacher Calendar'!G555</f>
        <v>46408</v>
      </c>
      <c r="E171" s="146">
        <f>'Teacher Calendar'!H555</f>
        <v>46409</v>
      </c>
    </row>
    <row r="172" ht="15.75" customHeight="1">
      <c r="A172" s="77" t="str">
        <f t="array" ref="A172">IFERROR(INDEX('Teacher Calendar'!$D$556:$D$565,SMALL(IF(('Teacher Calendar'!$D$556:$D$565&lt;&gt;"")*('Teacher Calendar'!$D$556:$D$565&lt;&gt;0),ROW('Teacher Calendar'!$D$556:$D$565)-ROW('Teacher Calendar'!$D$556)+1),1)),"")</f>
        <v/>
      </c>
      <c r="B172" s="131" t="str">
        <f t="array" ref="B172">IFERROR(INDEX('Teacher Calendar'!$E$556:$E$565,SMALL(IF(('Teacher Calendar'!$E$556:$E$565&lt;&gt;"")*('Teacher Calendar'!$E$556:$E$565&lt;&gt;0),ROW('Teacher Calendar'!$E$556:$E$565)-ROW('Teacher Calendar'!$E$556)+1),1)),"")</f>
        <v>6.1: Nature of Light</v>
      </c>
      <c r="C172" s="131" t="str">
        <f t="array" ref="C172">IFERROR(INDEX('Teacher Calendar'!$F$556:$F$565,SMALL(IF(('Teacher Calendar'!$F$556:$F$565&lt;&gt;"")*('Teacher Calendar'!$F$556:$F$565&lt;&gt;0),ROW('Teacher Calendar'!$F$556:$F$565)-ROW('Teacher Calendar'!$F$556)+1),1)),"")</f>
        <v>6.1: Nature of Light</v>
      </c>
      <c r="D172" s="131" t="str">
        <f t="array" ref="D172">IFERROR(INDEX('Teacher Calendar'!$G$556:$G$565,SMALL(IF(('Teacher Calendar'!$G$556:$G$565&lt;&gt;"")*('Teacher Calendar'!$G$556:$G$565&lt;&gt;0),ROW('Teacher Calendar'!$G$556:$G$565)-ROW('Teacher Calendar'!$G$556)+1),1)),"")</f>
        <v>6.2: Refl &amp; Mirrors</v>
      </c>
      <c r="E172" s="131" t="str">
        <f t="array" ref="E172">IFERROR(INDEX('Teacher Calendar'!$H$556:$H$565,SMALL(IF(('Teacher Calendar'!$H$556:$H$565&lt;&gt;"")*('Teacher Calendar'!$H$556:$H$565&lt;&gt;0),ROW('Teacher Calendar'!$H$556:$H$565)-ROW('Teacher Calendar'!$H$556)+1),1)),"")</f>
        <v>6.2: Refl &amp; Mirrors</v>
      </c>
    </row>
    <row r="173" ht="15.75" customHeight="1">
      <c r="A173" s="77" t="str">
        <f t="array" ref="A173">IFERROR(INDEX('Teacher Calendar'!$D$556:$D$565,SMALL(IF(('Teacher Calendar'!$D$556:$D$565&lt;&gt;"")*('Teacher Calendar'!$D$556:$D$565&lt;&gt;0),ROW('Teacher Calendar'!$D$556:$D$565)-ROW('Teacher Calendar'!$D$556)+1),2)),"")</f>
        <v/>
      </c>
      <c r="B173" s="67" t="str">
        <f t="array" ref="B173">IFERROR(INDEX('Teacher Calendar'!$E$556:$E$565,SMALL(IF(('Teacher Calendar'!$E$556:$E$565&lt;&gt;"")*('Teacher Calendar'!$E$556:$E$565&lt;&gt;0),ROW('Teacher Calendar'!$E$556:$E$565)-ROW('Teacher Calendar'!$E$556)+1),2)),"")</f>
        <v>Warm Up</v>
      </c>
      <c r="C173" s="67" t="str">
        <f t="array" ref="C173">IFERROR(INDEX('Teacher Calendar'!$F$556:$F$565,SMALL(IF(('Teacher Calendar'!$F$556:$F$565&lt;&gt;"")*('Teacher Calendar'!$F$556:$F$565&lt;&gt;0),ROW('Teacher Calendar'!$F$556:$F$565)-ROW('Teacher Calendar'!$F$556)+1),2)),"")</f>
        <v>Warm Up</v>
      </c>
      <c r="D173" s="67" t="str">
        <f t="array" ref="D173">IFERROR(INDEX('Teacher Calendar'!$G$556:$G$565,SMALL(IF(('Teacher Calendar'!$G$556:$G$565&lt;&gt;"")*('Teacher Calendar'!$G$556:$G$565&lt;&gt;0),ROW('Teacher Calendar'!$G$556:$G$565)-ROW('Teacher Calendar'!$G$556)+1),2)),"")</f>
        <v>Warm Up</v>
      </c>
      <c r="E173" s="67" t="str">
        <f t="array" ref="E173">IFERROR(INDEX('Teacher Calendar'!$H$556:$H$565,SMALL(IF(('Teacher Calendar'!$H$556:$H$565&lt;&gt;"")*('Teacher Calendar'!$H$556:$H$565&lt;&gt;0),ROW('Teacher Calendar'!$H$556:$H$565)-ROW('Teacher Calendar'!$H$556)+1),2)),"")</f>
        <v>Warm Up</v>
      </c>
    </row>
    <row r="174" ht="15.75" customHeight="1">
      <c r="A174" s="77" t="str">
        <f t="array" ref="A174">IFERROR(INDEX('Teacher Calendar'!$D$556:$D$565,SMALL(IF(('Teacher Calendar'!$D$556:$D$565&lt;&gt;"")*('Teacher Calendar'!$D$556:$D$565&lt;&gt;0),ROW('Teacher Calendar'!$D$556:$D$565)-ROW('Teacher Calendar'!$D$556)+1),3)),"")</f>
        <v/>
      </c>
      <c r="B174" s="67" t="str">
        <f t="array" ref="B174">IFERROR(INDEX('Teacher Calendar'!$E$556:$E$565,SMALL(IF(('Teacher Calendar'!$E$556:$E$565&lt;&gt;"")*('Teacher Calendar'!$E$556:$E$565&lt;&gt;0),ROW('Teacher Calendar'!$E$556:$E$565)-ROW('Teacher Calendar'!$E$556)+1),3)),"")</f>
        <v>Demo</v>
      </c>
      <c r="C174" s="67" t="str">
        <f t="array" ref="C174">IFERROR(INDEX('Teacher Calendar'!$F$556:$F$565,SMALL(IF(('Teacher Calendar'!$F$556:$F$565&lt;&gt;"")*('Teacher Calendar'!$F$556:$F$565&lt;&gt;0),ROW('Teacher Calendar'!$F$556:$F$565)-ROW('Teacher Calendar'!$F$556)+1),3)),"")</f>
        <v>Demo</v>
      </c>
      <c r="D174" s="67" t="str">
        <f t="array" ref="D174">IFERROR(INDEX('Teacher Calendar'!$G$556:$G$565,SMALL(IF(('Teacher Calendar'!$G$556:$G$565&lt;&gt;"")*('Teacher Calendar'!$G$556:$G$565&lt;&gt;0),ROW('Teacher Calendar'!$G$556:$G$565)-ROW('Teacher Calendar'!$G$556)+1),3)),"")</f>
        <v>Demo</v>
      </c>
      <c r="E174" s="67" t="str">
        <f t="array" ref="E174">IFERROR(INDEX('Teacher Calendar'!$H$556:$H$565,SMALL(IF(('Teacher Calendar'!$H$556:$H$565&lt;&gt;"")*('Teacher Calendar'!$H$556:$H$565&lt;&gt;0),ROW('Teacher Calendar'!$H$556:$H$565)-ROW('Teacher Calendar'!$H$556)+1),3)),"")</f>
        <v>Demo</v>
      </c>
    </row>
    <row r="175" ht="15.75" customHeight="1">
      <c r="A175" s="77" t="str">
        <f t="array" ref="A175">IFERROR(INDEX('Teacher Calendar'!$D$556:$D$565,SMALL(IF(('Teacher Calendar'!$D$556:$D$565&lt;&gt;"")*('Teacher Calendar'!$D$556:$D$565&lt;&gt;0),ROW('Teacher Calendar'!$D$556:$D$565)-ROW('Teacher Calendar'!$D$556)+1),4)),"")</f>
        <v/>
      </c>
      <c r="B175" s="67" t="str">
        <f t="array" ref="B175">IFERROR(INDEX('Teacher Calendar'!$E$556:$E$565,SMALL(IF(('Teacher Calendar'!$E$556:$E$565&lt;&gt;"")*('Teacher Calendar'!$E$556:$E$565&lt;&gt;0),ROW('Teacher Calendar'!$E$556:$E$565)-ROW('Teacher Calendar'!$E$556)+1),4)),"")</f>
        <v>Notes</v>
      </c>
      <c r="C175" s="67" t="str">
        <f t="array" ref="C175">IFERROR(INDEX('Teacher Calendar'!$F$556:$F$565,SMALL(IF(('Teacher Calendar'!$F$556:$F$565&lt;&gt;"")*('Teacher Calendar'!$F$556:$F$565&lt;&gt;0),ROW('Teacher Calendar'!$F$556:$F$565)-ROW('Teacher Calendar'!$F$556)+1),4)),"")</f>
        <v>Notes</v>
      </c>
      <c r="D175" s="67" t="str">
        <f t="array" ref="D175">IFERROR(INDEX('Teacher Calendar'!$G$556:$G$565,SMALL(IF(('Teacher Calendar'!$G$556:$G$565&lt;&gt;"")*('Teacher Calendar'!$G$556:$G$565&lt;&gt;0),ROW('Teacher Calendar'!$G$556:$G$565)-ROW('Teacher Calendar'!$G$556)+1),4)),"")</f>
        <v>Notes</v>
      </c>
      <c r="E175" s="67" t="str">
        <f t="array" ref="E175">IFERROR(INDEX('Teacher Calendar'!$H$556:$H$565,SMALL(IF(('Teacher Calendar'!$H$556:$H$565&lt;&gt;"")*('Teacher Calendar'!$H$556:$H$565&lt;&gt;0),ROW('Teacher Calendar'!$H$556:$H$565)-ROW('Teacher Calendar'!$H$556)+1),4)),"")</f>
        <v>Notes</v>
      </c>
    </row>
    <row r="176" ht="15.75" customHeight="1">
      <c r="A176" s="77" t="str">
        <f t="array" ref="A176">IFERROR(INDEX('Teacher Calendar'!$D$556:$D$565,SMALL(IF(('Teacher Calendar'!$D$556:$D$565&lt;&gt;"")*('Teacher Calendar'!$D$556:$D$565&lt;&gt;0),ROW('Teacher Calendar'!$D$556:$D$565)-ROW('Teacher Calendar'!$D$556)+1),5)),"")</f>
        <v/>
      </c>
      <c r="B176" s="67" t="str">
        <f t="array" ref="B176">IFERROR(INDEX('Teacher Calendar'!$E$556:$E$565,SMALL(IF(('Teacher Calendar'!$E$556:$E$565&lt;&gt;"")*('Teacher Calendar'!$E$556:$E$565&lt;&gt;0),ROW('Teacher Calendar'!$E$556:$E$565)-ROW('Teacher Calendar'!$E$556)+1),5)),"")</f>
        <v>Investigation</v>
      </c>
      <c r="C176" s="67" t="str">
        <f t="array" ref="C176">IFERROR(INDEX('Teacher Calendar'!$F$556:$F$565,SMALL(IF(('Teacher Calendar'!$F$556:$F$565&lt;&gt;"")*('Teacher Calendar'!$F$556:$F$565&lt;&gt;0),ROW('Teacher Calendar'!$F$556:$F$565)-ROW('Teacher Calendar'!$F$556)+1),5)),"")</f>
        <v>Investigation</v>
      </c>
      <c r="D176" s="67" t="str">
        <f t="array" ref="D176">IFERROR(INDEX('Teacher Calendar'!$G$556:$G$565,SMALL(IF(('Teacher Calendar'!$G$556:$G$565&lt;&gt;"")*('Teacher Calendar'!$G$556:$G$565&lt;&gt;0),ROW('Teacher Calendar'!$G$556:$G$565)-ROW('Teacher Calendar'!$G$556)+1),5)),"")</f>
        <v>Investigation</v>
      </c>
      <c r="E176" s="67" t="str">
        <f t="array" ref="E176">IFERROR(INDEX('Teacher Calendar'!$H$556:$H$565,SMALL(IF(('Teacher Calendar'!$H$556:$H$565&lt;&gt;"")*('Teacher Calendar'!$H$556:$H$565&lt;&gt;0),ROW('Teacher Calendar'!$H$556:$H$565)-ROW('Teacher Calendar'!$H$556)+1),5)),"")</f>
        <v>Investigation</v>
      </c>
    </row>
    <row r="177" ht="15.75" customHeight="1">
      <c r="A177" s="77" t="str">
        <f t="array" ref="A177">IFERROR(INDEX('Teacher Calendar'!$D$556:$D$565,SMALL(IF(('Teacher Calendar'!$D$556:$D$565&lt;&gt;"")*('Teacher Calendar'!$D$556:$D$565&lt;&gt;0),ROW('Teacher Calendar'!$D$556:$D$565)-ROW('Teacher Calendar'!$D$556)+1),6)),"")</f>
        <v/>
      </c>
      <c r="B177" s="67" t="str">
        <f t="array" ref="B177">IFERROR(INDEX('Teacher Calendar'!$E$556:$E$565,SMALL(IF(('Teacher Calendar'!$E$556:$E$565&lt;&gt;"")*('Teacher Calendar'!$E$556:$E$565&lt;&gt;0),ROW('Teacher Calendar'!$E$556:$E$565)-ROW('Teacher Calendar'!$E$556)+1),6)),"")</f>
        <v>Activity</v>
      </c>
      <c r="C177" s="67" t="str">
        <f t="array" ref="C177">IFERROR(INDEX('Teacher Calendar'!$F$556:$F$565,SMALL(IF(('Teacher Calendar'!$F$556:$F$565&lt;&gt;"")*('Teacher Calendar'!$F$556:$F$565&lt;&gt;0),ROW('Teacher Calendar'!$F$556:$F$565)-ROW('Teacher Calendar'!$F$556)+1),6)),"")</f>
        <v>Activity</v>
      </c>
      <c r="D177" s="67" t="str">
        <f t="array" ref="D177">IFERROR(INDEX('Teacher Calendar'!$G$556:$G$565,SMALL(IF(('Teacher Calendar'!$G$556:$G$565&lt;&gt;"")*('Teacher Calendar'!$G$556:$G$565&lt;&gt;0),ROW('Teacher Calendar'!$G$556:$G$565)-ROW('Teacher Calendar'!$G$556)+1),6)),"")</f>
        <v>Activity</v>
      </c>
      <c r="E177" s="67" t="str">
        <f t="array" ref="E177">IFERROR(INDEX('Teacher Calendar'!$H$556:$H$565,SMALL(IF(('Teacher Calendar'!$H$556:$H$565&lt;&gt;"")*('Teacher Calendar'!$H$556:$H$565&lt;&gt;0),ROW('Teacher Calendar'!$H$556:$H$565)-ROW('Teacher Calendar'!$H$556)+1),6)),"")</f>
        <v>Activity</v>
      </c>
    </row>
    <row r="178" ht="15.75" customHeight="1">
      <c r="A178" s="77" t="str">
        <f t="array" ref="A178">IFERROR(INDEX('Teacher Calendar'!$D$556:$D$565,SMALL(IF(('Teacher Calendar'!$D$556:$D$565&lt;&gt;"")*('Teacher Calendar'!$D$556:$D$565&lt;&gt;0),ROW('Teacher Calendar'!$D$556:$D$565)-ROW('Teacher Calendar'!$D$556)+1),7)),"")</f>
        <v/>
      </c>
      <c r="B178" s="67" t="str">
        <f t="array" ref="B178">IFERROR(INDEX('Teacher Calendar'!$E$556:$E$565,SMALL(IF(('Teacher Calendar'!$E$556:$E$565&lt;&gt;"")*('Teacher Calendar'!$E$556:$E$565&lt;&gt;0),ROW('Teacher Calendar'!$E$556:$E$565)-ROW('Teacher Calendar'!$E$556)+1),7)),"")</f>
        <v>Practice Set</v>
      </c>
      <c r="C178" s="67" t="str">
        <f t="array" ref="C178">IFERROR(INDEX('Teacher Calendar'!$F$556:$F$565,SMALL(IF(('Teacher Calendar'!$F$556:$F$565&lt;&gt;"")*('Teacher Calendar'!$F$556:$F$565&lt;&gt;0),ROW('Teacher Calendar'!$F$556:$F$565)-ROW('Teacher Calendar'!$F$556)+1),7)),"")</f>
        <v>Practice Set</v>
      </c>
      <c r="D178" s="67" t="str">
        <f t="array" ref="D178">IFERROR(INDEX('Teacher Calendar'!$G$556:$G$565,SMALL(IF(('Teacher Calendar'!$G$556:$G$565&lt;&gt;"")*('Teacher Calendar'!$G$556:$G$565&lt;&gt;0),ROW('Teacher Calendar'!$G$556:$G$565)-ROW('Teacher Calendar'!$G$556)+1),7)),"")</f>
        <v>Practice Set</v>
      </c>
      <c r="E178" s="67" t="str">
        <f t="array" ref="E178">IFERROR(INDEX('Teacher Calendar'!$H$556:$H$565,SMALL(IF(('Teacher Calendar'!$H$556:$H$565&lt;&gt;"")*('Teacher Calendar'!$H$556:$H$565&lt;&gt;0),ROW('Teacher Calendar'!$H$556:$H$565)-ROW('Teacher Calendar'!$H$556)+1),7)),"")</f>
        <v>Practice Set</v>
      </c>
    </row>
    <row r="179" ht="15.75" customHeight="1">
      <c r="A179" s="146">
        <f>'Teacher Calendar'!D582</f>
        <v>46412</v>
      </c>
      <c r="B179" s="146">
        <f>'Teacher Calendar'!E582</f>
        <v>46413</v>
      </c>
      <c r="C179" s="146">
        <f>'Teacher Calendar'!F582</f>
        <v>46414</v>
      </c>
      <c r="D179" s="146">
        <f>'Teacher Calendar'!G582</f>
        <v>46415</v>
      </c>
      <c r="E179" s="146">
        <f>'Teacher Calendar'!H582</f>
        <v>46416</v>
      </c>
    </row>
    <row r="180" ht="15.75" customHeight="1">
      <c r="A180" s="131" t="str">
        <f t="array" ref="A180">IFERROR(INDEX('Teacher Calendar'!$D$583:$D$592,SMALL(IF(('Teacher Calendar'!$D$583:$D$592&lt;&gt;"")*('Teacher Calendar'!$D$583:$D$592&lt;&gt;0),ROW('Teacher Calendar'!$D$583:$D$592)-ROW('Teacher Calendar'!$D$583)+1),1)),"")</f>
        <v>6.2: Refl &amp; Mirrors</v>
      </c>
      <c r="B180" s="131" t="str">
        <f t="array" ref="B180">IFERROR(INDEX('Teacher Calendar'!$E$583:$E$592,SMALL(IF(('Teacher Calendar'!$E$583:$E$592&lt;&gt;"")*('Teacher Calendar'!$E$583:$E$592&lt;&gt;0),ROW('Teacher Calendar'!$E$583:$E$592)-ROW('Teacher Calendar'!$E$583)+1),1)),"")</f>
        <v>6.3: Refraction &amp; TIR</v>
      </c>
      <c r="C180" s="131" t="str">
        <f t="array" ref="C180">IFERROR(INDEX('Teacher Calendar'!$F$583:$F$592,SMALL(IF(('Teacher Calendar'!$F$583:$F$592&lt;&gt;"")*('Teacher Calendar'!$F$583:$F$592&lt;&gt;0),ROW('Teacher Calendar'!$F$583:$F$592)-ROW('Teacher Calendar'!$F$583)+1),1)),"")</f>
        <v>6.3: Refraction &amp; TIR</v>
      </c>
      <c r="D180" s="131" t="str">
        <f t="array" ref="D180">IFERROR(INDEX('Teacher Calendar'!$G$583:$G$592,SMALL(IF(('Teacher Calendar'!$G$583:$G$592&lt;&gt;"")*('Teacher Calendar'!$G$583:$G$592&lt;&gt;0),ROW('Teacher Calendar'!$G$583:$G$592)-ROW('Teacher Calendar'!$G$583)+1),1)),"")</f>
        <v>6.3: Refraction &amp; TIR</v>
      </c>
      <c r="E180" s="131" t="str">
        <f t="array" ref="E180">IFERROR(INDEX('Teacher Calendar'!$H$583:$H$592,SMALL(IF(('Teacher Calendar'!$H$583:$H$592&lt;&gt;"")*('Teacher Calendar'!$H$583:$H$592&lt;&gt;0),ROW('Teacher Calendar'!$H$583:$H$592)-ROW('Teacher Calendar'!$H$583)+1),1)),"")</f>
        <v>6.4: Lenses &amp; Optics</v>
      </c>
    </row>
    <row r="181" ht="15.75" customHeight="1">
      <c r="A181" s="67" t="str">
        <f t="array" ref="A181">IFERROR(INDEX('Teacher Calendar'!$D$583:$D$592,SMALL(IF(('Teacher Calendar'!$D$583:$D$592&lt;&gt;"")*('Teacher Calendar'!$D$583:$D$592&lt;&gt;0),ROW('Teacher Calendar'!$D$583:$D$592)-ROW('Teacher Calendar'!$D$583)+1),2)),"")</f>
        <v>Warm Up</v>
      </c>
      <c r="B181" s="67" t="str">
        <f t="array" ref="B181">IFERROR(INDEX('Teacher Calendar'!$E$583:$E$592,SMALL(IF(('Teacher Calendar'!$E$583:$E$592&lt;&gt;"")*('Teacher Calendar'!$E$583:$E$592&lt;&gt;0),ROW('Teacher Calendar'!$E$583:$E$592)-ROW('Teacher Calendar'!$E$583)+1),2)),"")</f>
        <v>Warm Up</v>
      </c>
      <c r="C181" s="67" t="str">
        <f t="array" ref="C181">IFERROR(INDEX('Teacher Calendar'!$F$583:$F$592,SMALL(IF(('Teacher Calendar'!$F$583:$F$592&lt;&gt;"")*('Teacher Calendar'!$F$583:$F$592&lt;&gt;0),ROW('Teacher Calendar'!$F$583:$F$592)-ROW('Teacher Calendar'!$F$583)+1),2)),"")</f>
        <v>Warm Up</v>
      </c>
      <c r="D181" s="67" t="str">
        <f t="array" ref="D181">IFERROR(INDEX('Teacher Calendar'!$G$583:$G$592,SMALL(IF(('Teacher Calendar'!$G$583:$G$592&lt;&gt;"")*('Teacher Calendar'!$G$583:$G$592&lt;&gt;0),ROW('Teacher Calendar'!$G$583:$G$592)-ROW('Teacher Calendar'!$G$583)+1),2)),"")</f>
        <v>Warm Up</v>
      </c>
      <c r="E181" s="67" t="str">
        <f t="array" ref="E181">IFERROR(INDEX('Teacher Calendar'!$H$583:$H$592,SMALL(IF(('Teacher Calendar'!$H$583:$H$592&lt;&gt;"")*('Teacher Calendar'!$H$583:$H$592&lt;&gt;0),ROW('Teacher Calendar'!$H$583:$H$592)-ROW('Teacher Calendar'!$H$583)+1),2)),"")</f>
        <v>Warm Up</v>
      </c>
    </row>
    <row r="182" ht="15.75" customHeight="1">
      <c r="A182" s="67" t="str">
        <f t="array" ref="A182">IFERROR(INDEX('Teacher Calendar'!$D$583:$D$592,SMALL(IF(('Teacher Calendar'!$D$583:$D$592&lt;&gt;"")*('Teacher Calendar'!$D$583:$D$592&lt;&gt;0),ROW('Teacher Calendar'!$D$583:$D$592)-ROW('Teacher Calendar'!$D$583)+1),3)),"")</f>
        <v>Demo</v>
      </c>
      <c r="B182" s="67" t="str">
        <f t="array" ref="B182">IFERROR(INDEX('Teacher Calendar'!$E$583:$E$592,SMALL(IF(('Teacher Calendar'!$E$583:$E$592&lt;&gt;"")*('Teacher Calendar'!$E$583:$E$592&lt;&gt;0),ROW('Teacher Calendar'!$E$583:$E$592)-ROW('Teacher Calendar'!$E$583)+1),3)),"")</f>
        <v>Demo</v>
      </c>
      <c r="C182" s="67" t="str">
        <f t="array" ref="C182">IFERROR(INDEX('Teacher Calendar'!$F$583:$F$592,SMALL(IF(('Teacher Calendar'!$F$583:$F$592&lt;&gt;"")*('Teacher Calendar'!$F$583:$F$592&lt;&gt;0),ROW('Teacher Calendar'!$F$583:$F$592)-ROW('Teacher Calendar'!$F$583)+1),3)),"")</f>
        <v>Demo</v>
      </c>
      <c r="D182" s="67" t="str">
        <f t="array" ref="D182">IFERROR(INDEX('Teacher Calendar'!$G$583:$G$592,SMALL(IF(('Teacher Calendar'!$G$583:$G$592&lt;&gt;"")*('Teacher Calendar'!$G$583:$G$592&lt;&gt;0),ROW('Teacher Calendar'!$G$583:$G$592)-ROW('Teacher Calendar'!$G$583)+1),3)),"")</f>
        <v>Demo</v>
      </c>
      <c r="E182" s="67" t="str">
        <f t="array" ref="E182">IFERROR(INDEX('Teacher Calendar'!$H$583:$H$592,SMALL(IF(('Teacher Calendar'!$H$583:$H$592&lt;&gt;"")*('Teacher Calendar'!$H$583:$H$592&lt;&gt;0),ROW('Teacher Calendar'!$H$583:$H$592)-ROW('Teacher Calendar'!$H$583)+1),3)),"")</f>
        <v>Demo</v>
      </c>
    </row>
    <row r="183" ht="15.75" customHeight="1">
      <c r="A183" s="67" t="str">
        <f t="array" ref="A183">IFERROR(INDEX('Teacher Calendar'!$D$583:$D$592,SMALL(IF(('Teacher Calendar'!$D$583:$D$592&lt;&gt;"")*('Teacher Calendar'!$D$583:$D$592&lt;&gt;0),ROW('Teacher Calendar'!$D$583:$D$592)-ROW('Teacher Calendar'!$D$583)+1),4)),"")</f>
        <v>Notes</v>
      </c>
      <c r="B183" s="67" t="str">
        <f t="array" ref="B183">IFERROR(INDEX('Teacher Calendar'!$E$583:$E$592,SMALL(IF(('Teacher Calendar'!$E$583:$E$592&lt;&gt;"")*('Teacher Calendar'!$E$583:$E$592&lt;&gt;0),ROW('Teacher Calendar'!$E$583:$E$592)-ROW('Teacher Calendar'!$E$583)+1),4)),"")</f>
        <v>Notes</v>
      </c>
      <c r="C183" s="67" t="str">
        <f t="array" ref="C183">IFERROR(INDEX('Teacher Calendar'!$F$583:$F$592,SMALL(IF(('Teacher Calendar'!$F$583:$F$592&lt;&gt;"")*('Teacher Calendar'!$F$583:$F$592&lt;&gt;0),ROW('Teacher Calendar'!$F$583:$F$592)-ROW('Teacher Calendar'!$F$583)+1),4)),"")</f>
        <v>Notes</v>
      </c>
      <c r="D183" s="67" t="str">
        <f t="array" ref="D183">IFERROR(INDEX('Teacher Calendar'!$G$583:$G$592,SMALL(IF(('Teacher Calendar'!$G$583:$G$592&lt;&gt;"")*('Teacher Calendar'!$G$583:$G$592&lt;&gt;0),ROW('Teacher Calendar'!$G$583:$G$592)-ROW('Teacher Calendar'!$G$583)+1),4)),"")</f>
        <v>Notes</v>
      </c>
      <c r="E183" s="67" t="str">
        <f t="array" ref="E183">IFERROR(INDEX('Teacher Calendar'!$H$583:$H$592,SMALL(IF(('Teacher Calendar'!$H$583:$H$592&lt;&gt;"")*('Teacher Calendar'!$H$583:$H$592&lt;&gt;0),ROW('Teacher Calendar'!$H$583:$H$592)-ROW('Teacher Calendar'!$H$583)+1),4)),"")</f>
        <v>Notes</v>
      </c>
    </row>
    <row r="184" ht="15.75" customHeight="1">
      <c r="A184" s="67" t="str">
        <f t="array" ref="A184">IFERROR(INDEX('Teacher Calendar'!$D$583:$D$592,SMALL(IF(('Teacher Calendar'!$D$583:$D$592&lt;&gt;"")*('Teacher Calendar'!$D$583:$D$592&lt;&gt;0),ROW('Teacher Calendar'!$D$583:$D$592)-ROW('Teacher Calendar'!$D$583)+1),5)),"")</f>
        <v>Investigation</v>
      </c>
      <c r="B184" s="67" t="str">
        <f t="array" ref="B184">IFERROR(INDEX('Teacher Calendar'!$E$583:$E$592,SMALL(IF(('Teacher Calendar'!$E$583:$E$592&lt;&gt;"")*('Teacher Calendar'!$E$583:$E$592&lt;&gt;0),ROW('Teacher Calendar'!$E$583:$E$592)-ROW('Teacher Calendar'!$E$583)+1),5)),"")</f>
        <v>Investigation</v>
      </c>
      <c r="C184" s="67" t="str">
        <f t="array" ref="C184">IFERROR(INDEX('Teacher Calendar'!$F$583:$F$592,SMALL(IF(('Teacher Calendar'!$F$583:$F$592&lt;&gt;"")*('Teacher Calendar'!$F$583:$F$592&lt;&gt;0),ROW('Teacher Calendar'!$F$583:$F$592)-ROW('Teacher Calendar'!$F$583)+1),5)),"")</f>
        <v>Investigation</v>
      </c>
      <c r="D184" s="67" t="str">
        <f t="array" ref="D184">IFERROR(INDEX('Teacher Calendar'!$G$583:$G$592,SMALL(IF(('Teacher Calendar'!$G$583:$G$592&lt;&gt;"")*('Teacher Calendar'!$G$583:$G$592&lt;&gt;0),ROW('Teacher Calendar'!$G$583:$G$592)-ROW('Teacher Calendar'!$G$583)+1),5)),"")</f>
        <v>Investigation</v>
      </c>
      <c r="E184" s="67" t="str">
        <f t="array" ref="E184">IFERROR(INDEX('Teacher Calendar'!$H$583:$H$592,SMALL(IF(('Teacher Calendar'!$H$583:$H$592&lt;&gt;"")*('Teacher Calendar'!$H$583:$H$592&lt;&gt;0),ROW('Teacher Calendar'!$H$583:$H$592)-ROW('Teacher Calendar'!$H$583)+1),5)),"")</f>
        <v>Investigation</v>
      </c>
    </row>
    <row r="185" ht="15.75" customHeight="1">
      <c r="A185" s="67" t="str">
        <f t="array" ref="A185">IFERROR(INDEX('Teacher Calendar'!$D$583:$D$592,SMALL(IF(('Teacher Calendar'!$D$583:$D$592&lt;&gt;"")*('Teacher Calendar'!$D$583:$D$592&lt;&gt;0),ROW('Teacher Calendar'!$D$583:$D$592)-ROW('Teacher Calendar'!$D$583)+1),6)),"")</f>
        <v>Activity</v>
      </c>
      <c r="B185" s="67" t="str">
        <f t="array" ref="B185">IFERROR(INDEX('Teacher Calendar'!$E$583:$E$592,SMALL(IF(('Teacher Calendar'!$E$583:$E$592&lt;&gt;"")*('Teacher Calendar'!$E$583:$E$592&lt;&gt;0),ROW('Teacher Calendar'!$E$583:$E$592)-ROW('Teacher Calendar'!$E$583)+1),6)),"")</f>
        <v>Activity</v>
      </c>
      <c r="C185" s="67" t="str">
        <f t="array" ref="C185">IFERROR(INDEX('Teacher Calendar'!$F$583:$F$592,SMALL(IF(('Teacher Calendar'!$F$583:$F$592&lt;&gt;"")*('Teacher Calendar'!$F$583:$F$592&lt;&gt;0),ROW('Teacher Calendar'!$F$583:$F$592)-ROW('Teacher Calendar'!$F$583)+1),6)),"")</f>
        <v>Activity</v>
      </c>
      <c r="D185" s="67" t="str">
        <f t="array" ref="D185">IFERROR(INDEX('Teacher Calendar'!$G$583:$G$592,SMALL(IF(('Teacher Calendar'!$G$583:$G$592&lt;&gt;"")*('Teacher Calendar'!$G$583:$G$592&lt;&gt;0),ROW('Teacher Calendar'!$G$583:$G$592)-ROW('Teacher Calendar'!$G$583)+1),6)),"")</f>
        <v>Activity</v>
      </c>
      <c r="E185" s="67" t="str">
        <f t="array" ref="E185">IFERROR(INDEX('Teacher Calendar'!$H$583:$H$592,SMALL(IF(('Teacher Calendar'!$H$583:$H$592&lt;&gt;"")*('Teacher Calendar'!$H$583:$H$592&lt;&gt;0),ROW('Teacher Calendar'!$H$583:$H$592)-ROW('Teacher Calendar'!$H$583)+1),6)),"")</f>
        <v>Activity</v>
      </c>
    </row>
    <row r="186" ht="15.75" customHeight="1">
      <c r="A186" s="67" t="str">
        <f t="array" ref="A186">IFERROR(INDEX('Teacher Calendar'!$D$583:$D$592,SMALL(IF(('Teacher Calendar'!$D$583:$D$592&lt;&gt;"")*('Teacher Calendar'!$D$583:$D$592&lt;&gt;0),ROW('Teacher Calendar'!$D$583:$D$592)-ROW('Teacher Calendar'!$D$583)+1),7)),"")</f>
        <v>Practice Set</v>
      </c>
      <c r="B186" s="67" t="str">
        <f t="array" ref="B186">IFERROR(INDEX('Teacher Calendar'!$E$583:$E$592,SMALL(IF(('Teacher Calendar'!$E$583:$E$592&lt;&gt;"")*('Teacher Calendar'!$E$583:$E$592&lt;&gt;0),ROW('Teacher Calendar'!$E$583:$E$592)-ROW('Teacher Calendar'!$E$583)+1),7)),"")</f>
        <v>Practice Set</v>
      </c>
      <c r="C186" s="67" t="str">
        <f t="array" ref="C186">IFERROR(INDEX('Teacher Calendar'!$F$583:$F$592,SMALL(IF(('Teacher Calendar'!$F$583:$F$592&lt;&gt;"")*('Teacher Calendar'!$F$583:$F$592&lt;&gt;0),ROW('Teacher Calendar'!$F$583:$F$592)-ROW('Teacher Calendar'!$F$583)+1),7)),"")</f>
        <v>Practice Set</v>
      </c>
      <c r="D186" s="67" t="str">
        <f t="array" ref="D186">IFERROR(INDEX('Teacher Calendar'!$G$583:$G$592,SMALL(IF(('Teacher Calendar'!$G$583:$G$592&lt;&gt;"")*('Teacher Calendar'!$G$583:$G$592&lt;&gt;0),ROW('Teacher Calendar'!$G$583:$G$592)-ROW('Teacher Calendar'!$G$583)+1),7)),"")</f>
        <v>Practice Set</v>
      </c>
      <c r="E186" s="67" t="str">
        <f t="array" ref="E186">IFERROR(INDEX('Teacher Calendar'!$H$583:$H$592,SMALL(IF(('Teacher Calendar'!$H$583:$H$592&lt;&gt;"")*('Teacher Calendar'!$H$583:$H$592&lt;&gt;0),ROW('Teacher Calendar'!$H$583:$H$592)-ROW('Teacher Calendar'!$H$583)+1),7)),"")</f>
        <v>Practice Set</v>
      </c>
    </row>
    <row r="187" ht="15.75" customHeight="1">
      <c r="A187" s="146">
        <f>'Teacher Calendar'!D609</f>
        <v>46419</v>
      </c>
      <c r="B187" s="146">
        <f>'Teacher Calendar'!E609</f>
        <v>46420</v>
      </c>
      <c r="C187" s="146">
        <f>'Teacher Calendar'!F609</f>
        <v>46421</v>
      </c>
      <c r="D187" s="146">
        <f>'Teacher Calendar'!G609</f>
        <v>46422</v>
      </c>
      <c r="E187" s="146">
        <f>'Teacher Calendar'!H609</f>
        <v>46423</v>
      </c>
    </row>
    <row r="188" ht="15.75" customHeight="1">
      <c r="A188" s="131" t="str">
        <f t="array" ref="A188">IFERROR(INDEX('Teacher Calendar'!$D$610:$D$619,SMALL(IF(('Teacher Calendar'!$D$610:$D$619&lt;&gt;"")*('Teacher Calendar'!$D$610:$D$619&lt;&gt;0),ROW('Teacher Calendar'!$D$610:$D$619)-ROW('Teacher Calendar'!$D$610)+1),1)),"")</f>
        <v>6.4: Lenses &amp; Optics</v>
      </c>
      <c r="B188" s="131" t="str">
        <f t="array" ref="B188">IFERROR(INDEX('Teacher Calendar'!$E$610:$E$619,SMALL(IF(('Teacher Calendar'!$E$610:$E$619&lt;&gt;"")*('Teacher Calendar'!$E$610:$E$619&lt;&gt;0),ROW('Teacher Calendar'!$E$610:$E$619)-ROW('Teacher Calendar'!$E$610)+1),1)),"")</f>
        <v>6.4: Lenses &amp; Optics</v>
      </c>
      <c r="C188" s="131" t="str">
        <f t="array" ref="C188">IFERROR(INDEX('Teacher Calendar'!$F$610:$F$619,SMALL(IF(('Teacher Calendar'!$F$610:$F$619&lt;&gt;"")*('Teacher Calendar'!$F$610:$F$619&lt;&gt;0),ROW('Teacher Calendar'!$F$610:$F$619)-ROW('Teacher Calendar'!$F$610)+1),1)),"")</f>
        <v>6.5: Optical Apps</v>
      </c>
      <c r="D188" s="131" t="str">
        <f t="array" ref="D188">IFERROR(INDEX('Teacher Calendar'!$G$610:$G$619,SMALL(IF(('Teacher Calendar'!$G$610:$G$619&lt;&gt;"")*('Teacher Calendar'!$G$610:$G$619&lt;&gt;0),ROW('Teacher Calendar'!$G$610:$G$619)-ROW('Teacher Calendar'!$G$610)+1),1)),"")</f>
        <v>6.5: Optical Apps</v>
      </c>
      <c r="E188" s="131" t="str">
        <f t="array" ref="E188">IFERROR(INDEX('Teacher Calendar'!$H$610:$H$619,SMALL(IF(('Teacher Calendar'!$H$610:$H$619&lt;&gt;"")*('Teacher Calendar'!$H$610:$H$619&lt;&gt;0),ROW('Teacher Calendar'!$H$610:$H$619)-ROW('Teacher Calendar'!$H$610)+1),1)),"")</f>
        <v>6.5: Optical Apps</v>
      </c>
    </row>
    <row r="189" ht="15.75" customHeight="1">
      <c r="A189" s="67" t="str">
        <f t="array" ref="A189">IFERROR(INDEX('Teacher Calendar'!$D$610:$D$619,SMALL(IF(('Teacher Calendar'!$D$610:$D$619&lt;&gt;"")*('Teacher Calendar'!$D$610:$D$619&lt;&gt;0),ROW('Teacher Calendar'!$D$610:$D$619)-ROW('Teacher Calendar'!$D$610)+1),2)),"")</f>
        <v>Warm Up</v>
      </c>
      <c r="B189" s="67" t="str">
        <f t="array" ref="B189">IFERROR(INDEX('Teacher Calendar'!$E$610:$E$619,SMALL(IF(('Teacher Calendar'!$E$610:$E$619&lt;&gt;"")*('Teacher Calendar'!$E$610:$E$619&lt;&gt;0),ROW('Teacher Calendar'!$E$610:$E$619)-ROW('Teacher Calendar'!$E$610)+1),2)),"")</f>
        <v>Warm Up</v>
      </c>
      <c r="C189" s="67" t="str">
        <f t="array" ref="C189">IFERROR(INDEX('Teacher Calendar'!$F$610:$F$619,SMALL(IF(('Teacher Calendar'!$F$610:$F$619&lt;&gt;"")*('Teacher Calendar'!$F$610:$F$619&lt;&gt;0),ROW('Teacher Calendar'!$F$610:$F$619)-ROW('Teacher Calendar'!$F$610)+1),2)),"")</f>
        <v>Warm Up</v>
      </c>
      <c r="D189" s="67" t="str">
        <f t="array" ref="D189">IFERROR(INDEX('Teacher Calendar'!$G$610:$G$619,SMALL(IF(('Teacher Calendar'!$G$610:$G$619&lt;&gt;"")*('Teacher Calendar'!$G$610:$G$619&lt;&gt;0),ROW('Teacher Calendar'!$G$610:$G$619)-ROW('Teacher Calendar'!$G$610)+1),2)),"")</f>
        <v>Warm Up</v>
      </c>
      <c r="E189" s="67" t="str">
        <f t="array" ref="E189">IFERROR(INDEX('Teacher Calendar'!$H$610:$H$619,SMALL(IF(('Teacher Calendar'!$H$610:$H$619&lt;&gt;"")*('Teacher Calendar'!$H$610:$H$619&lt;&gt;0),ROW('Teacher Calendar'!$H$610:$H$619)-ROW('Teacher Calendar'!$H$610)+1),2)),"")</f>
        <v>Warm Up</v>
      </c>
    </row>
    <row r="190" ht="15.75" customHeight="1">
      <c r="A190" s="67" t="str">
        <f t="array" ref="A190">IFERROR(INDEX('Teacher Calendar'!$D$610:$D$619,SMALL(IF(('Teacher Calendar'!$D$610:$D$619&lt;&gt;"")*('Teacher Calendar'!$D$610:$D$619&lt;&gt;0),ROW('Teacher Calendar'!$D$610:$D$619)-ROW('Teacher Calendar'!$D$610)+1),3)),"")</f>
        <v>Demo</v>
      </c>
      <c r="B190" s="67" t="str">
        <f t="array" ref="B190">IFERROR(INDEX('Teacher Calendar'!$E$610:$E$619,SMALL(IF(('Teacher Calendar'!$E$610:$E$619&lt;&gt;"")*('Teacher Calendar'!$E$610:$E$619&lt;&gt;0),ROW('Teacher Calendar'!$E$610:$E$619)-ROW('Teacher Calendar'!$E$610)+1),3)),"")</f>
        <v>Demo</v>
      </c>
      <c r="C190" s="67" t="str">
        <f t="array" ref="C190">IFERROR(INDEX('Teacher Calendar'!$F$610:$F$619,SMALL(IF(('Teacher Calendar'!$F$610:$F$619&lt;&gt;"")*('Teacher Calendar'!$F$610:$F$619&lt;&gt;0),ROW('Teacher Calendar'!$F$610:$F$619)-ROW('Teacher Calendar'!$F$610)+1),3)),"")</f>
        <v>Demo</v>
      </c>
      <c r="D190" s="67" t="str">
        <f t="array" ref="D190">IFERROR(INDEX('Teacher Calendar'!$G$610:$G$619,SMALL(IF(('Teacher Calendar'!$G$610:$G$619&lt;&gt;"")*('Teacher Calendar'!$G$610:$G$619&lt;&gt;0),ROW('Teacher Calendar'!$G$610:$G$619)-ROW('Teacher Calendar'!$G$610)+1),3)),"")</f>
        <v>Demo</v>
      </c>
      <c r="E190" s="67" t="str">
        <f t="array" ref="E190">IFERROR(INDEX('Teacher Calendar'!$H$610:$H$619,SMALL(IF(('Teacher Calendar'!$H$610:$H$619&lt;&gt;"")*('Teacher Calendar'!$H$610:$H$619&lt;&gt;0),ROW('Teacher Calendar'!$H$610:$H$619)-ROW('Teacher Calendar'!$H$610)+1),3)),"")</f>
        <v>Demo</v>
      </c>
    </row>
    <row r="191" ht="15.75" customHeight="1">
      <c r="A191" s="67" t="str">
        <f t="array" ref="A191">IFERROR(INDEX('Teacher Calendar'!$D$610:$D$619,SMALL(IF(('Teacher Calendar'!$D$610:$D$619&lt;&gt;"")*('Teacher Calendar'!$D$610:$D$619&lt;&gt;0),ROW('Teacher Calendar'!$D$610:$D$619)-ROW('Teacher Calendar'!$D$610)+1),4)),"")</f>
        <v>Notes</v>
      </c>
      <c r="B191" s="67" t="str">
        <f t="array" ref="B191">IFERROR(INDEX('Teacher Calendar'!$E$610:$E$619,SMALL(IF(('Teacher Calendar'!$E$610:$E$619&lt;&gt;"")*('Teacher Calendar'!$E$610:$E$619&lt;&gt;0),ROW('Teacher Calendar'!$E$610:$E$619)-ROW('Teacher Calendar'!$E$610)+1),4)),"")</f>
        <v>Notes</v>
      </c>
      <c r="C191" s="67" t="str">
        <f t="array" ref="C191">IFERROR(INDEX('Teacher Calendar'!$F$610:$F$619,SMALL(IF(('Teacher Calendar'!$F$610:$F$619&lt;&gt;"")*('Teacher Calendar'!$F$610:$F$619&lt;&gt;0),ROW('Teacher Calendar'!$F$610:$F$619)-ROW('Teacher Calendar'!$F$610)+1),4)),"")</f>
        <v>Notes</v>
      </c>
      <c r="D191" s="67" t="str">
        <f t="array" ref="D191">IFERROR(INDEX('Teacher Calendar'!$G$610:$G$619,SMALL(IF(('Teacher Calendar'!$G$610:$G$619&lt;&gt;"")*('Teacher Calendar'!$G$610:$G$619&lt;&gt;0),ROW('Teacher Calendar'!$G$610:$G$619)-ROW('Teacher Calendar'!$G$610)+1),4)),"")</f>
        <v>Notes</v>
      </c>
      <c r="E191" s="67" t="str">
        <f t="array" ref="E191">IFERROR(INDEX('Teacher Calendar'!$H$610:$H$619,SMALL(IF(('Teacher Calendar'!$H$610:$H$619&lt;&gt;"")*('Teacher Calendar'!$H$610:$H$619&lt;&gt;0),ROW('Teacher Calendar'!$H$610:$H$619)-ROW('Teacher Calendar'!$H$610)+1),4)),"")</f>
        <v>Notes</v>
      </c>
    </row>
    <row r="192" ht="15.75" customHeight="1">
      <c r="A192" s="67" t="str">
        <f t="array" ref="A192">IFERROR(INDEX('Teacher Calendar'!$D$610:$D$619,SMALL(IF(('Teacher Calendar'!$D$610:$D$619&lt;&gt;"")*('Teacher Calendar'!$D$610:$D$619&lt;&gt;0),ROW('Teacher Calendar'!$D$610:$D$619)-ROW('Teacher Calendar'!$D$610)+1),5)),"")</f>
        <v>Investigation</v>
      </c>
      <c r="B192" s="67" t="str">
        <f t="array" ref="B192">IFERROR(INDEX('Teacher Calendar'!$E$610:$E$619,SMALL(IF(('Teacher Calendar'!$E$610:$E$619&lt;&gt;"")*('Teacher Calendar'!$E$610:$E$619&lt;&gt;0),ROW('Teacher Calendar'!$E$610:$E$619)-ROW('Teacher Calendar'!$E$610)+1),5)),"")</f>
        <v>Investigation</v>
      </c>
      <c r="C192" s="67" t="str">
        <f t="array" ref="C192">IFERROR(INDEX('Teacher Calendar'!$F$610:$F$619,SMALL(IF(('Teacher Calendar'!$F$610:$F$619&lt;&gt;"")*('Teacher Calendar'!$F$610:$F$619&lt;&gt;0),ROW('Teacher Calendar'!$F$610:$F$619)-ROW('Teacher Calendar'!$F$610)+1),5)),"")</f>
        <v>Investigation</v>
      </c>
      <c r="D192" s="67" t="str">
        <f t="array" ref="D192">IFERROR(INDEX('Teacher Calendar'!$G$610:$G$619,SMALL(IF(('Teacher Calendar'!$G$610:$G$619&lt;&gt;"")*('Teacher Calendar'!$G$610:$G$619&lt;&gt;0),ROW('Teacher Calendar'!$G$610:$G$619)-ROW('Teacher Calendar'!$G$610)+1),5)),"")</f>
        <v>Investigation</v>
      </c>
      <c r="E192" s="67" t="str">
        <f t="array" ref="E192">IFERROR(INDEX('Teacher Calendar'!$H$610:$H$619,SMALL(IF(('Teacher Calendar'!$H$610:$H$619&lt;&gt;"")*('Teacher Calendar'!$H$610:$H$619&lt;&gt;0),ROW('Teacher Calendar'!$H$610:$H$619)-ROW('Teacher Calendar'!$H$610)+1),5)),"")</f>
        <v>Investigation</v>
      </c>
    </row>
    <row r="193" ht="15.75" customHeight="1">
      <c r="A193" s="67" t="str">
        <f t="array" ref="A193">IFERROR(INDEX('Teacher Calendar'!$D$610:$D$619,SMALL(IF(('Teacher Calendar'!$D$610:$D$619&lt;&gt;"")*('Teacher Calendar'!$D$610:$D$619&lt;&gt;0),ROW('Teacher Calendar'!$D$610:$D$619)-ROW('Teacher Calendar'!$D$610)+1),6)),"")</f>
        <v>Activity</v>
      </c>
      <c r="B193" s="67" t="str">
        <f t="array" ref="B193">IFERROR(INDEX('Teacher Calendar'!$E$610:$E$619,SMALL(IF(('Teacher Calendar'!$E$610:$E$619&lt;&gt;"")*('Teacher Calendar'!$E$610:$E$619&lt;&gt;0),ROW('Teacher Calendar'!$E$610:$E$619)-ROW('Teacher Calendar'!$E$610)+1),6)),"")</f>
        <v>Activity</v>
      </c>
      <c r="C193" s="67" t="str">
        <f t="array" ref="C193">IFERROR(INDEX('Teacher Calendar'!$F$610:$F$619,SMALL(IF(('Teacher Calendar'!$F$610:$F$619&lt;&gt;"")*('Teacher Calendar'!$F$610:$F$619&lt;&gt;0),ROW('Teacher Calendar'!$F$610:$F$619)-ROW('Teacher Calendar'!$F$610)+1),6)),"")</f>
        <v>Activity</v>
      </c>
      <c r="D193" s="67" t="str">
        <f t="array" ref="D193">IFERROR(INDEX('Teacher Calendar'!$G$610:$G$619,SMALL(IF(('Teacher Calendar'!$G$610:$G$619&lt;&gt;"")*('Teacher Calendar'!$G$610:$G$619&lt;&gt;0),ROW('Teacher Calendar'!$G$610:$G$619)-ROW('Teacher Calendar'!$G$610)+1),6)),"")</f>
        <v>Activity</v>
      </c>
      <c r="E193" s="67" t="str">
        <f t="array" ref="E193">IFERROR(INDEX('Teacher Calendar'!$H$610:$H$619,SMALL(IF(('Teacher Calendar'!$H$610:$H$619&lt;&gt;"")*('Teacher Calendar'!$H$610:$H$619&lt;&gt;0),ROW('Teacher Calendar'!$H$610:$H$619)-ROW('Teacher Calendar'!$H$610)+1),6)),"")</f>
        <v>Activity</v>
      </c>
    </row>
    <row r="194" ht="15.75" customHeight="1">
      <c r="A194" s="67" t="str">
        <f t="array" ref="A194">IFERROR(INDEX('Teacher Calendar'!$D$610:$D$619,SMALL(IF(('Teacher Calendar'!$D$610:$D$619&lt;&gt;"")*('Teacher Calendar'!$D$610:$D$619&lt;&gt;0),ROW('Teacher Calendar'!$D$610:$D$619)-ROW('Teacher Calendar'!$D$610)+1),7)),"")</f>
        <v>Practice Set</v>
      </c>
      <c r="B194" s="67" t="str">
        <f t="array" ref="B194">IFERROR(INDEX('Teacher Calendar'!$E$610:$E$619,SMALL(IF(('Teacher Calendar'!$E$610:$E$619&lt;&gt;"")*('Teacher Calendar'!$E$610:$E$619&lt;&gt;0),ROW('Teacher Calendar'!$E$610:$E$619)-ROW('Teacher Calendar'!$E$610)+1),7)),"")</f>
        <v>Practice Set</v>
      </c>
      <c r="C194" s="67" t="str">
        <f t="array" ref="C194">IFERROR(INDEX('Teacher Calendar'!$F$610:$F$619,SMALL(IF(('Teacher Calendar'!$F$610:$F$619&lt;&gt;"")*('Teacher Calendar'!$F$610:$F$619&lt;&gt;0),ROW('Teacher Calendar'!$F$610:$F$619)-ROW('Teacher Calendar'!$F$610)+1),7)),"")</f>
        <v>Practice Set</v>
      </c>
      <c r="D194" s="67" t="str">
        <f t="array" ref="D194">IFERROR(INDEX('Teacher Calendar'!$G$610:$G$619,SMALL(IF(('Teacher Calendar'!$G$610:$G$619&lt;&gt;"")*('Teacher Calendar'!$G$610:$G$619&lt;&gt;0),ROW('Teacher Calendar'!$G$610:$G$619)-ROW('Teacher Calendar'!$G$610)+1),7)),"")</f>
        <v>Practice Set</v>
      </c>
      <c r="E194" s="67" t="str">
        <f t="array" ref="E194">IFERROR(INDEX('Teacher Calendar'!$H$610:$H$619,SMALL(IF(('Teacher Calendar'!$H$610:$H$619&lt;&gt;"")*('Teacher Calendar'!$H$610:$H$619&lt;&gt;0),ROW('Teacher Calendar'!$H$610:$H$619)-ROW('Teacher Calendar'!$H$610)+1),7)),"")</f>
        <v>Practice Set</v>
      </c>
    </row>
    <row r="195" ht="15.75" customHeight="1">
      <c r="A195" s="146">
        <f>'Teacher Calendar'!D636</f>
        <v>46426</v>
      </c>
      <c r="B195" s="146">
        <f>'Teacher Calendar'!E636</f>
        <v>46427</v>
      </c>
      <c r="C195" s="146">
        <f>'Teacher Calendar'!F636</f>
        <v>46428</v>
      </c>
      <c r="D195" s="146">
        <f>'Teacher Calendar'!G636</f>
        <v>46429</v>
      </c>
      <c r="E195" s="146">
        <f>'Teacher Calendar'!H636</f>
        <v>46430</v>
      </c>
    </row>
    <row r="196" ht="15.75" customHeight="1">
      <c r="A196" s="131" t="str">
        <f t="array" ref="A196">IFERROR(INDEX('Teacher Calendar'!$D$637:$D$646,SMALL(IF(('Teacher Calendar'!$D$637:$D$646&lt;&gt;"")*('Teacher Calendar'!$D$637:$D$646&lt;&gt;0),ROW('Teacher Calendar'!$D$637:$D$646)-ROW('Teacher Calendar'!$D$637)+1),1)),"")</f>
        <v>Unit 6 Sum Assess</v>
      </c>
      <c r="B196" s="131" t="str">
        <f t="array" ref="B196">IFERROR(INDEX('Teacher Calendar'!$E$637:$E$646,SMALL(IF(('Teacher Calendar'!$E$637:$E$646&lt;&gt;"")*('Teacher Calendar'!$E$637:$E$646&lt;&gt;0),ROW('Teacher Calendar'!$E$637:$E$646)-ROW('Teacher Calendar'!$E$637)+1),1)),"")</f>
        <v>7.1: Charge &amp; Forces</v>
      </c>
      <c r="C196" s="131" t="str">
        <f t="array" ref="C196">IFERROR(INDEX('Teacher Calendar'!$F$637:$F$646,SMALL(IF(('Teacher Calendar'!$F$637:$F$646&lt;&gt;"")*('Teacher Calendar'!$F$637:$F$646&lt;&gt;0),ROW('Teacher Calendar'!$F$637:$F$646)-ROW('Teacher Calendar'!$F$637)+1),1)),"")</f>
        <v>7.1: Charge &amp; Forces</v>
      </c>
      <c r="D196" s="131" t="str">
        <f t="array" ref="D196">IFERROR(INDEX('Teacher Calendar'!$G$637:$G$646,SMALL(IF(('Teacher Calendar'!$G$637:$G$646&lt;&gt;"")*('Teacher Calendar'!$G$637:$G$646&lt;&gt;0),ROW('Teacher Calendar'!$G$637:$G$646)-ROW('Teacher Calendar'!$G$637)+1),1)),"")</f>
        <v>7.1: Charge &amp; Forces</v>
      </c>
      <c r="E196" s="131" t="str">
        <f t="array" ref="E196">IFERROR(INDEX('Teacher Calendar'!$H$637:$H$646,SMALL(IF(('Teacher Calendar'!$H$637:$H$646&lt;&gt;"")*('Teacher Calendar'!$H$637:$H$646&lt;&gt;0),ROW('Teacher Calendar'!$H$637:$H$646)-ROW('Teacher Calendar'!$H$637)+1),1)),"")</f>
        <v>7.2: Voltage &amp; Current</v>
      </c>
    </row>
    <row r="197" ht="15.75" customHeight="1">
      <c r="A197" s="131" t="str">
        <f t="array" ref="A197">IFERROR(INDEX('Teacher Calendar'!$D$637:$D$646,SMALL(IF(('Teacher Calendar'!$D$637:$D$646&lt;&gt;"")*('Teacher Calendar'!$D$637:$D$646&lt;&gt;0),ROW('Teacher Calendar'!$D$637:$D$646)-ROW('Teacher Calendar'!$D$637)+1),2)),"")</f>
        <v/>
      </c>
      <c r="B197" s="67" t="str">
        <f t="array" ref="B197">IFERROR(INDEX('Teacher Calendar'!$E$637:$E$646,SMALL(IF(('Teacher Calendar'!$E$637:$E$646&lt;&gt;"")*('Teacher Calendar'!$E$637:$E$646&lt;&gt;0),ROW('Teacher Calendar'!$E$637:$E$646)-ROW('Teacher Calendar'!$E$637)+1),2)),"")</f>
        <v>Warm Up</v>
      </c>
      <c r="C197" s="67" t="str">
        <f t="array" ref="C197">IFERROR(INDEX('Teacher Calendar'!$F$637:$F$646,SMALL(IF(('Teacher Calendar'!$F$637:$F$646&lt;&gt;"")*('Teacher Calendar'!$F$637:$F$646&lt;&gt;0),ROW('Teacher Calendar'!$F$637:$F$646)-ROW('Teacher Calendar'!$F$637)+1),2)),"")</f>
        <v>Warm Up</v>
      </c>
      <c r="D197" s="67" t="str">
        <f t="array" ref="D197">IFERROR(INDEX('Teacher Calendar'!$G$637:$G$646,SMALL(IF(('Teacher Calendar'!$G$637:$G$646&lt;&gt;"")*('Teacher Calendar'!$G$637:$G$646&lt;&gt;0),ROW('Teacher Calendar'!$G$637:$G$646)-ROW('Teacher Calendar'!$G$637)+1),2)),"")</f>
        <v>Warm Up</v>
      </c>
      <c r="E197" s="67" t="str">
        <f t="array" ref="E197">IFERROR(INDEX('Teacher Calendar'!$H$637:$H$646,SMALL(IF(('Teacher Calendar'!$H$637:$H$646&lt;&gt;"")*('Teacher Calendar'!$H$637:$H$646&lt;&gt;0),ROW('Teacher Calendar'!$H$637:$H$646)-ROW('Teacher Calendar'!$H$637)+1),2)),"")</f>
        <v>Warm Up</v>
      </c>
    </row>
    <row r="198" ht="15.75" customHeight="1">
      <c r="A198" s="131" t="str">
        <f t="array" ref="A198">IFERROR(INDEX('Teacher Calendar'!$D$637:$D$646,SMALL(IF(('Teacher Calendar'!$D$637:$D$646&lt;&gt;"")*('Teacher Calendar'!$D$637:$D$646&lt;&gt;0),ROW('Teacher Calendar'!$D$637:$D$646)-ROW('Teacher Calendar'!$D$637)+1),3)),"")</f>
        <v/>
      </c>
      <c r="B198" s="67" t="str">
        <f t="array" ref="B198">IFERROR(INDEX('Teacher Calendar'!$E$637:$E$646,SMALL(IF(('Teacher Calendar'!$E$637:$E$646&lt;&gt;"")*('Teacher Calendar'!$E$637:$E$646&lt;&gt;0),ROW('Teacher Calendar'!$E$637:$E$646)-ROW('Teacher Calendar'!$E$637)+1),3)),"")</f>
        <v>Demo</v>
      </c>
      <c r="C198" s="67" t="str">
        <f t="array" ref="C198">IFERROR(INDEX('Teacher Calendar'!$F$637:$F$646,SMALL(IF(('Teacher Calendar'!$F$637:$F$646&lt;&gt;"")*('Teacher Calendar'!$F$637:$F$646&lt;&gt;0),ROW('Teacher Calendar'!$F$637:$F$646)-ROW('Teacher Calendar'!$F$637)+1),3)),"")</f>
        <v>Demo</v>
      </c>
      <c r="D198" s="67" t="str">
        <f t="array" ref="D198">IFERROR(INDEX('Teacher Calendar'!$G$637:$G$646,SMALL(IF(('Teacher Calendar'!$G$637:$G$646&lt;&gt;"")*('Teacher Calendar'!$G$637:$G$646&lt;&gt;0),ROW('Teacher Calendar'!$G$637:$G$646)-ROW('Teacher Calendar'!$G$637)+1),3)),"")</f>
        <v>Demo</v>
      </c>
      <c r="E198" s="67" t="str">
        <f t="array" ref="E198">IFERROR(INDEX('Teacher Calendar'!$H$637:$H$646,SMALL(IF(('Teacher Calendar'!$H$637:$H$646&lt;&gt;"")*('Teacher Calendar'!$H$637:$H$646&lt;&gt;0),ROW('Teacher Calendar'!$H$637:$H$646)-ROW('Teacher Calendar'!$H$637)+1),3)),"")</f>
        <v>Demo</v>
      </c>
    </row>
    <row r="199" ht="15.75" customHeight="1">
      <c r="A199" s="131" t="str">
        <f t="array" ref="A199">IFERROR(INDEX('Teacher Calendar'!$D$637:$D$646,SMALL(IF(('Teacher Calendar'!$D$637:$D$646&lt;&gt;"")*('Teacher Calendar'!$D$637:$D$646&lt;&gt;0),ROW('Teacher Calendar'!$D$637:$D$646)-ROW('Teacher Calendar'!$D$637)+1),4)),"")</f>
        <v/>
      </c>
      <c r="B199" s="67" t="str">
        <f t="array" ref="B199">IFERROR(INDEX('Teacher Calendar'!$E$637:$E$646,SMALL(IF(('Teacher Calendar'!$E$637:$E$646&lt;&gt;"")*('Teacher Calendar'!$E$637:$E$646&lt;&gt;0),ROW('Teacher Calendar'!$E$637:$E$646)-ROW('Teacher Calendar'!$E$637)+1),4)),"")</f>
        <v>Notes</v>
      </c>
      <c r="C199" s="67" t="str">
        <f t="array" ref="C199">IFERROR(INDEX('Teacher Calendar'!$F$637:$F$646,SMALL(IF(('Teacher Calendar'!$F$637:$F$646&lt;&gt;"")*('Teacher Calendar'!$F$637:$F$646&lt;&gt;0),ROW('Teacher Calendar'!$F$637:$F$646)-ROW('Teacher Calendar'!$F$637)+1),4)),"")</f>
        <v>Notes</v>
      </c>
      <c r="D199" s="67" t="str">
        <f t="array" ref="D199">IFERROR(INDEX('Teacher Calendar'!$G$637:$G$646,SMALL(IF(('Teacher Calendar'!$G$637:$G$646&lt;&gt;"")*('Teacher Calendar'!$G$637:$G$646&lt;&gt;0),ROW('Teacher Calendar'!$G$637:$G$646)-ROW('Teacher Calendar'!$G$637)+1),4)),"")</f>
        <v>Notes</v>
      </c>
      <c r="E199" s="67" t="str">
        <f t="array" ref="E199">IFERROR(INDEX('Teacher Calendar'!$H$637:$H$646,SMALL(IF(('Teacher Calendar'!$H$637:$H$646&lt;&gt;"")*('Teacher Calendar'!$H$637:$H$646&lt;&gt;0),ROW('Teacher Calendar'!$H$637:$H$646)-ROW('Teacher Calendar'!$H$637)+1),4)),"")</f>
        <v>Notes</v>
      </c>
    </row>
    <row r="200" ht="15.75" customHeight="1">
      <c r="A200" s="131" t="str">
        <f t="array" ref="A200">IFERROR(INDEX('Teacher Calendar'!$D$637:$D$646,SMALL(IF(('Teacher Calendar'!$D$637:$D$646&lt;&gt;"")*('Teacher Calendar'!$D$637:$D$646&lt;&gt;0),ROW('Teacher Calendar'!$D$637:$D$646)-ROW('Teacher Calendar'!$D$637)+1),5)),"")</f>
        <v/>
      </c>
      <c r="B200" s="67" t="str">
        <f t="array" ref="B200">IFERROR(INDEX('Teacher Calendar'!$E$637:$E$646,SMALL(IF(('Teacher Calendar'!$E$637:$E$646&lt;&gt;"")*('Teacher Calendar'!$E$637:$E$646&lt;&gt;0),ROW('Teacher Calendar'!$E$637:$E$646)-ROW('Teacher Calendar'!$E$637)+1),5)),"")</f>
        <v>Investigation</v>
      </c>
      <c r="C200" s="67" t="str">
        <f t="array" ref="C200">IFERROR(INDEX('Teacher Calendar'!$F$637:$F$646,SMALL(IF(('Teacher Calendar'!$F$637:$F$646&lt;&gt;"")*('Teacher Calendar'!$F$637:$F$646&lt;&gt;0),ROW('Teacher Calendar'!$F$637:$F$646)-ROW('Teacher Calendar'!$F$637)+1),5)),"")</f>
        <v>Investigation</v>
      </c>
      <c r="D200" s="67" t="str">
        <f t="array" ref="D200">IFERROR(INDEX('Teacher Calendar'!$G$637:$G$646,SMALL(IF(('Teacher Calendar'!$G$637:$G$646&lt;&gt;"")*('Teacher Calendar'!$G$637:$G$646&lt;&gt;0),ROW('Teacher Calendar'!$G$637:$G$646)-ROW('Teacher Calendar'!$G$637)+1),5)),"")</f>
        <v>Investigation</v>
      </c>
      <c r="E200" s="67" t="str">
        <f t="array" ref="E200">IFERROR(INDEX('Teacher Calendar'!$H$637:$H$646,SMALL(IF(('Teacher Calendar'!$H$637:$H$646&lt;&gt;"")*('Teacher Calendar'!$H$637:$H$646&lt;&gt;0),ROW('Teacher Calendar'!$H$637:$H$646)-ROW('Teacher Calendar'!$H$637)+1),5)),"")</f>
        <v>Investigation</v>
      </c>
    </row>
    <row r="201" ht="15.75" customHeight="1">
      <c r="A201" s="131" t="str">
        <f t="array" ref="A201">IFERROR(INDEX('Teacher Calendar'!$D$637:$D$646,SMALL(IF(('Teacher Calendar'!$D$637:$D$646&lt;&gt;"")*('Teacher Calendar'!$D$637:$D$646&lt;&gt;0),ROW('Teacher Calendar'!$D$637:$D$646)-ROW('Teacher Calendar'!$D$637)+1),6)),"")</f>
        <v/>
      </c>
      <c r="B201" s="67" t="str">
        <f t="array" ref="B201">IFERROR(INDEX('Teacher Calendar'!$E$637:$E$646,SMALL(IF(('Teacher Calendar'!$E$637:$E$646&lt;&gt;"")*('Teacher Calendar'!$E$637:$E$646&lt;&gt;0),ROW('Teacher Calendar'!$E$637:$E$646)-ROW('Teacher Calendar'!$E$637)+1),6)),"")</f>
        <v>Activity</v>
      </c>
      <c r="C201" s="67" t="str">
        <f t="array" ref="C201">IFERROR(INDEX('Teacher Calendar'!$F$637:$F$646,SMALL(IF(('Teacher Calendar'!$F$637:$F$646&lt;&gt;"")*('Teacher Calendar'!$F$637:$F$646&lt;&gt;0),ROW('Teacher Calendar'!$F$637:$F$646)-ROW('Teacher Calendar'!$F$637)+1),6)),"")</f>
        <v>Activity</v>
      </c>
      <c r="D201" s="67" t="str">
        <f t="array" ref="D201">IFERROR(INDEX('Teacher Calendar'!$G$637:$G$646,SMALL(IF(('Teacher Calendar'!$G$637:$G$646&lt;&gt;"")*('Teacher Calendar'!$G$637:$G$646&lt;&gt;0),ROW('Teacher Calendar'!$G$637:$G$646)-ROW('Teacher Calendar'!$G$637)+1),6)),"")</f>
        <v>Activity</v>
      </c>
      <c r="E201" s="67" t="str">
        <f t="array" ref="E201">IFERROR(INDEX('Teacher Calendar'!$H$637:$H$646,SMALL(IF(('Teacher Calendar'!$H$637:$H$646&lt;&gt;"")*('Teacher Calendar'!$H$637:$H$646&lt;&gt;0),ROW('Teacher Calendar'!$H$637:$H$646)-ROW('Teacher Calendar'!$H$637)+1),6)),"")</f>
        <v>Activity</v>
      </c>
    </row>
    <row r="202" ht="15.75" customHeight="1">
      <c r="A202" s="131" t="str">
        <f t="array" ref="A202">IFERROR(INDEX('Teacher Calendar'!$D$637:$D$646,SMALL(IF(('Teacher Calendar'!$D$637:$D$646&lt;&gt;"")*('Teacher Calendar'!$D$637:$D$646&lt;&gt;0),ROW('Teacher Calendar'!$D$637:$D$646)-ROW('Teacher Calendar'!$D$637)+1),7)),"")</f>
        <v/>
      </c>
      <c r="B202" s="67" t="str">
        <f t="array" ref="B202">IFERROR(INDEX('Teacher Calendar'!$E$637:$E$646,SMALL(IF(('Teacher Calendar'!$E$637:$E$646&lt;&gt;"")*('Teacher Calendar'!$E$637:$E$646&lt;&gt;0),ROW('Teacher Calendar'!$E$637:$E$646)-ROW('Teacher Calendar'!$E$637)+1),7)),"")</f>
        <v>Practice Set</v>
      </c>
      <c r="C202" s="67" t="str">
        <f t="array" ref="C202">IFERROR(INDEX('Teacher Calendar'!$F$637:$F$646,SMALL(IF(('Teacher Calendar'!$F$637:$F$646&lt;&gt;"")*('Teacher Calendar'!$F$637:$F$646&lt;&gt;0),ROW('Teacher Calendar'!$F$637:$F$646)-ROW('Teacher Calendar'!$F$637)+1),7)),"")</f>
        <v>Practice Set</v>
      </c>
      <c r="D202" s="67" t="str">
        <f t="array" ref="D202">IFERROR(INDEX('Teacher Calendar'!$G$637:$G$646,SMALL(IF(('Teacher Calendar'!$G$637:$G$646&lt;&gt;"")*('Teacher Calendar'!$G$637:$G$646&lt;&gt;0),ROW('Teacher Calendar'!$G$637:$G$646)-ROW('Teacher Calendar'!$G$637)+1),7)),"")</f>
        <v>Practice Set</v>
      </c>
      <c r="E202" s="67" t="str">
        <f t="array" ref="E202">IFERROR(INDEX('Teacher Calendar'!$H$637:$H$646,SMALL(IF(('Teacher Calendar'!$H$637:$H$646&lt;&gt;"")*('Teacher Calendar'!$H$637:$H$646&lt;&gt;0),ROW('Teacher Calendar'!$H$637:$H$646)-ROW('Teacher Calendar'!$H$637)+1),7)),"")</f>
        <v>Practice Set</v>
      </c>
    </row>
    <row r="203" ht="15.75" customHeight="1">
      <c r="A203" s="146">
        <f>'Teacher Calendar'!D663</f>
        <v>46433</v>
      </c>
      <c r="B203" s="146">
        <f>'Teacher Calendar'!E663</f>
        <v>46434</v>
      </c>
      <c r="C203" s="146">
        <f>'Teacher Calendar'!F663</f>
        <v>46435</v>
      </c>
      <c r="D203" s="146">
        <f>'Teacher Calendar'!G663</f>
        <v>46436</v>
      </c>
      <c r="E203" s="146">
        <f>'Teacher Calendar'!H663</f>
        <v>46437</v>
      </c>
    </row>
    <row r="204" ht="15.75" customHeight="1">
      <c r="A204" s="131" t="str">
        <f t="array" ref="A204">IFERROR(INDEX('Teacher Calendar'!$D$664:$D$673,SMALL(IF(('Teacher Calendar'!$D$664:$D$673&lt;&gt;"")*('Teacher Calendar'!$D$664:$D$673&lt;&gt;0),ROW('Teacher Calendar'!$D$664:$D$673)-ROW('Teacher Calendar'!$D$664)+1),1)),"")</f>
        <v>7.2: Voltage &amp; Current</v>
      </c>
      <c r="B204" s="131" t="str">
        <f t="array" ref="B204">IFERROR(INDEX('Teacher Calendar'!$E$664:$E$673,SMALL(IF(('Teacher Calendar'!$E$664:$E$673&lt;&gt;"")*('Teacher Calendar'!$E$664:$E$673&lt;&gt;0),ROW('Teacher Calendar'!$E$664:$E$673)-ROW('Teacher Calendar'!$E$664)+1),1)),"")</f>
        <v>7.2: Voltage &amp; Current</v>
      </c>
      <c r="C204" s="131" t="str">
        <f t="array" ref="C204">IFERROR(INDEX('Teacher Calendar'!$F$664:$F$673,SMALL(IF(('Teacher Calendar'!$F$664:$F$673&lt;&gt;"")*('Teacher Calendar'!$F$664:$F$673&lt;&gt;0),ROW('Teacher Calendar'!$F$664:$F$673)-ROW('Teacher Calendar'!$F$664)+1),1)),"")</f>
        <v>7.3: R &amp; Ohm's Law</v>
      </c>
      <c r="D204" s="131" t="str">
        <f t="array" ref="D204">IFERROR(INDEX('Teacher Calendar'!$G$664:$G$673,SMALL(IF(('Teacher Calendar'!$G$664:$G$673&lt;&gt;"")*('Teacher Calendar'!$G$664:$G$673&lt;&gt;0),ROW('Teacher Calendar'!$G$664:$G$673)-ROW('Teacher Calendar'!$G$664)+1),1)),"")</f>
        <v>7.3: R &amp; Ohm's Law</v>
      </c>
      <c r="E204" s="77" t="str">
        <f t="array" ref="E204">IFERROR(INDEX('Teacher Calendar'!$H$664:$H$673,SMALL(IF(('Teacher Calendar'!$H$664:$H$673&lt;&gt;"")*('Teacher Calendar'!$H$664:$H$673&lt;&gt;0),ROW('Teacher Calendar'!$H$664:$H$673)-ROW('Teacher Calendar'!$H$664)+1),1)),"")</f>
        <v/>
      </c>
    </row>
    <row r="205" ht="15.75" customHeight="1">
      <c r="A205" s="67" t="str">
        <f t="array" ref="A205">IFERROR(INDEX('Teacher Calendar'!$D$664:$D$673,SMALL(IF(('Teacher Calendar'!$D$664:$D$673&lt;&gt;"")*('Teacher Calendar'!$D$664:$D$673&lt;&gt;0),ROW('Teacher Calendar'!$D$664:$D$673)-ROW('Teacher Calendar'!$D$664)+1),2)),"")</f>
        <v>Warm Up</v>
      </c>
      <c r="B205" s="67" t="str">
        <f t="array" ref="B205">IFERROR(INDEX('Teacher Calendar'!$E$664:$E$673,SMALL(IF(('Teacher Calendar'!$E$664:$E$673&lt;&gt;"")*('Teacher Calendar'!$E$664:$E$673&lt;&gt;0),ROW('Teacher Calendar'!$E$664:$E$673)-ROW('Teacher Calendar'!$E$664)+1),2)),"")</f>
        <v>Warm Up</v>
      </c>
      <c r="C205" s="67" t="str">
        <f t="array" ref="C205">IFERROR(INDEX('Teacher Calendar'!$F$664:$F$673,SMALL(IF(('Teacher Calendar'!$F$664:$F$673&lt;&gt;"")*('Teacher Calendar'!$F$664:$F$673&lt;&gt;0),ROW('Teacher Calendar'!$F$664:$F$673)-ROW('Teacher Calendar'!$F$664)+1),2)),"")</f>
        <v>Warm Up</v>
      </c>
      <c r="D205" s="67" t="str">
        <f t="array" ref="D205">IFERROR(INDEX('Teacher Calendar'!$G$664:$G$673,SMALL(IF(('Teacher Calendar'!$G$664:$G$673&lt;&gt;"")*('Teacher Calendar'!$G$664:$G$673&lt;&gt;0),ROW('Teacher Calendar'!$G$664:$G$673)-ROW('Teacher Calendar'!$G$664)+1),2)),"")</f>
        <v>Warm Up</v>
      </c>
      <c r="E205" s="77" t="str">
        <f t="array" ref="E205">IFERROR(INDEX('Teacher Calendar'!$H$664:$H$673,SMALL(IF(('Teacher Calendar'!$H$664:$H$673&lt;&gt;"")*('Teacher Calendar'!$H$664:$H$673&lt;&gt;0),ROW('Teacher Calendar'!$H$664:$H$673)-ROW('Teacher Calendar'!$H$664)+1),2)),"")</f>
        <v/>
      </c>
    </row>
    <row r="206" ht="15.75" customHeight="1">
      <c r="A206" s="67" t="str">
        <f t="array" ref="A206">IFERROR(INDEX('Teacher Calendar'!$D$664:$D$673,SMALL(IF(('Teacher Calendar'!$D$664:$D$673&lt;&gt;"")*('Teacher Calendar'!$D$664:$D$673&lt;&gt;0),ROW('Teacher Calendar'!$D$664:$D$673)-ROW('Teacher Calendar'!$D$664)+1),3)),"")</f>
        <v>Demo</v>
      </c>
      <c r="B206" s="67" t="str">
        <f t="array" ref="B206">IFERROR(INDEX('Teacher Calendar'!$E$664:$E$673,SMALL(IF(('Teacher Calendar'!$E$664:$E$673&lt;&gt;"")*('Teacher Calendar'!$E$664:$E$673&lt;&gt;0),ROW('Teacher Calendar'!$E$664:$E$673)-ROW('Teacher Calendar'!$E$664)+1),3)),"")</f>
        <v>Demo</v>
      </c>
      <c r="C206" s="67" t="str">
        <f t="array" ref="C206">IFERROR(INDEX('Teacher Calendar'!$F$664:$F$673,SMALL(IF(('Teacher Calendar'!$F$664:$F$673&lt;&gt;"")*('Teacher Calendar'!$F$664:$F$673&lt;&gt;0),ROW('Teacher Calendar'!$F$664:$F$673)-ROW('Teacher Calendar'!$F$664)+1),3)),"")</f>
        <v>Demo</v>
      </c>
      <c r="D206" s="67" t="str">
        <f t="array" ref="D206">IFERROR(INDEX('Teacher Calendar'!$G$664:$G$673,SMALL(IF(('Teacher Calendar'!$G$664:$G$673&lt;&gt;"")*('Teacher Calendar'!$G$664:$G$673&lt;&gt;0),ROW('Teacher Calendar'!$G$664:$G$673)-ROW('Teacher Calendar'!$G$664)+1),3)),"")</f>
        <v>Demo</v>
      </c>
      <c r="E206" s="77" t="str">
        <f t="array" ref="E206">IFERROR(INDEX('Teacher Calendar'!$H$664:$H$673,SMALL(IF(('Teacher Calendar'!$H$664:$H$673&lt;&gt;"")*('Teacher Calendar'!$H$664:$H$673&lt;&gt;0),ROW('Teacher Calendar'!$H$664:$H$673)-ROW('Teacher Calendar'!$H$664)+1),3)),"")</f>
        <v/>
      </c>
    </row>
    <row r="207" ht="15.75" customHeight="1">
      <c r="A207" s="67" t="str">
        <f t="array" ref="A207">IFERROR(INDEX('Teacher Calendar'!$D$664:$D$673,SMALL(IF(('Teacher Calendar'!$D$664:$D$673&lt;&gt;"")*('Teacher Calendar'!$D$664:$D$673&lt;&gt;0),ROW('Teacher Calendar'!$D$664:$D$673)-ROW('Teacher Calendar'!$D$664)+1),4)),"")</f>
        <v>Notes</v>
      </c>
      <c r="B207" s="67" t="str">
        <f t="array" ref="B207">IFERROR(INDEX('Teacher Calendar'!$E$664:$E$673,SMALL(IF(('Teacher Calendar'!$E$664:$E$673&lt;&gt;"")*('Teacher Calendar'!$E$664:$E$673&lt;&gt;0),ROW('Teacher Calendar'!$E$664:$E$673)-ROW('Teacher Calendar'!$E$664)+1),4)),"")</f>
        <v>Notes</v>
      </c>
      <c r="C207" s="67" t="str">
        <f t="array" ref="C207">IFERROR(INDEX('Teacher Calendar'!$F$664:$F$673,SMALL(IF(('Teacher Calendar'!$F$664:$F$673&lt;&gt;"")*('Teacher Calendar'!$F$664:$F$673&lt;&gt;0),ROW('Teacher Calendar'!$F$664:$F$673)-ROW('Teacher Calendar'!$F$664)+1),4)),"")</f>
        <v>Notes</v>
      </c>
      <c r="D207" s="67" t="str">
        <f t="array" ref="D207">IFERROR(INDEX('Teacher Calendar'!$G$664:$G$673,SMALL(IF(('Teacher Calendar'!$G$664:$G$673&lt;&gt;"")*('Teacher Calendar'!$G$664:$G$673&lt;&gt;0),ROW('Teacher Calendar'!$G$664:$G$673)-ROW('Teacher Calendar'!$G$664)+1),4)),"")</f>
        <v>Notes</v>
      </c>
      <c r="E207" s="77" t="str">
        <f t="array" ref="E207">IFERROR(INDEX('Teacher Calendar'!$H$664:$H$673,SMALL(IF(('Teacher Calendar'!$H$664:$H$673&lt;&gt;"")*('Teacher Calendar'!$H$664:$H$673&lt;&gt;0),ROW('Teacher Calendar'!$H$664:$H$673)-ROW('Teacher Calendar'!$H$664)+1),4)),"")</f>
        <v/>
      </c>
    </row>
    <row r="208" ht="15.75" customHeight="1">
      <c r="A208" s="67" t="str">
        <f t="array" ref="A208">IFERROR(INDEX('Teacher Calendar'!$D$664:$D$673,SMALL(IF(('Teacher Calendar'!$D$664:$D$673&lt;&gt;"")*('Teacher Calendar'!$D$664:$D$673&lt;&gt;0),ROW('Teacher Calendar'!$D$664:$D$673)-ROW('Teacher Calendar'!$D$664)+1),5)),"")</f>
        <v>Investigation</v>
      </c>
      <c r="B208" s="67" t="str">
        <f t="array" ref="B208">IFERROR(INDEX('Teacher Calendar'!$E$664:$E$673,SMALL(IF(('Teacher Calendar'!$E$664:$E$673&lt;&gt;"")*('Teacher Calendar'!$E$664:$E$673&lt;&gt;0),ROW('Teacher Calendar'!$E$664:$E$673)-ROW('Teacher Calendar'!$E$664)+1),5)),"")</f>
        <v>Investigation</v>
      </c>
      <c r="C208" s="67" t="str">
        <f t="array" ref="C208">IFERROR(INDEX('Teacher Calendar'!$F$664:$F$673,SMALL(IF(('Teacher Calendar'!$F$664:$F$673&lt;&gt;"")*('Teacher Calendar'!$F$664:$F$673&lt;&gt;0),ROW('Teacher Calendar'!$F$664:$F$673)-ROW('Teacher Calendar'!$F$664)+1),5)),"")</f>
        <v>Investigation</v>
      </c>
      <c r="D208" s="67" t="str">
        <f t="array" ref="D208">IFERROR(INDEX('Teacher Calendar'!$G$664:$G$673,SMALL(IF(('Teacher Calendar'!$G$664:$G$673&lt;&gt;"")*('Teacher Calendar'!$G$664:$G$673&lt;&gt;0),ROW('Teacher Calendar'!$G$664:$G$673)-ROW('Teacher Calendar'!$G$664)+1),5)),"")</f>
        <v>Investigation</v>
      </c>
      <c r="E208" s="77" t="str">
        <f t="array" ref="E208">IFERROR(INDEX('Teacher Calendar'!$H$664:$H$673,SMALL(IF(('Teacher Calendar'!$H$664:$H$673&lt;&gt;"")*('Teacher Calendar'!$H$664:$H$673&lt;&gt;0),ROW('Teacher Calendar'!$H$664:$H$673)-ROW('Teacher Calendar'!$H$664)+1),5)),"")</f>
        <v/>
      </c>
    </row>
    <row r="209" ht="15.75" customHeight="1">
      <c r="A209" s="67" t="str">
        <f t="array" ref="A209">IFERROR(INDEX('Teacher Calendar'!$D$664:$D$673,SMALL(IF(('Teacher Calendar'!$D$664:$D$673&lt;&gt;"")*('Teacher Calendar'!$D$664:$D$673&lt;&gt;0),ROW('Teacher Calendar'!$D$664:$D$673)-ROW('Teacher Calendar'!$D$664)+1),6)),"")</f>
        <v>Activity</v>
      </c>
      <c r="B209" s="67" t="str">
        <f t="array" ref="B209">IFERROR(INDEX('Teacher Calendar'!$E$664:$E$673,SMALL(IF(('Teacher Calendar'!$E$664:$E$673&lt;&gt;"")*('Teacher Calendar'!$E$664:$E$673&lt;&gt;0),ROW('Teacher Calendar'!$E$664:$E$673)-ROW('Teacher Calendar'!$E$664)+1),6)),"")</f>
        <v>Activity</v>
      </c>
      <c r="C209" s="67" t="str">
        <f t="array" ref="C209">IFERROR(INDEX('Teacher Calendar'!$F$664:$F$673,SMALL(IF(('Teacher Calendar'!$F$664:$F$673&lt;&gt;"")*('Teacher Calendar'!$F$664:$F$673&lt;&gt;0),ROW('Teacher Calendar'!$F$664:$F$673)-ROW('Teacher Calendar'!$F$664)+1),6)),"")</f>
        <v>Activity</v>
      </c>
      <c r="D209" s="67" t="str">
        <f t="array" ref="D209">IFERROR(INDEX('Teacher Calendar'!$G$664:$G$673,SMALL(IF(('Teacher Calendar'!$G$664:$G$673&lt;&gt;"")*('Teacher Calendar'!$G$664:$G$673&lt;&gt;0),ROW('Teacher Calendar'!$G$664:$G$673)-ROW('Teacher Calendar'!$G$664)+1),6)),"")</f>
        <v>Activity</v>
      </c>
      <c r="E209" s="77" t="str">
        <f t="array" ref="E209">IFERROR(INDEX('Teacher Calendar'!$H$664:$H$673,SMALL(IF(('Teacher Calendar'!$H$664:$H$673&lt;&gt;"")*('Teacher Calendar'!$H$664:$H$673&lt;&gt;0),ROW('Teacher Calendar'!$H$664:$H$673)-ROW('Teacher Calendar'!$H$664)+1),6)),"")</f>
        <v/>
      </c>
    </row>
    <row r="210" ht="15.75" customHeight="1">
      <c r="A210" s="67" t="str">
        <f t="array" ref="A210">IFERROR(INDEX('Teacher Calendar'!$D$664:$D$673,SMALL(IF(('Teacher Calendar'!$D$664:$D$673&lt;&gt;"")*('Teacher Calendar'!$D$664:$D$673&lt;&gt;0),ROW('Teacher Calendar'!$D$664:$D$673)-ROW('Teacher Calendar'!$D$664)+1),7)),"")</f>
        <v>Practice Set</v>
      </c>
      <c r="B210" s="67" t="str">
        <f t="array" ref="B210">IFERROR(INDEX('Teacher Calendar'!$E$664:$E$673,SMALL(IF(('Teacher Calendar'!$E$664:$E$673&lt;&gt;"")*('Teacher Calendar'!$E$664:$E$673&lt;&gt;0),ROW('Teacher Calendar'!$E$664:$E$673)-ROW('Teacher Calendar'!$E$664)+1),7)),"")</f>
        <v>Practice Set</v>
      </c>
      <c r="C210" s="67" t="str">
        <f t="array" ref="C210">IFERROR(INDEX('Teacher Calendar'!$F$664:$F$673,SMALL(IF(('Teacher Calendar'!$F$664:$F$673&lt;&gt;"")*('Teacher Calendar'!$F$664:$F$673&lt;&gt;0),ROW('Teacher Calendar'!$F$664:$F$673)-ROW('Teacher Calendar'!$F$664)+1),7)),"")</f>
        <v>Practice Set</v>
      </c>
      <c r="D210" s="67" t="str">
        <f t="array" ref="D210">IFERROR(INDEX('Teacher Calendar'!$G$664:$G$673,SMALL(IF(('Teacher Calendar'!$G$664:$G$673&lt;&gt;"")*('Teacher Calendar'!$G$664:$G$673&lt;&gt;0),ROW('Teacher Calendar'!$G$664:$G$673)-ROW('Teacher Calendar'!$G$664)+1),7)),"")</f>
        <v>Practice Set</v>
      </c>
      <c r="E210" s="77" t="str">
        <f t="array" ref="E210">IFERROR(INDEX('Teacher Calendar'!$H$664:$H$673,SMALL(IF(('Teacher Calendar'!$H$664:$H$673&lt;&gt;"")*('Teacher Calendar'!$H$664:$H$673&lt;&gt;0),ROW('Teacher Calendar'!$H$664:$H$673)-ROW('Teacher Calendar'!$H$664)+1),7)),"")</f>
        <v/>
      </c>
    </row>
    <row r="211" ht="15.75" customHeight="1">
      <c r="A211" s="146">
        <f>'Teacher Calendar'!D690</f>
        <v>46440</v>
      </c>
      <c r="B211" s="146">
        <f>'Teacher Calendar'!E690</f>
        <v>46441</v>
      </c>
      <c r="C211" s="146">
        <f>'Teacher Calendar'!F690</f>
        <v>46442</v>
      </c>
      <c r="D211" s="146">
        <f>'Teacher Calendar'!G690</f>
        <v>46443</v>
      </c>
      <c r="E211" s="146">
        <f>'Teacher Calendar'!H690</f>
        <v>46444</v>
      </c>
    </row>
    <row r="212" ht="15.75" customHeight="1">
      <c r="A212" s="77" t="str">
        <f t="array" ref="A212">IFERROR(INDEX('Teacher Calendar'!$D$691:$D$700,SMALL(IF(('Teacher Calendar'!$D$691:$D$700&lt;&gt;"")*('Teacher Calendar'!$D$691:$D$700&lt;&gt;0),ROW('Teacher Calendar'!$D$691:$D$700)-ROW('Teacher Calendar'!$D$691)+1),1)),"")</f>
        <v/>
      </c>
      <c r="B212" s="131" t="str">
        <f t="array" ref="B212">IFERROR(INDEX('Teacher Calendar'!$E$691:$E$700,SMALL(IF(('Teacher Calendar'!$E$691:$E$700&lt;&gt;"")*('Teacher Calendar'!$E$691:$E$700&lt;&gt;0),ROW('Teacher Calendar'!$E$691:$E$700)-ROW('Teacher Calendar'!$E$691)+1),1)),"")</f>
        <v>7.3: R &amp; Ohm's Law</v>
      </c>
      <c r="C212" s="131" t="str">
        <f t="array" ref="C212">IFERROR(INDEX('Teacher Calendar'!$F$691:$F$700,SMALL(IF(('Teacher Calendar'!$F$691:$F$700&lt;&gt;"")*('Teacher Calendar'!$F$691:$F$700&lt;&gt;0),ROW('Teacher Calendar'!$F$691:$F$700)-ROW('Teacher Calendar'!$F$691)+1),1)),"")</f>
        <v>7.4: Power &amp; Energy</v>
      </c>
      <c r="D212" s="131" t="str">
        <f t="array" ref="D212">IFERROR(INDEX('Teacher Calendar'!$G$691:$G$700,SMALL(IF(('Teacher Calendar'!$G$691:$G$700&lt;&gt;"")*('Teacher Calendar'!$G$691:$G$700&lt;&gt;0),ROW('Teacher Calendar'!$G$691:$G$700)-ROW('Teacher Calendar'!$G$691)+1),1)),"")</f>
        <v>7.4: Power &amp; Energy</v>
      </c>
      <c r="E212" s="131" t="str">
        <f t="array" ref="E212">IFERROR(INDEX('Teacher Calendar'!$H$691:$H$700,SMALL(IF(('Teacher Calendar'!$H$691:$H$700&lt;&gt;"")*('Teacher Calendar'!$H$691:$H$700&lt;&gt;0),ROW('Teacher Calendar'!$H$691:$H$700)-ROW('Teacher Calendar'!$H$691)+1),1)),"")</f>
        <v>7.4: Power &amp; Energy</v>
      </c>
    </row>
    <row r="213" ht="15.75" customHeight="1">
      <c r="A213" s="77" t="str">
        <f t="array" ref="A213">IFERROR(INDEX('Teacher Calendar'!$D$691:$D$700,SMALL(IF(('Teacher Calendar'!$D$691:$D$700&lt;&gt;"")*('Teacher Calendar'!$D$691:$D$700&lt;&gt;0),ROW('Teacher Calendar'!$D$691:$D$700)-ROW('Teacher Calendar'!$D$691)+1),2)),"")</f>
        <v/>
      </c>
      <c r="B213" s="67" t="str">
        <f t="array" ref="B213">IFERROR(INDEX('Teacher Calendar'!$E$691:$E$700,SMALL(IF(('Teacher Calendar'!$E$691:$E$700&lt;&gt;"")*('Teacher Calendar'!$E$691:$E$700&lt;&gt;0),ROW('Teacher Calendar'!$E$691:$E$700)-ROW('Teacher Calendar'!$E$691)+1),2)),"")</f>
        <v>Warm Up</v>
      </c>
      <c r="C213" s="67" t="str">
        <f t="array" ref="C213">IFERROR(INDEX('Teacher Calendar'!$F$691:$F$700,SMALL(IF(('Teacher Calendar'!$F$691:$F$700&lt;&gt;"")*('Teacher Calendar'!$F$691:$F$700&lt;&gt;0),ROW('Teacher Calendar'!$F$691:$F$700)-ROW('Teacher Calendar'!$F$691)+1),2)),"")</f>
        <v>Warm Up</v>
      </c>
      <c r="D213" s="67" t="str">
        <f t="array" ref="D213">IFERROR(INDEX('Teacher Calendar'!$G$691:$G$700,SMALL(IF(('Teacher Calendar'!$G$691:$G$700&lt;&gt;"")*('Teacher Calendar'!$G$691:$G$700&lt;&gt;0),ROW('Teacher Calendar'!$G$691:$G$700)-ROW('Teacher Calendar'!$G$691)+1),2)),"")</f>
        <v>Warm Up</v>
      </c>
      <c r="E213" s="67" t="str">
        <f t="array" ref="E213">IFERROR(INDEX('Teacher Calendar'!$H$691:$H$700,SMALL(IF(('Teacher Calendar'!$H$691:$H$700&lt;&gt;"")*('Teacher Calendar'!$H$691:$H$700&lt;&gt;0),ROW('Teacher Calendar'!$H$691:$H$700)-ROW('Teacher Calendar'!$H$691)+1),2)),"")</f>
        <v>Warm Up</v>
      </c>
    </row>
    <row r="214" ht="15.75" customHeight="1">
      <c r="A214" s="77" t="str">
        <f t="array" ref="A214">IFERROR(INDEX('Teacher Calendar'!$D$691:$D$700,SMALL(IF(('Teacher Calendar'!$D$691:$D$700&lt;&gt;"")*('Teacher Calendar'!$D$691:$D$700&lt;&gt;0),ROW('Teacher Calendar'!$D$691:$D$700)-ROW('Teacher Calendar'!$D$691)+1),3)),"")</f>
        <v/>
      </c>
      <c r="B214" s="67" t="str">
        <f t="array" ref="B214">IFERROR(INDEX('Teacher Calendar'!$E$691:$E$700,SMALL(IF(('Teacher Calendar'!$E$691:$E$700&lt;&gt;"")*('Teacher Calendar'!$E$691:$E$700&lt;&gt;0),ROW('Teacher Calendar'!$E$691:$E$700)-ROW('Teacher Calendar'!$E$691)+1),3)),"")</f>
        <v>Demo</v>
      </c>
      <c r="C214" s="67" t="str">
        <f t="array" ref="C214">IFERROR(INDEX('Teacher Calendar'!$F$691:$F$700,SMALL(IF(('Teacher Calendar'!$F$691:$F$700&lt;&gt;"")*('Teacher Calendar'!$F$691:$F$700&lt;&gt;0),ROW('Teacher Calendar'!$F$691:$F$700)-ROW('Teacher Calendar'!$F$691)+1),3)),"")</f>
        <v>Demo</v>
      </c>
      <c r="D214" s="67" t="str">
        <f t="array" ref="D214">IFERROR(INDEX('Teacher Calendar'!$G$691:$G$700,SMALL(IF(('Teacher Calendar'!$G$691:$G$700&lt;&gt;"")*('Teacher Calendar'!$G$691:$G$700&lt;&gt;0),ROW('Teacher Calendar'!$G$691:$G$700)-ROW('Teacher Calendar'!$G$691)+1),3)),"")</f>
        <v>Demo</v>
      </c>
      <c r="E214" s="67" t="str">
        <f t="array" ref="E214">IFERROR(INDEX('Teacher Calendar'!$H$691:$H$700,SMALL(IF(('Teacher Calendar'!$H$691:$H$700&lt;&gt;"")*('Teacher Calendar'!$H$691:$H$700&lt;&gt;0),ROW('Teacher Calendar'!$H$691:$H$700)-ROW('Teacher Calendar'!$H$691)+1),3)),"")</f>
        <v>Demo</v>
      </c>
    </row>
    <row r="215" ht="15.75" customHeight="1">
      <c r="A215" s="77" t="str">
        <f t="array" ref="A215">IFERROR(INDEX('Teacher Calendar'!$D$691:$D$700,SMALL(IF(('Teacher Calendar'!$D$691:$D$700&lt;&gt;"")*('Teacher Calendar'!$D$691:$D$700&lt;&gt;0),ROW('Teacher Calendar'!$D$691:$D$700)-ROW('Teacher Calendar'!$D$691)+1),4)),"")</f>
        <v/>
      </c>
      <c r="B215" s="67" t="str">
        <f t="array" ref="B215">IFERROR(INDEX('Teacher Calendar'!$E$691:$E$700,SMALL(IF(('Teacher Calendar'!$E$691:$E$700&lt;&gt;"")*('Teacher Calendar'!$E$691:$E$700&lt;&gt;0),ROW('Teacher Calendar'!$E$691:$E$700)-ROW('Teacher Calendar'!$E$691)+1),4)),"")</f>
        <v>Notes</v>
      </c>
      <c r="C215" s="67" t="str">
        <f t="array" ref="C215">IFERROR(INDEX('Teacher Calendar'!$F$691:$F$700,SMALL(IF(('Teacher Calendar'!$F$691:$F$700&lt;&gt;"")*('Teacher Calendar'!$F$691:$F$700&lt;&gt;0),ROW('Teacher Calendar'!$F$691:$F$700)-ROW('Teacher Calendar'!$F$691)+1),4)),"")</f>
        <v>Notes</v>
      </c>
      <c r="D215" s="67" t="str">
        <f t="array" ref="D215">IFERROR(INDEX('Teacher Calendar'!$G$691:$G$700,SMALL(IF(('Teacher Calendar'!$G$691:$G$700&lt;&gt;"")*('Teacher Calendar'!$G$691:$G$700&lt;&gt;0),ROW('Teacher Calendar'!$G$691:$G$700)-ROW('Teacher Calendar'!$G$691)+1),4)),"")</f>
        <v>Notes</v>
      </c>
      <c r="E215" s="67" t="str">
        <f t="array" ref="E215">IFERROR(INDEX('Teacher Calendar'!$H$691:$H$700,SMALL(IF(('Teacher Calendar'!$H$691:$H$700&lt;&gt;"")*('Teacher Calendar'!$H$691:$H$700&lt;&gt;0),ROW('Teacher Calendar'!$H$691:$H$700)-ROW('Teacher Calendar'!$H$691)+1),4)),"")</f>
        <v>Notes</v>
      </c>
    </row>
    <row r="216" ht="15.75" customHeight="1">
      <c r="A216" s="77" t="str">
        <f t="array" ref="A216">IFERROR(INDEX('Teacher Calendar'!$D$691:$D$700,SMALL(IF(('Teacher Calendar'!$D$691:$D$700&lt;&gt;"")*('Teacher Calendar'!$D$691:$D$700&lt;&gt;0),ROW('Teacher Calendar'!$D$691:$D$700)-ROW('Teacher Calendar'!$D$691)+1),5)),"")</f>
        <v/>
      </c>
      <c r="B216" s="67" t="str">
        <f t="array" ref="B216">IFERROR(INDEX('Teacher Calendar'!$E$691:$E$700,SMALL(IF(('Teacher Calendar'!$E$691:$E$700&lt;&gt;"")*('Teacher Calendar'!$E$691:$E$700&lt;&gt;0),ROW('Teacher Calendar'!$E$691:$E$700)-ROW('Teacher Calendar'!$E$691)+1),5)),"")</f>
        <v>Investigation</v>
      </c>
      <c r="C216" s="67" t="str">
        <f t="array" ref="C216">IFERROR(INDEX('Teacher Calendar'!$F$691:$F$700,SMALL(IF(('Teacher Calendar'!$F$691:$F$700&lt;&gt;"")*('Teacher Calendar'!$F$691:$F$700&lt;&gt;0),ROW('Teacher Calendar'!$F$691:$F$700)-ROW('Teacher Calendar'!$F$691)+1),5)),"")</f>
        <v>Investigation</v>
      </c>
      <c r="D216" s="67" t="str">
        <f t="array" ref="D216">IFERROR(INDEX('Teacher Calendar'!$G$691:$G$700,SMALL(IF(('Teacher Calendar'!$G$691:$G$700&lt;&gt;"")*('Teacher Calendar'!$G$691:$G$700&lt;&gt;0),ROW('Teacher Calendar'!$G$691:$G$700)-ROW('Teacher Calendar'!$G$691)+1),5)),"")</f>
        <v>Investigation</v>
      </c>
      <c r="E216" s="67" t="str">
        <f t="array" ref="E216">IFERROR(INDEX('Teacher Calendar'!$H$691:$H$700,SMALL(IF(('Teacher Calendar'!$H$691:$H$700&lt;&gt;"")*('Teacher Calendar'!$H$691:$H$700&lt;&gt;0),ROW('Teacher Calendar'!$H$691:$H$700)-ROW('Teacher Calendar'!$H$691)+1),5)),"")</f>
        <v>Investigation</v>
      </c>
    </row>
    <row r="217" ht="15.75" customHeight="1">
      <c r="A217" s="77" t="str">
        <f t="array" ref="A217">IFERROR(INDEX('Teacher Calendar'!$D$691:$D$700,SMALL(IF(('Teacher Calendar'!$D$691:$D$700&lt;&gt;"")*('Teacher Calendar'!$D$691:$D$700&lt;&gt;0),ROW('Teacher Calendar'!$D$691:$D$700)-ROW('Teacher Calendar'!$D$691)+1),6)),"")</f>
        <v/>
      </c>
      <c r="B217" s="67" t="str">
        <f t="array" ref="B217">IFERROR(INDEX('Teacher Calendar'!$E$691:$E$700,SMALL(IF(('Teacher Calendar'!$E$691:$E$700&lt;&gt;"")*('Teacher Calendar'!$E$691:$E$700&lt;&gt;0),ROW('Teacher Calendar'!$E$691:$E$700)-ROW('Teacher Calendar'!$E$691)+1),6)),"")</f>
        <v>Activity</v>
      </c>
      <c r="C217" s="67" t="str">
        <f t="array" ref="C217">IFERROR(INDEX('Teacher Calendar'!$F$691:$F$700,SMALL(IF(('Teacher Calendar'!$F$691:$F$700&lt;&gt;"")*('Teacher Calendar'!$F$691:$F$700&lt;&gt;0),ROW('Teacher Calendar'!$F$691:$F$700)-ROW('Teacher Calendar'!$F$691)+1),6)),"")</f>
        <v>Activity</v>
      </c>
      <c r="D217" s="67" t="str">
        <f t="array" ref="D217">IFERROR(INDEX('Teacher Calendar'!$G$691:$G$700,SMALL(IF(('Teacher Calendar'!$G$691:$G$700&lt;&gt;"")*('Teacher Calendar'!$G$691:$G$700&lt;&gt;0),ROW('Teacher Calendar'!$G$691:$G$700)-ROW('Teacher Calendar'!$G$691)+1),6)),"")</f>
        <v>Activity</v>
      </c>
      <c r="E217" s="67" t="str">
        <f t="array" ref="E217">IFERROR(INDEX('Teacher Calendar'!$H$691:$H$700,SMALL(IF(('Teacher Calendar'!$H$691:$H$700&lt;&gt;"")*('Teacher Calendar'!$H$691:$H$700&lt;&gt;0),ROW('Teacher Calendar'!$H$691:$H$700)-ROW('Teacher Calendar'!$H$691)+1),6)),"")</f>
        <v>Activity</v>
      </c>
    </row>
    <row r="218" ht="15.75" customHeight="1">
      <c r="A218" s="77" t="str">
        <f t="array" ref="A218">IFERROR(INDEX('Teacher Calendar'!$D$691:$D$700,SMALL(IF(('Teacher Calendar'!$D$691:$D$700&lt;&gt;"")*('Teacher Calendar'!$D$691:$D$700&lt;&gt;0),ROW('Teacher Calendar'!$D$691:$D$700)-ROW('Teacher Calendar'!$D$691)+1),7)),"")</f>
        <v/>
      </c>
      <c r="B218" s="67" t="str">
        <f t="array" ref="B218">IFERROR(INDEX('Teacher Calendar'!$E$691:$E$700,SMALL(IF(('Teacher Calendar'!$E$691:$E$700&lt;&gt;"")*('Teacher Calendar'!$E$691:$E$700&lt;&gt;0),ROW('Teacher Calendar'!$E$691:$E$700)-ROW('Teacher Calendar'!$E$691)+1),7)),"")</f>
        <v>Practice Set</v>
      </c>
      <c r="C218" s="67" t="str">
        <f t="array" ref="C218">IFERROR(INDEX('Teacher Calendar'!$F$691:$F$700,SMALL(IF(('Teacher Calendar'!$F$691:$F$700&lt;&gt;"")*('Teacher Calendar'!$F$691:$F$700&lt;&gt;0),ROW('Teacher Calendar'!$F$691:$F$700)-ROW('Teacher Calendar'!$F$691)+1),7)),"")</f>
        <v>Practice Set</v>
      </c>
      <c r="D218" s="67" t="str">
        <f t="array" ref="D218">IFERROR(INDEX('Teacher Calendar'!$G$691:$G$700,SMALL(IF(('Teacher Calendar'!$G$691:$G$700&lt;&gt;"")*('Teacher Calendar'!$G$691:$G$700&lt;&gt;0),ROW('Teacher Calendar'!$G$691:$G$700)-ROW('Teacher Calendar'!$G$691)+1),7)),"")</f>
        <v>Practice Set</v>
      </c>
      <c r="E218" s="67" t="str">
        <f t="array" ref="E218">IFERROR(INDEX('Teacher Calendar'!$H$691:$H$700,SMALL(IF(('Teacher Calendar'!$H$691:$H$700&lt;&gt;"")*('Teacher Calendar'!$H$691:$H$700&lt;&gt;0),ROW('Teacher Calendar'!$H$691:$H$700)-ROW('Teacher Calendar'!$H$691)+1),7)),"")</f>
        <v>Practice Set</v>
      </c>
    </row>
    <row r="219" ht="15.75" customHeight="1">
      <c r="A219" s="146">
        <f>'Teacher Calendar'!D717</f>
        <v>46447</v>
      </c>
      <c r="B219" s="146">
        <f>'Teacher Calendar'!E717</f>
        <v>46448</v>
      </c>
      <c r="C219" s="146">
        <f>'Teacher Calendar'!F717</f>
        <v>46449</v>
      </c>
      <c r="D219" s="146">
        <f>'Teacher Calendar'!G717</f>
        <v>46450</v>
      </c>
      <c r="E219" s="146">
        <f>'Teacher Calendar'!H717</f>
        <v>46451</v>
      </c>
    </row>
    <row r="220" ht="15.75" customHeight="1">
      <c r="A220" s="131" t="str">
        <f t="array" ref="A220">IFERROR(INDEX('Teacher Calendar'!$D$718:$D$727,SMALL(IF(('Teacher Calendar'!$D$718:$D$727&lt;&gt;"")*('Teacher Calendar'!$D$718:$D$727&lt;&gt;0),ROW('Teacher Calendar'!$D$718:$D$727)-ROW('Teacher Calendar'!$D$718)+1),1)),"")</f>
        <v>7.5: Complex Circuits</v>
      </c>
      <c r="B220" s="131" t="str">
        <f t="array" ref="B220">IFERROR(INDEX('Teacher Calendar'!$E$718:$E$727,SMALL(IF(('Teacher Calendar'!$E$718:$E$727&lt;&gt;"")*('Teacher Calendar'!$E$718:$E$727&lt;&gt;0),ROW('Teacher Calendar'!$E$718:$E$727)-ROW('Teacher Calendar'!$E$718)+1),1)),"")</f>
        <v>7.5: Complex Circuits</v>
      </c>
      <c r="C220" s="131" t="str">
        <f t="array" ref="C220">IFERROR(INDEX('Teacher Calendar'!$F$718:$F$727,SMALL(IF(('Teacher Calendar'!$F$718:$F$727&lt;&gt;"")*('Teacher Calendar'!$F$718:$F$727&lt;&gt;0),ROW('Teacher Calendar'!$F$718:$F$727)-ROW('Teacher Calendar'!$F$718)+1),1)),"")</f>
        <v>7.5: Complex Circuits</v>
      </c>
      <c r="D220" s="131" t="str">
        <f t="array" ref="D220">IFERROR(INDEX('Teacher Calendar'!$G$718:$G$727,SMALL(IF(('Teacher Calendar'!$G$718:$G$727&lt;&gt;"")*('Teacher Calendar'!$G$718:$G$727&lt;&gt;0),ROW('Teacher Calendar'!$G$718:$G$727)-ROW('Teacher Calendar'!$G$718)+1),1)),"")</f>
        <v>Unit 7 Sum Assess</v>
      </c>
      <c r="E220" s="131" t="str">
        <f t="array" ref="E220">IFERROR(INDEX('Teacher Calendar'!$H$718:$H$727,SMALL(IF(('Teacher Calendar'!$H$718:$H$727&lt;&gt;"")*('Teacher Calendar'!$H$718:$H$727&lt;&gt;0),ROW('Teacher Calendar'!$H$718:$H$727)-ROW('Teacher Calendar'!$H$718)+1),1)),"")</f>
        <v>8.1: Magnetic Fields</v>
      </c>
    </row>
    <row r="221" ht="15.75" customHeight="1">
      <c r="A221" s="67" t="str">
        <f t="array" ref="A221">IFERROR(INDEX('Teacher Calendar'!$D$718:$D$727,SMALL(IF(('Teacher Calendar'!$D$718:$D$727&lt;&gt;"")*('Teacher Calendar'!$D$718:$D$727&lt;&gt;0),ROW('Teacher Calendar'!$D$718:$D$727)-ROW('Teacher Calendar'!$D$718)+1),2)),"")</f>
        <v>Warm Up</v>
      </c>
      <c r="B221" s="67" t="str">
        <f t="array" ref="B221">IFERROR(INDEX('Teacher Calendar'!$E$718:$E$727,SMALL(IF(('Teacher Calendar'!$E$718:$E$727&lt;&gt;"")*('Teacher Calendar'!$E$718:$E$727&lt;&gt;0),ROW('Teacher Calendar'!$E$718:$E$727)-ROW('Teacher Calendar'!$E$718)+1),2)),"")</f>
        <v>Warm Up</v>
      </c>
      <c r="C221" s="67" t="str">
        <f t="array" ref="C221">IFERROR(INDEX('Teacher Calendar'!$F$718:$F$727,SMALL(IF(('Teacher Calendar'!$F$718:$F$727&lt;&gt;"")*('Teacher Calendar'!$F$718:$F$727&lt;&gt;0),ROW('Teacher Calendar'!$F$718:$F$727)-ROW('Teacher Calendar'!$F$718)+1),2)),"")</f>
        <v>Warm Up</v>
      </c>
      <c r="D221" s="131" t="str">
        <f t="array" ref="D221">IFERROR(INDEX('Teacher Calendar'!$G$718:$G$727,SMALL(IF(('Teacher Calendar'!$G$718:$G$727&lt;&gt;"")*('Teacher Calendar'!$G$718:$G$727&lt;&gt;0),ROW('Teacher Calendar'!$G$718:$G$727)-ROW('Teacher Calendar'!$G$718)+1),2)),"")</f>
        <v/>
      </c>
      <c r="E221" s="67" t="str">
        <f t="array" ref="E221">IFERROR(INDEX('Teacher Calendar'!$H$718:$H$727,SMALL(IF(('Teacher Calendar'!$H$718:$H$727&lt;&gt;"")*('Teacher Calendar'!$H$718:$H$727&lt;&gt;0),ROW('Teacher Calendar'!$H$718:$H$727)-ROW('Teacher Calendar'!$H$718)+1),2)),"")</f>
        <v>Warm Up</v>
      </c>
    </row>
    <row r="222" ht="15.75" customHeight="1">
      <c r="A222" s="67" t="str">
        <f t="array" ref="A222">IFERROR(INDEX('Teacher Calendar'!$D$718:$D$727,SMALL(IF(('Teacher Calendar'!$D$718:$D$727&lt;&gt;"")*('Teacher Calendar'!$D$718:$D$727&lt;&gt;0),ROW('Teacher Calendar'!$D$718:$D$727)-ROW('Teacher Calendar'!$D$718)+1),3)),"")</f>
        <v>Demo</v>
      </c>
      <c r="B222" s="67" t="str">
        <f t="array" ref="B222">IFERROR(INDEX('Teacher Calendar'!$E$718:$E$727,SMALL(IF(('Teacher Calendar'!$E$718:$E$727&lt;&gt;"")*('Teacher Calendar'!$E$718:$E$727&lt;&gt;0),ROW('Teacher Calendar'!$E$718:$E$727)-ROW('Teacher Calendar'!$E$718)+1),3)),"")</f>
        <v>Demo</v>
      </c>
      <c r="C222" s="67" t="str">
        <f t="array" ref="C222">IFERROR(INDEX('Teacher Calendar'!$F$718:$F$727,SMALL(IF(('Teacher Calendar'!$F$718:$F$727&lt;&gt;"")*('Teacher Calendar'!$F$718:$F$727&lt;&gt;0),ROW('Teacher Calendar'!$F$718:$F$727)-ROW('Teacher Calendar'!$F$718)+1),3)),"")</f>
        <v>Demo</v>
      </c>
      <c r="D222" s="131" t="str">
        <f t="array" ref="D222">IFERROR(INDEX('Teacher Calendar'!$G$718:$G$727,SMALL(IF(('Teacher Calendar'!$G$718:$G$727&lt;&gt;"")*('Teacher Calendar'!$G$718:$G$727&lt;&gt;0),ROW('Teacher Calendar'!$G$718:$G$727)-ROW('Teacher Calendar'!$G$718)+1),3)),"")</f>
        <v/>
      </c>
      <c r="E222" s="67" t="str">
        <f t="array" ref="E222">IFERROR(INDEX('Teacher Calendar'!$H$718:$H$727,SMALL(IF(('Teacher Calendar'!$H$718:$H$727&lt;&gt;"")*('Teacher Calendar'!$H$718:$H$727&lt;&gt;0),ROW('Teacher Calendar'!$H$718:$H$727)-ROW('Teacher Calendar'!$H$718)+1),3)),"")</f>
        <v>Demo</v>
      </c>
    </row>
    <row r="223" ht="15.75" customHeight="1">
      <c r="A223" s="67" t="str">
        <f t="array" ref="A223">IFERROR(INDEX('Teacher Calendar'!$D$718:$D$727,SMALL(IF(('Teacher Calendar'!$D$718:$D$727&lt;&gt;"")*('Teacher Calendar'!$D$718:$D$727&lt;&gt;0),ROW('Teacher Calendar'!$D$718:$D$727)-ROW('Teacher Calendar'!$D$718)+1),4)),"")</f>
        <v>Notes</v>
      </c>
      <c r="B223" s="67" t="str">
        <f t="array" ref="B223">IFERROR(INDEX('Teacher Calendar'!$E$718:$E$727,SMALL(IF(('Teacher Calendar'!$E$718:$E$727&lt;&gt;"")*('Teacher Calendar'!$E$718:$E$727&lt;&gt;0),ROW('Teacher Calendar'!$E$718:$E$727)-ROW('Teacher Calendar'!$E$718)+1),4)),"")</f>
        <v>Notes</v>
      </c>
      <c r="C223" s="67" t="str">
        <f t="array" ref="C223">IFERROR(INDEX('Teacher Calendar'!$F$718:$F$727,SMALL(IF(('Teacher Calendar'!$F$718:$F$727&lt;&gt;"")*('Teacher Calendar'!$F$718:$F$727&lt;&gt;0),ROW('Teacher Calendar'!$F$718:$F$727)-ROW('Teacher Calendar'!$F$718)+1),4)),"")</f>
        <v>Notes</v>
      </c>
      <c r="D223" s="131" t="str">
        <f t="array" ref="D223">IFERROR(INDEX('Teacher Calendar'!$G$718:$G$727,SMALL(IF(('Teacher Calendar'!$G$718:$G$727&lt;&gt;"")*('Teacher Calendar'!$G$718:$G$727&lt;&gt;0),ROW('Teacher Calendar'!$G$718:$G$727)-ROW('Teacher Calendar'!$G$718)+1),4)),"")</f>
        <v/>
      </c>
      <c r="E223" s="67" t="str">
        <f t="array" ref="E223">IFERROR(INDEX('Teacher Calendar'!$H$718:$H$727,SMALL(IF(('Teacher Calendar'!$H$718:$H$727&lt;&gt;"")*('Teacher Calendar'!$H$718:$H$727&lt;&gt;0),ROW('Teacher Calendar'!$H$718:$H$727)-ROW('Teacher Calendar'!$H$718)+1),4)),"")</f>
        <v>Notes</v>
      </c>
    </row>
    <row r="224" ht="15.75" customHeight="1">
      <c r="A224" s="67" t="str">
        <f t="array" ref="A224">IFERROR(INDEX('Teacher Calendar'!$D$718:$D$727,SMALL(IF(('Teacher Calendar'!$D$718:$D$727&lt;&gt;"")*('Teacher Calendar'!$D$718:$D$727&lt;&gt;0),ROW('Teacher Calendar'!$D$718:$D$727)-ROW('Teacher Calendar'!$D$718)+1),5)),"")</f>
        <v>Investigation</v>
      </c>
      <c r="B224" s="67" t="str">
        <f t="array" ref="B224">IFERROR(INDEX('Teacher Calendar'!$E$718:$E$727,SMALL(IF(('Teacher Calendar'!$E$718:$E$727&lt;&gt;"")*('Teacher Calendar'!$E$718:$E$727&lt;&gt;0),ROW('Teacher Calendar'!$E$718:$E$727)-ROW('Teacher Calendar'!$E$718)+1),5)),"")</f>
        <v>Investigation</v>
      </c>
      <c r="C224" s="67" t="str">
        <f t="array" ref="C224">IFERROR(INDEX('Teacher Calendar'!$F$718:$F$727,SMALL(IF(('Teacher Calendar'!$F$718:$F$727&lt;&gt;"")*('Teacher Calendar'!$F$718:$F$727&lt;&gt;0),ROW('Teacher Calendar'!$F$718:$F$727)-ROW('Teacher Calendar'!$F$718)+1),5)),"")</f>
        <v>Investigation</v>
      </c>
      <c r="D224" s="131" t="str">
        <f t="array" ref="D224">IFERROR(INDEX('Teacher Calendar'!$G$718:$G$727,SMALL(IF(('Teacher Calendar'!$G$718:$G$727&lt;&gt;"")*('Teacher Calendar'!$G$718:$G$727&lt;&gt;0),ROW('Teacher Calendar'!$G$718:$G$727)-ROW('Teacher Calendar'!$G$718)+1),5)),"")</f>
        <v/>
      </c>
      <c r="E224" s="67" t="str">
        <f t="array" ref="E224">IFERROR(INDEX('Teacher Calendar'!$H$718:$H$727,SMALL(IF(('Teacher Calendar'!$H$718:$H$727&lt;&gt;"")*('Teacher Calendar'!$H$718:$H$727&lt;&gt;0),ROW('Teacher Calendar'!$H$718:$H$727)-ROW('Teacher Calendar'!$H$718)+1),5)),"")</f>
        <v>Investigation</v>
      </c>
    </row>
    <row r="225" ht="15.75" customHeight="1">
      <c r="A225" s="67" t="str">
        <f t="array" ref="A225">IFERROR(INDEX('Teacher Calendar'!$D$718:$D$727,SMALL(IF(('Teacher Calendar'!$D$718:$D$727&lt;&gt;"")*('Teacher Calendar'!$D$718:$D$727&lt;&gt;0),ROW('Teacher Calendar'!$D$718:$D$727)-ROW('Teacher Calendar'!$D$718)+1),6)),"")</f>
        <v>Activity</v>
      </c>
      <c r="B225" s="67" t="str">
        <f t="array" ref="B225">IFERROR(INDEX('Teacher Calendar'!$E$718:$E$727,SMALL(IF(('Teacher Calendar'!$E$718:$E$727&lt;&gt;"")*('Teacher Calendar'!$E$718:$E$727&lt;&gt;0),ROW('Teacher Calendar'!$E$718:$E$727)-ROW('Teacher Calendar'!$E$718)+1),6)),"")</f>
        <v>Activity</v>
      </c>
      <c r="C225" s="67" t="str">
        <f t="array" ref="C225">IFERROR(INDEX('Teacher Calendar'!$F$718:$F$727,SMALL(IF(('Teacher Calendar'!$F$718:$F$727&lt;&gt;"")*('Teacher Calendar'!$F$718:$F$727&lt;&gt;0),ROW('Teacher Calendar'!$F$718:$F$727)-ROW('Teacher Calendar'!$F$718)+1),6)),"")</f>
        <v>Activity</v>
      </c>
      <c r="D225" s="131" t="str">
        <f t="array" ref="D225">IFERROR(INDEX('Teacher Calendar'!$G$718:$G$727,SMALL(IF(('Teacher Calendar'!$G$718:$G$727&lt;&gt;"")*('Teacher Calendar'!$G$718:$G$727&lt;&gt;0),ROW('Teacher Calendar'!$G$718:$G$727)-ROW('Teacher Calendar'!$G$718)+1),6)),"")</f>
        <v/>
      </c>
      <c r="E225" s="67" t="str">
        <f t="array" ref="E225">IFERROR(INDEX('Teacher Calendar'!$H$718:$H$727,SMALL(IF(('Teacher Calendar'!$H$718:$H$727&lt;&gt;"")*('Teacher Calendar'!$H$718:$H$727&lt;&gt;0),ROW('Teacher Calendar'!$H$718:$H$727)-ROW('Teacher Calendar'!$H$718)+1),6)),"")</f>
        <v>Activity</v>
      </c>
    </row>
    <row r="226" ht="15.75" customHeight="1">
      <c r="A226" s="67" t="str">
        <f t="array" ref="A226">IFERROR(INDEX('Teacher Calendar'!$D$718:$D$727,SMALL(IF(('Teacher Calendar'!$D$718:$D$727&lt;&gt;"")*('Teacher Calendar'!$D$718:$D$727&lt;&gt;0),ROW('Teacher Calendar'!$D$718:$D$727)-ROW('Teacher Calendar'!$D$718)+1),7)),"")</f>
        <v>Practice Set</v>
      </c>
      <c r="B226" s="67" t="str">
        <f t="array" ref="B226">IFERROR(INDEX('Teacher Calendar'!$E$718:$E$727,SMALL(IF(('Teacher Calendar'!$E$718:$E$727&lt;&gt;"")*('Teacher Calendar'!$E$718:$E$727&lt;&gt;0),ROW('Teacher Calendar'!$E$718:$E$727)-ROW('Teacher Calendar'!$E$718)+1),7)),"")</f>
        <v>Practice Set</v>
      </c>
      <c r="C226" s="67" t="str">
        <f t="array" ref="C226">IFERROR(INDEX('Teacher Calendar'!$F$718:$F$727,SMALL(IF(('Teacher Calendar'!$F$718:$F$727&lt;&gt;"")*('Teacher Calendar'!$F$718:$F$727&lt;&gt;0),ROW('Teacher Calendar'!$F$718:$F$727)-ROW('Teacher Calendar'!$F$718)+1),7)),"")</f>
        <v>Practice Set</v>
      </c>
      <c r="D226" s="131" t="str">
        <f t="array" ref="D226">IFERROR(INDEX('Teacher Calendar'!$G$718:$G$727,SMALL(IF(('Teacher Calendar'!$G$718:$G$727&lt;&gt;"")*('Teacher Calendar'!$G$718:$G$727&lt;&gt;0),ROW('Teacher Calendar'!$G$718:$G$727)-ROW('Teacher Calendar'!$G$718)+1),7)),"")</f>
        <v/>
      </c>
      <c r="E226" s="67" t="str">
        <f t="array" ref="E226">IFERROR(INDEX('Teacher Calendar'!$H$718:$H$727,SMALL(IF(('Teacher Calendar'!$H$718:$H$727&lt;&gt;"")*('Teacher Calendar'!$H$718:$H$727&lt;&gt;0),ROW('Teacher Calendar'!$H$718:$H$727)-ROW('Teacher Calendar'!$H$718)+1),7)),"")</f>
        <v>Practice Set</v>
      </c>
    </row>
    <row r="227" ht="15.75" customHeight="1">
      <c r="A227" s="146">
        <f>'Teacher Calendar'!D744</f>
        <v>46454</v>
      </c>
      <c r="B227" s="146">
        <f>'Teacher Calendar'!E744</f>
        <v>46455</v>
      </c>
      <c r="C227" s="146">
        <f>'Teacher Calendar'!F744</f>
        <v>46456</v>
      </c>
      <c r="D227" s="146">
        <f>'Teacher Calendar'!G744</f>
        <v>46457</v>
      </c>
      <c r="E227" s="146">
        <f>'Teacher Calendar'!H744</f>
        <v>46458</v>
      </c>
    </row>
    <row r="228" ht="15.75" customHeight="1">
      <c r="A228" s="131" t="str">
        <f t="array" ref="A228">IFERROR(INDEX('Teacher Calendar'!$D$745:$D$754,SMALL(IF(('Teacher Calendar'!$D$745:$D$754&lt;&gt;"")*('Teacher Calendar'!$D$745:$D$754&lt;&gt;0),ROW('Teacher Calendar'!$D$745:$D$754)-ROW('Teacher Calendar'!$D$745)+1),1)),"")</f>
        <v>8.1: Magnetic Fields</v>
      </c>
      <c r="B228" s="131" t="str">
        <f t="array" ref="B228">IFERROR(INDEX('Teacher Calendar'!$E$745:$E$754,SMALL(IF(('Teacher Calendar'!$E$745:$E$754&lt;&gt;"")*('Teacher Calendar'!$E$745:$E$754&lt;&gt;0),ROW('Teacher Calendar'!$E$745:$E$754)-ROW('Teacher Calendar'!$E$745)+1),1)),"")</f>
        <v>8.1: Magnetic Fields</v>
      </c>
      <c r="C228" s="131" t="str">
        <f t="array" ref="C228">IFERROR(INDEX('Teacher Calendar'!$F$745:$F$754,SMALL(IF(('Teacher Calendar'!$F$745:$F$754&lt;&gt;"")*('Teacher Calendar'!$F$745:$F$754&lt;&gt;0),ROW('Teacher Calendar'!$F$745:$F$754)-ROW('Teacher Calendar'!$F$745)+1),1)),"")</f>
        <v>8.2: E &amp; Magnetism</v>
      </c>
      <c r="D228" s="131" t="str">
        <f t="array" ref="D228">IFERROR(INDEX('Teacher Calendar'!$G$745:$G$754,SMALL(IF(('Teacher Calendar'!$G$745:$G$754&lt;&gt;"")*('Teacher Calendar'!$G$745:$G$754&lt;&gt;0),ROW('Teacher Calendar'!$G$745:$G$754)-ROW('Teacher Calendar'!$G$745)+1),1)),"")</f>
        <v>8.2: E &amp; Magnetism</v>
      </c>
      <c r="E228" s="131" t="str">
        <f t="array" ref="E228">IFERROR(INDEX('Teacher Calendar'!$H$745:$H$754,SMALL(IF(('Teacher Calendar'!$H$745:$H$754&lt;&gt;"")*('Teacher Calendar'!$H$745:$H$754&lt;&gt;0),ROW('Teacher Calendar'!$H$745:$H$754)-ROW('Teacher Calendar'!$H$745)+1),1)),"")</f>
        <v>8.2: E &amp; Magnetism</v>
      </c>
    </row>
    <row r="229" ht="15.75" customHeight="1">
      <c r="A229" s="67" t="str">
        <f t="array" ref="A229">IFERROR(INDEX('Teacher Calendar'!$D$745:$D$754,SMALL(IF(('Teacher Calendar'!$D$745:$D$754&lt;&gt;"")*('Teacher Calendar'!$D$745:$D$754&lt;&gt;0),ROW('Teacher Calendar'!$D$745:$D$754)-ROW('Teacher Calendar'!$D$745)+1),2)),"")</f>
        <v>Warm Up</v>
      </c>
      <c r="B229" s="67" t="str">
        <f t="array" ref="B229">IFERROR(INDEX('Teacher Calendar'!$E$745:$E$754,SMALL(IF(('Teacher Calendar'!$E$745:$E$754&lt;&gt;"")*('Teacher Calendar'!$E$745:$E$754&lt;&gt;0),ROW('Teacher Calendar'!$E$745:$E$754)-ROW('Teacher Calendar'!$E$745)+1),2)),"")</f>
        <v>Warm Up</v>
      </c>
      <c r="C229" s="67" t="str">
        <f t="array" ref="C229">IFERROR(INDEX('Teacher Calendar'!$F$745:$F$754,SMALL(IF(('Teacher Calendar'!$F$745:$F$754&lt;&gt;"")*('Teacher Calendar'!$F$745:$F$754&lt;&gt;0),ROW('Teacher Calendar'!$F$745:$F$754)-ROW('Teacher Calendar'!$F$745)+1),2)),"")</f>
        <v>Warm Up</v>
      </c>
      <c r="D229" s="67" t="str">
        <f t="array" ref="D229">IFERROR(INDEX('Teacher Calendar'!$G$745:$G$754,SMALL(IF(('Teacher Calendar'!$G$745:$G$754&lt;&gt;"")*('Teacher Calendar'!$G$745:$G$754&lt;&gt;0),ROW('Teacher Calendar'!$G$745:$G$754)-ROW('Teacher Calendar'!$G$745)+1),2)),"")</f>
        <v>Warm Up</v>
      </c>
      <c r="E229" s="67" t="str">
        <f t="array" ref="E229">IFERROR(INDEX('Teacher Calendar'!$H$745:$H$754,SMALL(IF(('Teacher Calendar'!$H$745:$H$754&lt;&gt;"")*('Teacher Calendar'!$H$745:$H$754&lt;&gt;0),ROW('Teacher Calendar'!$H$745:$H$754)-ROW('Teacher Calendar'!$H$745)+1),2)),"")</f>
        <v>Warm Up</v>
      </c>
    </row>
    <row r="230" ht="15.75" customHeight="1">
      <c r="A230" s="67" t="str">
        <f t="array" ref="A230">IFERROR(INDEX('Teacher Calendar'!$D$745:$D$754,SMALL(IF(('Teacher Calendar'!$D$745:$D$754&lt;&gt;"")*('Teacher Calendar'!$D$745:$D$754&lt;&gt;0),ROW('Teacher Calendar'!$D$745:$D$754)-ROW('Teacher Calendar'!$D$745)+1),3)),"")</f>
        <v>Demo</v>
      </c>
      <c r="B230" s="67" t="str">
        <f t="array" ref="B230">IFERROR(INDEX('Teacher Calendar'!$E$745:$E$754,SMALL(IF(('Teacher Calendar'!$E$745:$E$754&lt;&gt;"")*('Teacher Calendar'!$E$745:$E$754&lt;&gt;0),ROW('Teacher Calendar'!$E$745:$E$754)-ROW('Teacher Calendar'!$E$745)+1),3)),"")</f>
        <v>Demo</v>
      </c>
      <c r="C230" s="67" t="str">
        <f t="array" ref="C230">IFERROR(INDEX('Teacher Calendar'!$F$745:$F$754,SMALL(IF(('Teacher Calendar'!$F$745:$F$754&lt;&gt;"")*('Teacher Calendar'!$F$745:$F$754&lt;&gt;0),ROW('Teacher Calendar'!$F$745:$F$754)-ROW('Teacher Calendar'!$F$745)+1),3)),"")</f>
        <v>Demo</v>
      </c>
      <c r="D230" s="67" t="str">
        <f t="array" ref="D230">IFERROR(INDEX('Teacher Calendar'!$G$745:$G$754,SMALL(IF(('Teacher Calendar'!$G$745:$G$754&lt;&gt;"")*('Teacher Calendar'!$G$745:$G$754&lt;&gt;0),ROW('Teacher Calendar'!$G$745:$G$754)-ROW('Teacher Calendar'!$G$745)+1),3)),"")</f>
        <v>Demo</v>
      </c>
      <c r="E230" s="67" t="str">
        <f t="array" ref="E230">IFERROR(INDEX('Teacher Calendar'!$H$745:$H$754,SMALL(IF(('Teacher Calendar'!$H$745:$H$754&lt;&gt;"")*('Teacher Calendar'!$H$745:$H$754&lt;&gt;0),ROW('Teacher Calendar'!$H$745:$H$754)-ROW('Teacher Calendar'!$H$745)+1),3)),"")</f>
        <v>Demo</v>
      </c>
    </row>
    <row r="231" ht="15.75" customHeight="1">
      <c r="A231" s="67" t="str">
        <f t="array" ref="A231">IFERROR(INDEX('Teacher Calendar'!$D$745:$D$754,SMALL(IF(('Teacher Calendar'!$D$745:$D$754&lt;&gt;"")*('Teacher Calendar'!$D$745:$D$754&lt;&gt;0),ROW('Teacher Calendar'!$D$745:$D$754)-ROW('Teacher Calendar'!$D$745)+1),4)),"")</f>
        <v>Notes</v>
      </c>
      <c r="B231" s="67" t="str">
        <f t="array" ref="B231">IFERROR(INDEX('Teacher Calendar'!$E$745:$E$754,SMALL(IF(('Teacher Calendar'!$E$745:$E$754&lt;&gt;"")*('Teacher Calendar'!$E$745:$E$754&lt;&gt;0),ROW('Teacher Calendar'!$E$745:$E$754)-ROW('Teacher Calendar'!$E$745)+1),4)),"")</f>
        <v>Notes</v>
      </c>
      <c r="C231" s="67" t="str">
        <f t="array" ref="C231">IFERROR(INDEX('Teacher Calendar'!$F$745:$F$754,SMALL(IF(('Teacher Calendar'!$F$745:$F$754&lt;&gt;"")*('Teacher Calendar'!$F$745:$F$754&lt;&gt;0),ROW('Teacher Calendar'!$F$745:$F$754)-ROW('Teacher Calendar'!$F$745)+1),4)),"")</f>
        <v>Notes</v>
      </c>
      <c r="D231" s="67" t="str">
        <f t="array" ref="D231">IFERROR(INDEX('Teacher Calendar'!$G$745:$G$754,SMALL(IF(('Teacher Calendar'!$G$745:$G$754&lt;&gt;"")*('Teacher Calendar'!$G$745:$G$754&lt;&gt;0),ROW('Teacher Calendar'!$G$745:$G$754)-ROW('Teacher Calendar'!$G$745)+1),4)),"")</f>
        <v>Notes</v>
      </c>
      <c r="E231" s="67" t="str">
        <f t="array" ref="E231">IFERROR(INDEX('Teacher Calendar'!$H$745:$H$754,SMALL(IF(('Teacher Calendar'!$H$745:$H$754&lt;&gt;"")*('Teacher Calendar'!$H$745:$H$754&lt;&gt;0),ROW('Teacher Calendar'!$H$745:$H$754)-ROW('Teacher Calendar'!$H$745)+1),4)),"")</f>
        <v>Notes</v>
      </c>
    </row>
    <row r="232" ht="15.75" customHeight="1">
      <c r="A232" s="67" t="str">
        <f t="array" ref="A232">IFERROR(INDEX('Teacher Calendar'!$D$745:$D$754,SMALL(IF(('Teacher Calendar'!$D$745:$D$754&lt;&gt;"")*('Teacher Calendar'!$D$745:$D$754&lt;&gt;0),ROW('Teacher Calendar'!$D$745:$D$754)-ROW('Teacher Calendar'!$D$745)+1),5)),"")</f>
        <v>Investigation</v>
      </c>
      <c r="B232" s="67" t="str">
        <f t="array" ref="B232">IFERROR(INDEX('Teacher Calendar'!$E$745:$E$754,SMALL(IF(('Teacher Calendar'!$E$745:$E$754&lt;&gt;"")*('Teacher Calendar'!$E$745:$E$754&lt;&gt;0),ROW('Teacher Calendar'!$E$745:$E$754)-ROW('Teacher Calendar'!$E$745)+1),5)),"")</f>
        <v>Investigation</v>
      </c>
      <c r="C232" s="67" t="str">
        <f t="array" ref="C232">IFERROR(INDEX('Teacher Calendar'!$F$745:$F$754,SMALL(IF(('Teacher Calendar'!$F$745:$F$754&lt;&gt;"")*('Teacher Calendar'!$F$745:$F$754&lt;&gt;0),ROW('Teacher Calendar'!$F$745:$F$754)-ROW('Teacher Calendar'!$F$745)+1),5)),"")</f>
        <v>Investigation</v>
      </c>
      <c r="D232" s="67" t="str">
        <f t="array" ref="D232">IFERROR(INDEX('Teacher Calendar'!$G$745:$G$754,SMALL(IF(('Teacher Calendar'!$G$745:$G$754&lt;&gt;"")*('Teacher Calendar'!$G$745:$G$754&lt;&gt;0),ROW('Teacher Calendar'!$G$745:$G$754)-ROW('Teacher Calendar'!$G$745)+1),5)),"")</f>
        <v>Investigation</v>
      </c>
      <c r="E232" s="67" t="str">
        <f t="array" ref="E232">IFERROR(INDEX('Teacher Calendar'!$H$745:$H$754,SMALL(IF(('Teacher Calendar'!$H$745:$H$754&lt;&gt;"")*('Teacher Calendar'!$H$745:$H$754&lt;&gt;0),ROW('Teacher Calendar'!$H$745:$H$754)-ROW('Teacher Calendar'!$H$745)+1),5)),"")</f>
        <v>Investigation</v>
      </c>
    </row>
    <row r="233" ht="15.75" customHeight="1">
      <c r="A233" s="67" t="str">
        <f t="array" ref="A233">IFERROR(INDEX('Teacher Calendar'!$D$745:$D$754,SMALL(IF(('Teacher Calendar'!$D$745:$D$754&lt;&gt;"")*('Teacher Calendar'!$D$745:$D$754&lt;&gt;0),ROW('Teacher Calendar'!$D$745:$D$754)-ROW('Teacher Calendar'!$D$745)+1),6)),"")</f>
        <v>Activity</v>
      </c>
      <c r="B233" s="67" t="str">
        <f t="array" ref="B233">IFERROR(INDEX('Teacher Calendar'!$E$745:$E$754,SMALL(IF(('Teacher Calendar'!$E$745:$E$754&lt;&gt;"")*('Teacher Calendar'!$E$745:$E$754&lt;&gt;0),ROW('Teacher Calendar'!$E$745:$E$754)-ROW('Teacher Calendar'!$E$745)+1),6)),"")</f>
        <v>Activity</v>
      </c>
      <c r="C233" s="67" t="str">
        <f t="array" ref="C233">IFERROR(INDEX('Teacher Calendar'!$F$745:$F$754,SMALL(IF(('Teacher Calendar'!$F$745:$F$754&lt;&gt;"")*('Teacher Calendar'!$F$745:$F$754&lt;&gt;0),ROW('Teacher Calendar'!$F$745:$F$754)-ROW('Teacher Calendar'!$F$745)+1),6)),"")</f>
        <v>Activity</v>
      </c>
      <c r="D233" s="67" t="str">
        <f t="array" ref="D233">IFERROR(INDEX('Teacher Calendar'!$G$745:$G$754,SMALL(IF(('Teacher Calendar'!$G$745:$G$754&lt;&gt;"")*('Teacher Calendar'!$G$745:$G$754&lt;&gt;0),ROW('Teacher Calendar'!$G$745:$G$754)-ROW('Teacher Calendar'!$G$745)+1),6)),"")</f>
        <v>Activity</v>
      </c>
      <c r="E233" s="67" t="str">
        <f t="array" ref="E233">IFERROR(INDEX('Teacher Calendar'!$H$745:$H$754,SMALL(IF(('Teacher Calendar'!$H$745:$H$754&lt;&gt;"")*('Teacher Calendar'!$H$745:$H$754&lt;&gt;0),ROW('Teacher Calendar'!$H$745:$H$754)-ROW('Teacher Calendar'!$H$745)+1),6)),"")</f>
        <v>Activity</v>
      </c>
    </row>
    <row r="234" ht="15.75" customHeight="1">
      <c r="A234" s="67" t="str">
        <f t="array" ref="A234">IFERROR(INDEX('Teacher Calendar'!$D$745:$D$754,SMALL(IF(('Teacher Calendar'!$D$745:$D$754&lt;&gt;"")*('Teacher Calendar'!$D$745:$D$754&lt;&gt;0),ROW('Teacher Calendar'!$D$745:$D$754)-ROW('Teacher Calendar'!$D$745)+1),7)),"")</f>
        <v>Practice Set</v>
      </c>
      <c r="B234" s="67" t="str">
        <f t="array" ref="B234">IFERROR(INDEX('Teacher Calendar'!$E$745:$E$754,SMALL(IF(('Teacher Calendar'!$E$745:$E$754&lt;&gt;"")*('Teacher Calendar'!$E$745:$E$754&lt;&gt;0),ROW('Teacher Calendar'!$E$745:$E$754)-ROW('Teacher Calendar'!$E$745)+1),7)),"")</f>
        <v>Practice Set</v>
      </c>
      <c r="C234" s="67" t="str">
        <f t="array" ref="C234">IFERROR(INDEX('Teacher Calendar'!$F$745:$F$754,SMALL(IF(('Teacher Calendar'!$F$745:$F$754&lt;&gt;"")*('Teacher Calendar'!$F$745:$F$754&lt;&gt;0),ROW('Teacher Calendar'!$F$745:$F$754)-ROW('Teacher Calendar'!$F$745)+1),7)),"")</f>
        <v>Practice Set</v>
      </c>
      <c r="D234" s="67" t="str">
        <f t="array" ref="D234">IFERROR(INDEX('Teacher Calendar'!$G$745:$G$754,SMALL(IF(('Teacher Calendar'!$G$745:$G$754&lt;&gt;"")*('Teacher Calendar'!$G$745:$G$754&lt;&gt;0),ROW('Teacher Calendar'!$G$745:$G$754)-ROW('Teacher Calendar'!$G$745)+1),7)),"")</f>
        <v>Practice Set</v>
      </c>
      <c r="E234" s="67" t="str">
        <f t="array" ref="E234">IFERROR(INDEX('Teacher Calendar'!$H$745:$H$754,SMALL(IF(('Teacher Calendar'!$H$745:$H$754&lt;&gt;"")*('Teacher Calendar'!$H$745:$H$754&lt;&gt;0),ROW('Teacher Calendar'!$H$745:$H$754)-ROW('Teacher Calendar'!$H$745)+1),7)),"")</f>
        <v>Practice Set</v>
      </c>
    </row>
    <row r="235" ht="15.75" customHeight="1">
      <c r="A235" s="146">
        <f>'Teacher Calendar'!D771</f>
        <v>46461</v>
      </c>
      <c r="B235" s="146">
        <f>'Teacher Calendar'!E771</f>
        <v>46462</v>
      </c>
      <c r="C235" s="146">
        <f>'Teacher Calendar'!F771</f>
        <v>46463</v>
      </c>
      <c r="D235" s="146">
        <f>'Teacher Calendar'!G771</f>
        <v>46464</v>
      </c>
      <c r="E235" s="146">
        <f>'Teacher Calendar'!H771</f>
        <v>46465</v>
      </c>
    </row>
    <row r="236" ht="15.75" customHeight="1">
      <c r="A236" s="77" t="str">
        <f t="array" ref="A236">IFERROR(INDEX('Teacher Calendar'!$D$772:$D$781,SMALL(IF(('Teacher Calendar'!$D$772:$D$781&lt;&gt;"")*('Teacher Calendar'!$D$772:$D$781&lt;&gt;0),ROW('Teacher Calendar'!$D$772:$D$781)-ROW('Teacher Calendar'!$D$772)+1),1)),"")</f>
        <v/>
      </c>
      <c r="B236" s="131" t="str">
        <f t="array" ref="B236">IFERROR(INDEX('Teacher Calendar'!$E$772:$E$781,SMALL(IF(('Teacher Calendar'!$E$772:$E$781&lt;&gt;"")*('Teacher Calendar'!$E$772:$E$781&lt;&gt;0),ROW('Teacher Calendar'!$E$772:$E$781)-ROW('Teacher Calendar'!$E$772)+1),1)),"")</f>
        <v>8.3: Electromagnets</v>
      </c>
      <c r="C236" s="131" t="str">
        <f t="array" ref="C236">IFERROR(INDEX('Teacher Calendar'!$F$772:$F$781,SMALL(IF(('Teacher Calendar'!$F$772:$F$781&lt;&gt;"")*('Teacher Calendar'!$F$772:$F$781&lt;&gt;0),ROW('Teacher Calendar'!$F$772:$F$781)-ROW('Teacher Calendar'!$F$772)+1),1)),"")</f>
        <v>8.3: Electromagnets</v>
      </c>
      <c r="D236" s="131" t="str">
        <f t="array" ref="D236">IFERROR(INDEX('Teacher Calendar'!$G$772:$G$781,SMALL(IF(('Teacher Calendar'!$G$772:$G$781&lt;&gt;"")*('Teacher Calendar'!$G$772:$G$781&lt;&gt;0),ROW('Teacher Calendar'!$G$772:$G$781)-ROW('Teacher Calendar'!$G$772)+1),1)),"")</f>
        <v>8.3: Electromagnets</v>
      </c>
      <c r="E236" s="131" t="str">
        <f t="array" ref="E236">IFERROR(INDEX('Teacher Calendar'!$H$772:$H$781,SMALL(IF(('Teacher Calendar'!$H$772:$H$781&lt;&gt;"")*('Teacher Calendar'!$H$772:$H$781&lt;&gt;0),ROW('Teacher Calendar'!$H$772:$H$781)-ROW('Teacher Calendar'!$H$772)+1),1)),"")</f>
        <v>8.4: Generators &amp; AC</v>
      </c>
    </row>
    <row r="237" ht="15.75" customHeight="1">
      <c r="A237" s="77" t="str">
        <f t="array" ref="A237">IFERROR(INDEX('Teacher Calendar'!$D$772:$D$781,SMALL(IF(('Teacher Calendar'!$D$772:$D$781&lt;&gt;"")*('Teacher Calendar'!$D$772:$D$781&lt;&gt;0),ROW('Teacher Calendar'!$D$772:$D$781)-ROW('Teacher Calendar'!$D$772)+1),2)),"")</f>
        <v/>
      </c>
      <c r="B237" s="67" t="str">
        <f t="array" ref="B237">IFERROR(INDEX('Teacher Calendar'!$E$772:$E$781,SMALL(IF(('Teacher Calendar'!$E$772:$E$781&lt;&gt;"")*('Teacher Calendar'!$E$772:$E$781&lt;&gt;0),ROW('Teacher Calendar'!$E$772:$E$781)-ROW('Teacher Calendar'!$E$772)+1),2)),"")</f>
        <v>Warm Up</v>
      </c>
      <c r="C237" s="67" t="str">
        <f t="array" ref="C237">IFERROR(INDEX('Teacher Calendar'!$F$772:$F$781,SMALL(IF(('Teacher Calendar'!$F$772:$F$781&lt;&gt;"")*('Teacher Calendar'!$F$772:$F$781&lt;&gt;0),ROW('Teacher Calendar'!$F$772:$F$781)-ROW('Teacher Calendar'!$F$772)+1),2)),"")</f>
        <v>Warm Up</v>
      </c>
      <c r="D237" s="67" t="str">
        <f t="array" ref="D237">IFERROR(INDEX('Teacher Calendar'!$G$772:$G$781,SMALL(IF(('Teacher Calendar'!$G$772:$G$781&lt;&gt;"")*('Teacher Calendar'!$G$772:$G$781&lt;&gt;0),ROW('Teacher Calendar'!$G$772:$G$781)-ROW('Teacher Calendar'!$G$772)+1),2)),"")</f>
        <v>Warm Up</v>
      </c>
      <c r="E237" s="67" t="str">
        <f t="array" ref="E237">IFERROR(INDEX('Teacher Calendar'!$H$772:$H$781,SMALL(IF(('Teacher Calendar'!$H$772:$H$781&lt;&gt;"")*('Teacher Calendar'!$H$772:$H$781&lt;&gt;0),ROW('Teacher Calendar'!$H$772:$H$781)-ROW('Teacher Calendar'!$H$772)+1),2)),"")</f>
        <v>Warm Up</v>
      </c>
    </row>
    <row r="238" ht="15.75" customHeight="1">
      <c r="A238" s="77" t="str">
        <f t="array" ref="A238">IFERROR(INDEX('Teacher Calendar'!$D$772:$D$781,SMALL(IF(('Teacher Calendar'!$D$772:$D$781&lt;&gt;"")*('Teacher Calendar'!$D$772:$D$781&lt;&gt;0),ROW('Teacher Calendar'!$D$772:$D$781)-ROW('Teacher Calendar'!$D$772)+1),3)),"")</f>
        <v/>
      </c>
      <c r="B238" s="67" t="str">
        <f t="array" ref="B238">IFERROR(INDEX('Teacher Calendar'!$E$772:$E$781,SMALL(IF(('Teacher Calendar'!$E$772:$E$781&lt;&gt;"")*('Teacher Calendar'!$E$772:$E$781&lt;&gt;0),ROW('Teacher Calendar'!$E$772:$E$781)-ROW('Teacher Calendar'!$E$772)+1),3)),"")</f>
        <v>Demo</v>
      </c>
      <c r="C238" s="67" t="str">
        <f t="array" ref="C238">IFERROR(INDEX('Teacher Calendar'!$F$772:$F$781,SMALL(IF(('Teacher Calendar'!$F$772:$F$781&lt;&gt;"")*('Teacher Calendar'!$F$772:$F$781&lt;&gt;0),ROW('Teacher Calendar'!$F$772:$F$781)-ROW('Teacher Calendar'!$F$772)+1),3)),"")</f>
        <v>Demo</v>
      </c>
      <c r="D238" s="67" t="str">
        <f t="array" ref="D238">IFERROR(INDEX('Teacher Calendar'!$G$772:$G$781,SMALL(IF(('Teacher Calendar'!$G$772:$G$781&lt;&gt;"")*('Teacher Calendar'!$G$772:$G$781&lt;&gt;0),ROW('Teacher Calendar'!$G$772:$G$781)-ROW('Teacher Calendar'!$G$772)+1),3)),"")</f>
        <v>Demo</v>
      </c>
      <c r="E238" s="67" t="str">
        <f t="array" ref="E238">IFERROR(INDEX('Teacher Calendar'!$H$772:$H$781,SMALL(IF(('Teacher Calendar'!$H$772:$H$781&lt;&gt;"")*('Teacher Calendar'!$H$772:$H$781&lt;&gt;0),ROW('Teacher Calendar'!$H$772:$H$781)-ROW('Teacher Calendar'!$H$772)+1),3)),"")</f>
        <v>Demo</v>
      </c>
    </row>
    <row r="239" ht="15.75" customHeight="1">
      <c r="A239" s="77" t="str">
        <f t="array" ref="A239">IFERROR(INDEX('Teacher Calendar'!$D$772:$D$781,SMALL(IF(('Teacher Calendar'!$D$772:$D$781&lt;&gt;"")*('Teacher Calendar'!$D$772:$D$781&lt;&gt;0),ROW('Teacher Calendar'!$D$772:$D$781)-ROW('Teacher Calendar'!$D$772)+1),4)),"")</f>
        <v/>
      </c>
      <c r="B239" s="67" t="str">
        <f t="array" ref="B239">IFERROR(INDEX('Teacher Calendar'!$E$772:$E$781,SMALL(IF(('Teacher Calendar'!$E$772:$E$781&lt;&gt;"")*('Teacher Calendar'!$E$772:$E$781&lt;&gt;0),ROW('Teacher Calendar'!$E$772:$E$781)-ROW('Teacher Calendar'!$E$772)+1),4)),"")</f>
        <v>Notes</v>
      </c>
      <c r="C239" s="67" t="str">
        <f t="array" ref="C239">IFERROR(INDEX('Teacher Calendar'!$F$772:$F$781,SMALL(IF(('Teacher Calendar'!$F$772:$F$781&lt;&gt;"")*('Teacher Calendar'!$F$772:$F$781&lt;&gt;0),ROW('Teacher Calendar'!$F$772:$F$781)-ROW('Teacher Calendar'!$F$772)+1),4)),"")</f>
        <v>Notes</v>
      </c>
      <c r="D239" s="67" t="str">
        <f t="array" ref="D239">IFERROR(INDEX('Teacher Calendar'!$G$772:$G$781,SMALL(IF(('Teacher Calendar'!$G$772:$G$781&lt;&gt;"")*('Teacher Calendar'!$G$772:$G$781&lt;&gt;0),ROW('Teacher Calendar'!$G$772:$G$781)-ROW('Teacher Calendar'!$G$772)+1),4)),"")</f>
        <v>Notes</v>
      </c>
      <c r="E239" s="67" t="str">
        <f t="array" ref="E239">IFERROR(INDEX('Teacher Calendar'!$H$772:$H$781,SMALL(IF(('Teacher Calendar'!$H$772:$H$781&lt;&gt;"")*('Teacher Calendar'!$H$772:$H$781&lt;&gt;0),ROW('Teacher Calendar'!$H$772:$H$781)-ROW('Teacher Calendar'!$H$772)+1),4)),"")</f>
        <v>Notes</v>
      </c>
    </row>
    <row r="240" ht="15.75" customHeight="1">
      <c r="A240" s="77" t="str">
        <f t="array" ref="A240">IFERROR(INDEX('Teacher Calendar'!$D$772:$D$781,SMALL(IF(('Teacher Calendar'!$D$772:$D$781&lt;&gt;"")*('Teacher Calendar'!$D$772:$D$781&lt;&gt;0),ROW('Teacher Calendar'!$D$772:$D$781)-ROW('Teacher Calendar'!$D$772)+1),5)),"")</f>
        <v/>
      </c>
      <c r="B240" s="67" t="str">
        <f t="array" ref="B240">IFERROR(INDEX('Teacher Calendar'!$E$772:$E$781,SMALL(IF(('Teacher Calendar'!$E$772:$E$781&lt;&gt;"")*('Teacher Calendar'!$E$772:$E$781&lt;&gt;0),ROW('Teacher Calendar'!$E$772:$E$781)-ROW('Teacher Calendar'!$E$772)+1),5)),"")</f>
        <v>Investigation</v>
      </c>
      <c r="C240" s="67" t="str">
        <f t="array" ref="C240">IFERROR(INDEX('Teacher Calendar'!$F$772:$F$781,SMALL(IF(('Teacher Calendar'!$F$772:$F$781&lt;&gt;"")*('Teacher Calendar'!$F$772:$F$781&lt;&gt;0),ROW('Teacher Calendar'!$F$772:$F$781)-ROW('Teacher Calendar'!$F$772)+1),5)),"")</f>
        <v>Investigation</v>
      </c>
      <c r="D240" s="67" t="str">
        <f t="array" ref="D240">IFERROR(INDEX('Teacher Calendar'!$G$772:$G$781,SMALL(IF(('Teacher Calendar'!$G$772:$G$781&lt;&gt;"")*('Teacher Calendar'!$G$772:$G$781&lt;&gt;0),ROW('Teacher Calendar'!$G$772:$G$781)-ROW('Teacher Calendar'!$G$772)+1),5)),"")</f>
        <v>Investigation</v>
      </c>
      <c r="E240" s="67" t="str">
        <f t="array" ref="E240">IFERROR(INDEX('Teacher Calendar'!$H$772:$H$781,SMALL(IF(('Teacher Calendar'!$H$772:$H$781&lt;&gt;"")*('Teacher Calendar'!$H$772:$H$781&lt;&gt;0),ROW('Teacher Calendar'!$H$772:$H$781)-ROW('Teacher Calendar'!$H$772)+1),5)),"")</f>
        <v>Investigation</v>
      </c>
    </row>
    <row r="241" ht="15.75" customHeight="1">
      <c r="A241" s="77" t="str">
        <f t="array" ref="A241">IFERROR(INDEX('Teacher Calendar'!$D$772:$D$781,SMALL(IF(('Teacher Calendar'!$D$772:$D$781&lt;&gt;"")*('Teacher Calendar'!$D$772:$D$781&lt;&gt;0),ROW('Teacher Calendar'!$D$772:$D$781)-ROW('Teacher Calendar'!$D$772)+1),6)),"")</f>
        <v/>
      </c>
      <c r="B241" s="67" t="str">
        <f t="array" ref="B241">IFERROR(INDEX('Teacher Calendar'!$E$772:$E$781,SMALL(IF(('Teacher Calendar'!$E$772:$E$781&lt;&gt;"")*('Teacher Calendar'!$E$772:$E$781&lt;&gt;0),ROW('Teacher Calendar'!$E$772:$E$781)-ROW('Teacher Calendar'!$E$772)+1),6)),"")</f>
        <v>Activity</v>
      </c>
      <c r="C241" s="67" t="str">
        <f t="array" ref="C241">IFERROR(INDEX('Teacher Calendar'!$F$772:$F$781,SMALL(IF(('Teacher Calendar'!$F$772:$F$781&lt;&gt;"")*('Teacher Calendar'!$F$772:$F$781&lt;&gt;0),ROW('Teacher Calendar'!$F$772:$F$781)-ROW('Teacher Calendar'!$F$772)+1),6)),"")</f>
        <v>Activity</v>
      </c>
      <c r="D241" s="67" t="str">
        <f t="array" ref="D241">IFERROR(INDEX('Teacher Calendar'!$G$772:$G$781,SMALL(IF(('Teacher Calendar'!$G$772:$G$781&lt;&gt;"")*('Teacher Calendar'!$G$772:$G$781&lt;&gt;0),ROW('Teacher Calendar'!$G$772:$G$781)-ROW('Teacher Calendar'!$G$772)+1),6)),"")</f>
        <v>Activity</v>
      </c>
      <c r="E241" s="67" t="str">
        <f t="array" ref="E241">IFERROR(INDEX('Teacher Calendar'!$H$772:$H$781,SMALL(IF(('Teacher Calendar'!$H$772:$H$781&lt;&gt;"")*('Teacher Calendar'!$H$772:$H$781&lt;&gt;0),ROW('Teacher Calendar'!$H$772:$H$781)-ROW('Teacher Calendar'!$H$772)+1),6)),"")</f>
        <v>Activity</v>
      </c>
    </row>
    <row r="242" ht="15.75" customHeight="1">
      <c r="A242" s="77" t="str">
        <f t="array" ref="A242">IFERROR(INDEX('Teacher Calendar'!$D$772:$D$781,SMALL(IF(('Teacher Calendar'!$D$772:$D$781&lt;&gt;"")*('Teacher Calendar'!$D$772:$D$781&lt;&gt;0),ROW('Teacher Calendar'!$D$772:$D$781)-ROW('Teacher Calendar'!$D$772)+1),7)),"")</f>
        <v/>
      </c>
      <c r="B242" s="67" t="str">
        <f t="array" ref="B242">IFERROR(INDEX('Teacher Calendar'!$E$772:$E$781,SMALL(IF(('Teacher Calendar'!$E$772:$E$781&lt;&gt;"")*('Teacher Calendar'!$E$772:$E$781&lt;&gt;0),ROW('Teacher Calendar'!$E$772:$E$781)-ROW('Teacher Calendar'!$E$772)+1),7)),"")</f>
        <v>Practice Set</v>
      </c>
      <c r="C242" s="67" t="str">
        <f t="array" ref="C242">IFERROR(INDEX('Teacher Calendar'!$F$772:$F$781,SMALL(IF(('Teacher Calendar'!$F$772:$F$781&lt;&gt;"")*('Teacher Calendar'!$F$772:$F$781&lt;&gt;0),ROW('Teacher Calendar'!$F$772:$F$781)-ROW('Teacher Calendar'!$F$772)+1),7)),"")</f>
        <v>Practice Set</v>
      </c>
      <c r="D242" s="67" t="str">
        <f t="array" ref="D242">IFERROR(INDEX('Teacher Calendar'!$G$772:$G$781,SMALL(IF(('Teacher Calendar'!$G$772:$G$781&lt;&gt;"")*('Teacher Calendar'!$G$772:$G$781&lt;&gt;0),ROW('Teacher Calendar'!$G$772:$G$781)-ROW('Teacher Calendar'!$G$772)+1),7)),"")</f>
        <v>Practice Set</v>
      </c>
      <c r="E242" s="67" t="str">
        <f t="array" ref="E242">IFERROR(INDEX('Teacher Calendar'!$H$772:$H$781,SMALL(IF(('Teacher Calendar'!$H$772:$H$781&lt;&gt;"")*('Teacher Calendar'!$H$772:$H$781&lt;&gt;0),ROW('Teacher Calendar'!$H$772:$H$781)-ROW('Teacher Calendar'!$H$772)+1),7)),"")</f>
        <v>Practice Set</v>
      </c>
    </row>
    <row r="243" ht="15.75" customHeight="1">
      <c r="A243" s="146">
        <f>'Teacher Calendar'!D798</f>
        <v>46468</v>
      </c>
      <c r="B243" s="146">
        <f>'Teacher Calendar'!E798</f>
        <v>46469</v>
      </c>
      <c r="C243" s="146">
        <f>'Teacher Calendar'!F798</f>
        <v>46470</v>
      </c>
      <c r="D243" s="146">
        <f>'Teacher Calendar'!G798</f>
        <v>46471</v>
      </c>
      <c r="E243" s="146">
        <f>'Teacher Calendar'!H798</f>
        <v>46472</v>
      </c>
    </row>
    <row r="244" ht="15.75" customHeight="1">
      <c r="A244" s="131" t="str">
        <f t="array" ref="A244">IFERROR(INDEX('Teacher Calendar'!$D$799:$D$808,SMALL(IF(('Teacher Calendar'!$D$799:$D$808&lt;&gt;"")*('Teacher Calendar'!$D$799:$D$808&lt;&gt;0),ROW('Teacher Calendar'!$D$799:$D$808)-ROW('Teacher Calendar'!$D$799)+1),1)),"")</f>
        <v>8.4: Generators &amp; AC</v>
      </c>
      <c r="B244" s="131" t="str">
        <f t="array" ref="B244">IFERROR(INDEX('Teacher Calendar'!$E$799:$E$808,SMALL(IF(('Teacher Calendar'!$E$799:$E$808&lt;&gt;"")*('Teacher Calendar'!$E$799:$E$808&lt;&gt;0),ROW('Teacher Calendar'!$E$799:$E$808)-ROW('Teacher Calendar'!$E$799)+1),1)),"")</f>
        <v>8.4: Generators &amp; AC</v>
      </c>
      <c r="C244" s="131" t="str">
        <f t="array" ref="C244">IFERROR(INDEX('Teacher Calendar'!$F$799:$F$808,SMALL(IF(('Teacher Calendar'!$F$799:$F$808&lt;&gt;"")*('Teacher Calendar'!$F$799:$F$808&lt;&gt;0),ROW('Teacher Calendar'!$F$799:$F$808)-ROW('Teacher Calendar'!$F$799)+1),1)),"")</f>
        <v>8.5: Modern EM Systems</v>
      </c>
      <c r="D244" s="131" t="str">
        <f t="array" ref="D244">IFERROR(INDEX('Teacher Calendar'!$G$799:$G$808,SMALL(IF(('Teacher Calendar'!$G$799:$G$808&lt;&gt;"")*('Teacher Calendar'!$G$799:$G$808&lt;&gt;0),ROW('Teacher Calendar'!$G$799:$G$808)-ROW('Teacher Calendar'!$G$799)+1),1)),"")</f>
        <v>8.5: Modern EM Systems</v>
      </c>
      <c r="E244" s="77" t="str">
        <f t="array" ref="E244">IFERROR(INDEX('Teacher Calendar'!$H$799:$H$808,SMALL(IF(('Teacher Calendar'!$H$799:$H$808&lt;&gt;"")*('Teacher Calendar'!$H$799:$H$808&lt;&gt;0),ROW('Teacher Calendar'!$H$799:$H$808)-ROW('Teacher Calendar'!$H$799)+1),1)),"")</f>
        <v/>
      </c>
    </row>
    <row r="245" ht="15.75" customHeight="1">
      <c r="A245" s="67" t="str">
        <f t="array" ref="A245">IFERROR(INDEX('Teacher Calendar'!$D$799:$D$808,SMALL(IF(('Teacher Calendar'!$D$799:$D$808&lt;&gt;"")*('Teacher Calendar'!$D$799:$D$808&lt;&gt;0),ROW('Teacher Calendar'!$D$799:$D$808)-ROW('Teacher Calendar'!$D$799)+1),2)),"")</f>
        <v>Warm Up</v>
      </c>
      <c r="B245" s="67" t="str">
        <f t="array" ref="B245">IFERROR(INDEX('Teacher Calendar'!$E$799:$E$808,SMALL(IF(('Teacher Calendar'!$E$799:$E$808&lt;&gt;"")*('Teacher Calendar'!$E$799:$E$808&lt;&gt;0),ROW('Teacher Calendar'!$E$799:$E$808)-ROW('Teacher Calendar'!$E$799)+1),2)),"")</f>
        <v>Warm Up</v>
      </c>
      <c r="C245" s="67" t="str">
        <f t="array" ref="C245">IFERROR(INDEX('Teacher Calendar'!$F$799:$F$808,SMALL(IF(('Teacher Calendar'!$F$799:$F$808&lt;&gt;"")*('Teacher Calendar'!$F$799:$F$808&lt;&gt;0),ROW('Teacher Calendar'!$F$799:$F$808)-ROW('Teacher Calendar'!$F$799)+1),2)),"")</f>
        <v>Warm Up</v>
      </c>
      <c r="D245" s="67" t="str">
        <f t="array" ref="D245">IFERROR(INDEX('Teacher Calendar'!$G$799:$G$808,SMALL(IF(('Teacher Calendar'!$G$799:$G$808&lt;&gt;"")*('Teacher Calendar'!$G$799:$G$808&lt;&gt;0),ROW('Teacher Calendar'!$G$799:$G$808)-ROW('Teacher Calendar'!$G$799)+1),2)),"")</f>
        <v>Warm Up</v>
      </c>
      <c r="E245" s="77" t="str">
        <f t="array" ref="E245">IFERROR(INDEX('Teacher Calendar'!$H$799:$H$808,SMALL(IF(('Teacher Calendar'!$H$799:$H$808&lt;&gt;"")*('Teacher Calendar'!$H$799:$H$808&lt;&gt;0),ROW('Teacher Calendar'!$H$799:$H$808)-ROW('Teacher Calendar'!$H$799)+1),2)),"")</f>
        <v/>
      </c>
    </row>
    <row r="246" ht="15.75" customHeight="1">
      <c r="A246" s="67" t="str">
        <f t="array" ref="A246">IFERROR(INDEX('Teacher Calendar'!$D$799:$D$808,SMALL(IF(('Teacher Calendar'!$D$799:$D$808&lt;&gt;"")*('Teacher Calendar'!$D$799:$D$808&lt;&gt;0),ROW('Teacher Calendar'!$D$799:$D$808)-ROW('Teacher Calendar'!$D$799)+1),3)),"")</f>
        <v>Demo</v>
      </c>
      <c r="B246" s="67" t="str">
        <f t="array" ref="B246">IFERROR(INDEX('Teacher Calendar'!$E$799:$E$808,SMALL(IF(('Teacher Calendar'!$E$799:$E$808&lt;&gt;"")*('Teacher Calendar'!$E$799:$E$808&lt;&gt;0),ROW('Teacher Calendar'!$E$799:$E$808)-ROW('Teacher Calendar'!$E$799)+1),3)),"")</f>
        <v>Demo</v>
      </c>
      <c r="C246" s="67" t="str">
        <f t="array" ref="C246">IFERROR(INDEX('Teacher Calendar'!$F$799:$F$808,SMALL(IF(('Teacher Calendar'!$F$799:$F$808&lt;&gt;"")*('Teacher Calendar'!$F$799:$F$808&lt;&gt;0),ROW('Teacher Calendar'!$F$799:$F$808)-ROW('Teacher Calendar'!$F$799)+1),3)),"")</f>
        <v>Demo</v>
      </c>
      <c r="D246" s="67" t="str">
        <f t="array" ref="D246">IFERROR(INDEX('Teacher Calendar'!$G$799:$G$808,SMALL(IF(('Teacher Calendar'!$G$799:$G$808&lt;&gt;"")*('Teacher Calendar'!$G$799:$G$808&lt;&gt;0),ROW('Teacher Calendar'!$G$799:$G$808)-ROW('Teacher Calendar'!$G$799)+1),3)),"")</f>
        <v>Demo</v>
      </c>
      <c r="E246" s="77" t="str">
        <f t="array" ref="E246">IFERROR(INDEX('Teacher Calendar'!$H$799:$H$808,SMALL(IF(('Teacher Calendar'!$H$799:$H$808&lt;&gt;"")*('Teacher Calendar'!$H$799:$H$808&lt;&gt;0),ROW('Teacher Calendar'!$H$799:$H$808)-ROW('Teacher Calendar'!$H$799)+1),3)),"")</f>
        <v/>
      </c>
    </row>
    <row r="247" ht="15.75" customHeight="1">
      <c r="A247" s="67" t="str">
        <f t="array" ref="A247">IFERROR(INDEX('Teacher Calendar'!$D$799:$D$808,SMALL(IF(('Teacher Calendar'!$D$799:$D$808&lt;&gt;"")*('Teacher Calendar'!$D$799:$D$808&lt;&gt;0),ROW('Teacher Calendar'!$D$799:$D$808)-ROW('Teacher Calendar'!$D$799)+1),4)),"")</f>
        <v>Notes</v>
      </c>
      <c r="B247" s="67" t="str">
        <f t="array" ref="B247">IFERROR(INDEX('Teacher Calendar'!$E$799:$E$808,SMALL(IF(('Teacher Calendar'!$E$799:$E$808&lt;&gt;"")*('Teacher Calendar'!$E$799:$E$808&lt;&gt;0),ROW('Teacher Calendar'!$E$799:$E$808)-ROW('Teacher Calendar'!$E$799)+1),4)),"")</f>
        <v>Notes</v>
      </c>
      <c r="C247" s="67" t="str">
        <f t="array" ref="C247">IFERROR(INDEX('Teacher Calendar'!$F$799:$F$808,SMALL(IF(('Teacher Calendar'!$F$799:$F$808&lt;&gt;"")*('Teacher Calendar'!$F$799:$F$808&lt;&gt;0),ROW('Teacher Calendar'!$F$799:$F$808)-ROW('Teacher Calendar'!$F$799)+1),4)),"")</f>
        <v>Notes</v>
      </c>
      <c r="D247" s="67" t="str">
        <f t="array" ref="D247">IFERROR(INDEX('Teacher Calendar'!$G$799:$G$808,SMALL(IF(('Teacher Calendar'!$G$799:$G$808&lt;&gt;"")*('Teacher Calendar'!$G$799:$G$808&lt;&gt;0),ROW('Teacher Calendar'!$G$799:$G$808)-ROW('Teacher Calendar'!$G$799)+1),4)),"")</f>
        <v>Notes</v>
      </c>
      <c r="E247" s="77" t="str">
        <f t="array" ref="E247">IFERROR(INDEX('Teacher Calendar'!$H$799:$H$808,SMALL(IF(('Teacher Calendar'!$H$799:$H$808&lt;&gt;"")*('Teacher Calendar'!$H$799:$H$808&lt;&gt;0),ROW('Teacher Calendar'!$H$799:$H$808)-ROW('Teacher Calendar'!$H$799)+1),4)),"")</f>
        <v/>
      </c>
    </row>
    <row r="248" ht="15.75" customHeight="1">
      <c r="A248" s="67" t="str">
        <f t="array" ref="A248">IFERROR(INDEX('Teacher Calendar'!$D$799:$D$808,SMALL(IF(('Teacher Calendar'!$D$799:$D$808&lt;&gt;"")*('Teacher Calendar'!$D$799:$D$808&lt;&gt;0),ROW('Teacher Calendar'!$D$799:$D$808)-ROW('Teacher Calendar'!$D$799)+1),5)),"")</f>
        <v>Investigation</v>
      </c>
      <c r="B248" s="67" t="str">
        <f t="array" ref="B248">IFERROR(INDEX('Teacher Calendar'!$E$799:$E$808,SMALL(IF(('Teacher Calendar'!$E$799:$E$808&lt;&gt;"")*('Teacher Calendar'!$E$799:$E$808&lt;&gt;0),ROW('Teacher Calendar'!$E$799:$E$808)-ROW('Teacher Calendar'!$E$799)+1),5)),"")</f>
        <v>Investigation</v>
      </c>
      <c r="C248" s="67" t="str">
        <f t="array" ref="C248">IFERROR(INDEX('Teacher Calendar'!$F$799:$F$808,SMALL(IF(('Teacher Calendar'!$F$799:$F$808&lt;&gt;"")*('Teacher Calendar'!$F$799:$F$808&lt;&gt;0),ROW('Teacher Calendar'!$F$799:$F$808)-ROW('Teacher Calendar'!$F$799)+1),5)),"")</f>
        <v>Investigation</v>
      </c>
      <c r="D248" s="67" t="str">
        <f t="array" ref="D248">IFERROR(INDEX('Teacher Calendar'!$G$799:$G$808,SMALL(IF(('Teacher Calendar'!$G$799:$G$808&lt;&gt;"")*('Teacher Calendar'!$G$799:$G$808&lt;&gt;0),ROW('Teacher Calendar'!$G$799:$G$808)-ROW('Teacher Calendar'!$G$799)+1),5)),"")</f>
        <v>Investigation</v>
      </c>
      <c r="E248" s="77" t="str">
        <f t="array" ref="E248">IFERROR(INDEX('Teacher Calendar'!$H$799:$H$808,SMALL(IF(('Teacher Calendar'!$H$799:$H$808&lt;&gt;"")*('Teacher Calendar'!$H$799:$H$808&lt;&gt;0),ROW('Teacher Calendar'!$H$799:$H$808)-ROW('Teacher Calendar'!$H$799)+1),5)),"")</f>
        <v/>
      </c>
    </row>
    <row r="249" ht="15.75" customHeight="1">
      <c r="A249" s="67" t="str">
        <f t="array" ref="A249">IFERROR(INDEX('Teacher Calendar'!$D$799:$D$808,SMALL(IF(('Teacher Calendar'!$D$799:$D$808&lt;&gt;"")*('Teacher Calendar'!$D$799:$D$808&lt;&gt;0),ROW('Teacher Calendar'!$D$799:$D$808)-ROW('Teacher Calendar'!$D$799)+1),6)),"")</f>
        <v>Activity</v>
      </c>
      <c r="B249" s="67" t="str">
        <f t="array" ref="B249">IFERROR(INDEX('Teacher Calendar'!$E$799:$E$808,SMALL(IF(('Teacher Calendar'!$E$799:$E$808&lt;&gt;"")*('Teacher Calendar'!$E$799:$E$808&lt;&gt;0),ROW('Teacher Calendar'!$E$799:$E$808)-ROW('Teacher Calendar'!$E$799)+1),6)),"")</f>
        <v>Activity</v>
      </c>
      <c r="C249" s="67" t="str">
        <f t="array" ref="C249">IFERROR(INDEX('Teacher Calendar'!$F$799:$F$808,SMALL(IF(('Teacher Calendar'!$F$799:$F$808&lt;&gt;"")*('Teacher Calendar'!$F$799:$F$808&lt;&gt;0),ROW('Teacher Calendar'!$F$799:$F$808)-ROW('Teacher Calendar'!$F$799)+1),6)),"")</f>
        <v>Activity</v>
      </c>
      <c r="D249" s="67" t="str">
        <f t="array" ref="D249">IFERROR(INDEX('Teacher Calendar'!$G$799:$G$808,SMALL(IF(('Teacher Calendar'!$G$799:$G$808&lt;&gt;"")*('Teacher Calendar'!$G$799:$G$808&lt;&gt;0),ROW('Teacher Calendar'!$G$799:$G$808)-ROW('Teacher Calendar'!$G$799)+1),6)),"")</f>
        <v>Activity</v>
      </c>
      <c r="E249" s="77" t="str">
        <f t="array" ref="E249">IFERROR(INDEX('Teacher Calendar'!$H$799:$H$808,SMALL(IF(('Teacher Calendar'!$H$799:$H$808&lt;&gt;"")*('Teacher Calendar'!$H$799:$H$808&lt;&gt;0),ROW('Teacher Calendar'!$H$799:$H$808)-ROW('Teacher Calendar'!$H$799)+1),6)),"")</f>
        <v/>
      </c>
    </row>
    <row r="250" ht="15.75" customHeight="1">
      <c r="A250" s="67" t="str">
        <f t="array" ref="A250">IFERROR(INDEX('Teacher Calendar'!$D$799:$D$808,SMALL(IF(('Teacher Calendar'!$D$799:$D$808&lt;&gt;"")*('Teacher Calendar'!$D$799:$D$808&lt;&gt;0),ROW('Teacher Calendar'!$D$799:$D$808)-ROW('Teacher Calendar'!$D$799)+1),7)),"")</f>
        <v>Practice Set</v>
      </c>
      <c r="B250" s="67" t="str">
        <f t="array" ref="B250">IFERROR(INDEX('Teacher Calendar'!$E$799:$E$808,SMALL(IF(('Teacher Calendar'!$E$799:$E$808&lt;&gt;"")*('Teacher Calendar'!$E$799:$E$808&lt;&gt;0),ROW('Teacher Calendar'!$E$799:$E$808)-ROW('Teacher Calendar'!$E$799)+1),7)),"")</f>
        <v>Practice Set</v>
      </c>
      <c r="C250" s="67" t="str">
        <f t="array" ref="C250">IFERROR(INDEX('Teacher Calendar'!$F$799:$F$808,SMALL(IF(('Teacher Calendar'!$F$799:$F$808&lt;&gt;"")*('Teacher Calendar'!$F$799:$F$808&lt;&gt;0),ROW('Teacher Calendar'!$F$799:$F$808)-ROW('Teacher Calendar'!$F$799)+1),7)),"")</f>
        <v>Practice Set</v>
      </c>
      <c r="D250" s="67" t="str">
        <f t="array" ref="D250">IFERROR(INDEX('Teacher Calendar'!$G$799:$G$808,SMALL(IF(('Teacher Calendar'!$G$799:$G$808&lt;&gt;"")*('Teacher Calendar'!$G$799:$G$808&lt;&gt;0),ROW('Teacher Calendar'!$G$799:$G$808)-ROW('Teacher Calendar'!$G$799)+1),7)),"")</f>
        <v>Practice Set</v>
      </c>
      <c r="E250" s="77" t="str">
        <f t="array" ref="E250">IFERROR(INDEX('Teacher Calendar'!$H$799:$H$808,SMALL(IF(('Teacher Calendar'!$H$799:$H$808&lt;&gt;"")*('Teacher Calendar'!$H$799:$H$808&lt;&gt;0),ROW('Teacher Calendar'!$H$799:$H$808)-ROW('Teacher Calendar'!$H$799)+1),7)),"")</f>
        <v/>
      </c>
    </row>
    <row r="251" ht="15.75" customHeight="1">
      <c r="A251" s="146">
        <f>'Teacher Calendar'!D825</f>
        <v>46475</v>
      </c>
      <c r="B251" s="146">
        <f>'Teacher Calendar'!E825</f>
        <v>46476</v>
      </c>
      <c r="C251" s="146">
        <f>'Teacher Calendar'!F825</f>
        <v>46477</v>
      </c>
      <c r="D251" s="146">
        <f>'Teacher Calendar'!G825</f>
        <v>46478</v>
      </c>
      <c r="E251" s="146">
        <f>'Teacher Calendar'!H825</f>
        <v>46479</v>
      </c>
    </row>
    <row r="252" ht="15.75" customHeight="1">
      <c r="A252" s="77" t="str">
        <f t="array" ref="A252">IFERROR(INDEX('Teacher Calendar'!$D$826:$D$835,SMALL(IF(('Teacher Calendar'!$D$826:$D$835&lt;&gt;"")*('Teacher Calendar'!$D$826:$D$835&lt;&gt;0),ROW('Teacher Calendar'!$D$826:$D$835)-ROW('Teacher Calendar'!$D$826)+1),1)),"")</f>
        <v/>
      </c>
      <c r="B252" s="77" t="str">
        <f t="array" ref="B252">IFERROR(INDEX('Teacher Calendar'!$E$826:$E$835,SMALL(IF(('Teacher Calendar'!$E$826:$E$835&lt;&gt;"")*('Teacher Calendar'!$E$826:$E$835&lt;&gt;0),ROW('Teacher Calendar'!$E$826:$E$835)-ROW('Teacher Calendar'!$E$826)+1),1)),"")</f>
        <v/>
      </c>
      <c r="C252" s="77" t="str">
        <f t="array" ref="C252">IFERROR(INDEX('Teacher Calendar'!$F$826:$F$835,SMALL(IF(('Teacher Calendar'!$F$826:$F$835&lt;&gt;"")*('Teacher Calendar'!$F$826:$F$835&lt;&gt;0),ROW('Teacher Calendar'!$F$826:$F$835)-ROW('Teacher Calendar'!$F$826)+1),1)),"")</f>
        <v/>
      </c>
      <c r="D252" s="77" t="str">
        <f t="array" ref="D252">IFERROR(INDEX('Teacher Calendar'!$G$826:$G$835,SMALL(IF(('Teacher Calendar'!$G$826:$G$835&lt;&gt;"")*('Teacher Calendar'!$G$826:$G$835&lt;&gt;0),ROW('Teacher Calendar'!$G$826:$G$835)-ROW('Teacher Calendar'!$G$826)+1),1)),"")</f>
        <v/>
      </c>
      <c r="E252" s="77" t="str">
        <f t="array" ref="E252">IFERROR(INDEX('Teacher Calendar'!$H$826:$H$835,SMALL(IF(('Teacher Calendar'!$H$826:$H$835&lt;&gt;"")*('Teacher Calendar'!$H$826:$H$835&lt;&gt;0),ROW('Teacher Calendar'!$H$826:$H$835)-ROW('Teacher Calendar'!$H$826)+1),1)),"")</f>
        <v/>
      </c>
    </row>
    <row r="253" ht="15.75" customHeight="1">
      <c r="A253" s="77" t="str">
        <f t="array" ref="A253">IFERROR(INDEX('Teacher Calendar'!$D$826:$D$835,SMALL(IF(('Teacher Calendar'!$D$826:$D$835&lt;&gt;"")*('Teacher Calendar'!$D$826:$D$835&lt;&gt;0),ROW('Teacher Calendar'!$D$826:$D$835)-ROW('Teacher Calendar'!$D$826)+1),2)),"")</f>
        <v/>
      </c>
      <c r="B253" s="77" t="str">
        <f t="array" ref="B253">IFERROR(INDEX('Teacher Calendar'!$E$826:$E$835,SMALL(IF(('Teacher Calendar'!$E$826:$E$835&lt;&gt;"")*('Teacher Calendar'!$E$826:$E$835&lt;&gt;0),ROW('Teacher Calendar'!$E$826:$E$835)-ROW('Teacher Calendar'!$E$826)+1),2)),"")</f>
        <v/>
      </c>
      <c r="C253" s="77" t="str">
        <f t="array" ref="C253">IFERROR(INDEX('Teacher Calendar'!$F$826:$F$835,SMALL(IF(('Teacher Calendar'!$F$826:$F$835&lt;&gt;"")*('Teacher Calendar'!$F$826:$F$835&lt;&gt;0),ROW('Teacher Calendar'!$F$826:$F$835)-ROW('Teacher Calendar'!$F$826)+1),2)),"")</f>
        <v/>
      </c>
      <c r="D253" s="77" t="str">
        <f t="array" ref="D253">IFERROR(INDEX('Teacher Calendar'!$G$826:$G$835,SMALL(IF(('Teacher Calendar'!$G$826:$G$835&lt;&gt;"")*('Teacher Calendar'!$G$826:$G$835&lt;&gt;0),ROW('Teacher Calendar'!$G$826:$G$835)-ROW('Teacher Calendar'!$G$826)+1),2)),"")</f>
        <v/>
      </c>
      <c r="E253" s="77" t="str">
        <f t="array" ref="E253">IFERROR(INDEX('Teacher Calendar'!$H$826:$H$835,SMALL(IF(('Teacher Calendar'!$H$826:$H$835&lt;&gt;"")*('Teacher Calendar'!$H$826:$H$835&lt;&gt;0),ROW('Teacher Calendar'!$H$826:$H$835)-ROW('Teacher Calendar'!$H$826)+1),2)),"")</f>
        <v/>
      </c>
    </row>
    <row r="254" ht="15.75" customHeight="1">
      <c r="A254" s="77" t="str">
        <f t="array" ref="A254">IFERROR(INDEX('Teacher Calendar'!$D$826:$D$835,SMALL(IF(('Teacher Calendar'!$D$826:$D$835&lt;&gt;"")*('Teacher Calendar'!$D$826:$D$835&lt;&gt;0),ROW('Teacher Calendar'!$D$826:$D$835)-ROW('Teacher Calendar'!$D$826)+1),3)),"")</f>
        <v/>
      </c>
      <c r="B254" s="77" t="str">
        <f t="array" ref="B254">IFERROR(INDEX('Teacher Calendar'!$E$826:$E$835,SMALL(IF(('Teacher Calendar'!$E$826:$E$835&lt;&gt;"")*('Teacher Calendar'!$E$826:$E$835&lt;&gt;0),ROW('Teacher Calendar'!$E$826:$E$835)-ROW('Teacher Calendar'!$E$826)+1),3)),"")</f>
        <v/>
      </c>
      <c r="C254" s="77" t="str">
        <f t="array" ref="C254">IFERROR(INDEX('Teacher Calendar'!$F$826:$F$835,SMALL(IF(('Teacher Calendar'!$F$826:$F$835&lt;&gt;"")*('Teacher Calendar'!$F$826:$F$835&lt;&gt;0),ROW('Teacher Calendar'!$F$826:$F$835)-ROW('Teacher Calendar'!$F$826)+1),3)),"")</f>
        <v/>
      </c>
      <c r="D254" s="77" t="str">
        <f t="array" ref="D254">IFERROR(INDEX('Teacher Calendar'!$G$826:$G$835,SMALL(IF(('Teacher Calendar'!$G$826:$G$835&lt;&gt;"")*('Teacher Calendar'!$G$826:$G$835&lt;&gt;0),ROW('Teacher Calendar'!$G$826:$G$835)-ROW('Teacher Calendar'!$G$826)+1),3)),"")</f>
        <v/>
      </c>
      <c r="E254" s="77" t="str">
        <f t="array" ref="E254">IFERROR(INDEX('Teacher Calendar'!$H$826:$H$835,SMALL(IF(('Teacher Calendar'!$H$826:$H$835&lt;&gt;"")*('Teacher Calendar'!$H$826:$H$835&lt;&gt;0),ROW('Teacher Calendar'!$H$826:$H$835)-ROW('Teacher Calendar'!$H$826)+1),3)),"")</f>
        <v/>
      </c>
    </row>
    <row r="255" ht="15.75" customHeight="1">
      <c r="A255" s="77" t="str">
        <f t="array" ref="A255">IFERROR(INDEX('Teacher Calendar'!$D$826:$D$835,SMALL(IF(('Teacher Calendar'!$D$826:$D$835&lt;&gt;"")*('Teacher Calendar'!$D$826:$D$835&lt;&gt;0),ROW('Teacher Calendar'!$D$826:$D$835)-ROW('Teacher Calendar'!$D$826)+1),4)),"")</f>
        <v/>
      </c>
      <c r="B255" s="77" t="str">
        <f t="array" ref="B255">IFERROR(INDEX('Teacher Calendar'!$E$826:$E$835,SMALL(IF(('Teacher Calendar'!$E$826:$E$835&lt;&gt;"")*('Teacher Calendar'!$E$826:$E$835&lt;&gt;0),ROW('Teacher Calendar'!$E$826:$E$835)-ROW('Teacher Calendar'!$E$826)+1),4)),"")</f>
        <v/>
      </c>
      <c r="C255" s="77" t="str">
        <f t="array" ref="C255">IFERROR(INDEX('Teacher Calendar'!$F$826:$F$835,SMALL(IF(('Teacher Calendar'!$F$826:$F$835&lt;&gt;"")*('Teacher Calendar'!$F$826:$F$835&lt;&gt;0),ROW('Teacher Calendar'!$F$826:$F$835)-ROW('Teacher Calendar'!$F$826)+1),4)),"")</f>
        <v/>
      </c>
      <c r="D255" s="77" t="str">
        <f t="array" ref="D255">IFERROR(INDEX('Teacher Calendar'!$G$826:$G$835,SMALL(IF(('Teacher Calendar'!$G$826:$G$835&lt;&gt;"")*('Teacher Calendar'!$G$826:$G$835&lt;&gt;0),ROW('Teacher Calendar'!$G$826:$G$835)-ROW('Teacher Calendar'!$G$826)+1),4)),"")</f>
        <v/>
      </c>
      <c r="E255" s="77" t="str">
        <f t="array" ref="E255">IFERROR(INDEX('Teacher Calendar'!$H$826:$H$835,SMALL(IF(('Teacher Calendar'!$H$826:$H$835&lt;&gt;"")*('Teacher Calendar'!$H$826:$H$835&lt;&gt;0),ROW('Teacher Calendar'!$H$826:$H$835)-ROW('Teacher Calendar'!$H$826)+1),4)),"")</f>
        <v/>
      </c>
    </row>
    <row r="256" ht="15.75" customHeight="1">
      <c r="A256" s="77" t="str">
        <f t="array" ref="A256">IFERROR(INDEX('Teacher Calendar'!$D$826:$D$835,SMALL(IF(('Teacher Calendar'!$D$826:$D$835&lt;&gt;"")*('Teacher Calendar'!$D$826:$D$835&lt;&gt;0),ROW('Teacher Calendar'!$D$826:$D$835)-ROW('Teacher Calendar'!$D$826)+1),5)),"")</f>
        <v/>
      </c>
      <c r="B256" s="77" t="str">
        <f t="array" ref="B256">IFERROR(INDEX('Teacher Calendar'!$E$826:$E$835,SMALL(IF(('Teacher Calendar'!$E$826:$E$835&lt;&gt;"")*('Teacher Calendar'!$E$826:$E$835&lt;&gt;0),ROW('Teacher Calendar'!$E$826:$E$835)-ROW('Teacher Calendar'!$E$826)+1),5)),"")</f>
        <v/>
      </c>
      <c r="C256" s="77" t="str">
        <f t="array" ref="C256">IFERROR(INDEX('Teacher Calendar'!$F$826:$F$835,SMALL(IF(('Teacher Calendar'!$F$826:$F$835&lt;&gt;"")*('Teacher Calendar'!$F$826:$F$835&lt;&gt;0),ROW('Teacher Calendar'!$F$826:$F$835)-ROW('Teacher Calendar'!$F$826)+1),5)),"")</f>
        <v/>
      </c>
      <c r="D256" s="77" t="str">
        <f t="array" ref="D256">IFERROR(INDEX('Teacher Calendar'!$G$826:$G$835,SMALL(IF(('Teacher Calendar'!$G$826:$G$835&lt;&gt;"")*('Teacher Calendar'!$G$826:$G$835&lt;&gt;0),ROW('Teacher Calendar'!$G$826:$G$835)-ROW('Teacher Calendar'!$G$826)+1),5)),"")</f>
        <v/>
      </c>
      <c r="E256" s="77" t="str">
        <f t="array" ref="E256">IFERROR(INDEX('Teacher Calendar'!$H$826:$H$835,SMALL(IF(('Teacher Calendar'!$H$826:$H$835&lt;&gt;"")*('Teacher Calendar'!$H$826:$H$835&lt;&gt;0),ROW('Teacher Calendar'!$H$826:$H$835)-ROW('Teacher Calendar'!$H$826)+1),5)),"")</f>
        <v/>
      </c>
    </row>
    <row r="257" ht="15.75" customHeight="1">
      <c r="A257" s="77" t="str">
        <f t="array" ref="A257">IFERROR(INDEX('Teacher Calendar'!$D$826:$D$835,SMALL(IF(('Teacher Calendar'!$D$826:$D$835&lt;&gt;"")*('Teacher Calendar'!$D$826:$D$835&lt;&gt;0),ROW('Teacher Calendar'!$D$826:$D$835)-ROW('Teacher Calendar'!$D$826)+1),6)),"")</f>
        <v/>
      </c>
      <c r="B257" s="77" t="str">
        <f t="array" ref="B257">IFERROR(INDEX('Teacher Calendar'!$E$826:$E$835,SMALL(IF(('Teacher Calendar'!$E$826:$E$835&lt;&gt;"")*('Teacher Calendar'!$E$826:$E$835&lt;&gt;0),ROW('Teacher Calendar'!$E$826:$E$835)-ROW('Teacher Calendar'!$E$826)+1),6)),"")</f>
        <v/>
      </c>
      <c r="C257" s="77" t="str">
        <f t="array" ref="C257">IFERROR(INDEX('Teacher Calendar'!$F$826:$F$835,SMALL(IF(('Teacher Calendar'!$F$826:$F$835&lt;&gt;"")*('Teacher Calendar'!$F$826:$F$835&lt;&gt;0),ROW('Teacher Calendar'!$F$826:$F$835)-ROW('Teacher Calendar'!$F$826)+1),6)),"")</f>
        <v/>
      </c>
      <c r="D257" s="77" t="str">
        <f t="array" ref="D257">IFERROR(INDEX('Teacher Calendar'!$G$826:$G$835,SMALL(IF(('Teacher Calendar'!$G$826:$G$835&lt;&gt;"")*('Teacher Calendar'!$G$826:$G$835&lt;&gt;0),ROW('Teacher Calendar'!$G$826:$G$835)-ROW('Teacher Calendar'!$G$826)+1),6)),"")</f>
        <v/>
      </c>
      <c r="E257" s="77" t="str">
        <f t="array" ref="E257">IFERROR(INDEX('Teacher Calendar'!$H$826:$H$835,SMALL(IF(('Teacher Calendar'!$H$826:$H$835&lt;&gt;"")*('Teacher Calendar'!$H$826:$H$835&lt;&gt;0),ROW('Teacher Calendar'!$H$826:$H$835)-ROW('Teacher Calendar'!$H$826)+1),6)),"")</f>
        <v/>
      </c>
    </row>
    <row r="258" ht="15.75" customHeight="1">
      <c r="A258" s="77" t="str">
        <f t="array" ref="A258">IFERROR(INDEX('Teacher Calendar'!$D$826:$D$835,SMALL(IF(('Teacher Calendar'!$D$826:$D$835&lt;&gt;"")*('Teacher Calendar'!$D$826:$D$835&lt;&gt;0),ROW('Teacher Calendar'!$D$826:$D$835)-ROW('Teacher Calendar'!$D$826)+1),7)),"")</f>
        <v/>
      </c>
      <c r="B258" s="77" t="str">
        <f t="array" ref="B258">IFERROR(INDEX('Teacher Calendar'!$E$826:$E$835,SMALL(IF(('Teacher Calendar'!$E$826:$E$835&lt;&gt;"")*('Teacher Calendar'!$E$826:$E$835&lt;&gt;0),ROW('Teacher Calendar'!$E$826:$E$835)-ROW('Teacher Calendar'!$E$826)+1),7)),"")</f>
        <v/>
      </c>
      <c r="C258" s="77" t="str">
        <f t="array" ref="C258">IFERROR(INDEX('Teacher Calendar'!$F$826:$F$835,SMALL(IF(('Teacher Calendar'!$F$826:$F$835&lt;&gt;"")*('Teacher Calendar'!$F$826:$F$835&lt;&gt;0),ROW('Teacher Calendar'!$F$826:$F$835)-ROW('Teacher Calendar'!$F$826)+1),7)),"")</f>
        <v/>
      </c>
      <c r="D258" s="77" t="str">
        <f t="array" ref="D258">IFERROR(INDEX('Teacher Calendar'!$G$826:$G$835,SMALL(IF(('Teacher Calendar'!$G$826:$G$835&lt;&gt;"")*('Teacher Calendar'!$G$826:$G$835&lt;&gt;0),ROW('Teacher Calendar'!$G$826:$G$835)-ROW('Teacher Calendar'!$G$826)+1),7)),"")</f>
        <v/>
      </c>
      <c r="E258" s="77" t="str">
        <f t="array" ref="E258">IFERROR(INDEX('Teacher Calendar'!$H$826:$H$835,SMALL(IF(('Teacher Calendar'!$H$826:$H$835&lt;&gt;"")*('Teacher Calendar'!$H$826:$H$835&lt;&gt;0),ROW('Teacher Calendar'!$H$826:$H$835)-ROW('Teacher Calendar'!$H$826)+1),7)),"")</f>
        <v/>
      </c>
    </row>
    <row r="259" ht="15.75" customHeight="1">
      <c r="A259" s="146">
        <f>'Teacher Calendar'!D852</f>
        <v>46482</v>
      </c>
      <c r="B259" s="146">
        <f>'Teacher Calendar'!E852</f>
        <v>46483</v>
      </c>
      <c r="C259" s="146">
        <f>'Teacher Calendar'!F852</f>
        <v>46484</v>
      </c>
      <c r="D259" s="146">
        <f>'Teacher Calendar'!G852</f>
        <v>46485</v>
      </c>
      <c r="E259" s="146">
        <f>'Teacher Calendar'!H852</f>
        <v>46486</v>
      </c>
    </row>
    <row r="260" ht="15.75" customHeight="1">
      <c r="A260" s="131" t="str">
        <f t="array" ref="A260">IFERROR(INDEX('Teacher Calendar'!$D$853:$D$862,SMALL(IF(('Teacher Calendar'!$D$853:$D$862&lt;&gt;"")*('Teacher Calendar'!$D$853:$D$862&lt;&gt;0),ROW('Teacher Calendar'!$D$853:$D$862)-ROW('Teacher Calendar'!$D$853)+1),1)),"")</f>
        <v>8.5: Modern EM Systems</v>
      </c>
      <c r="B260" s="131" t="str">
        <f t="array" ref="B260">IFERROR(INDEX('Teacher Calendar'!$E$853:$E$862,SMALL(IF(('Teacher Calendar'!$E$853:$E$862&lt;&gt;"")*('Teacher Calendar'!$E$853:$E$862&lt;&gt;0),ROW('Teacher Calendar'!$E$853:$E$862)-ROW('Teacher Calendar'!$E$853)+1),1)),"")</f>
        <v>Unit 8 Sum Assess</v>
      </c>
      <c r="C260" s="131" t="str">
        <f t="array" ref="C260">IFERROR(INDEX('Teacher Calendar'!$F$853:$F$862,SMALL(IF(('Teacher Calendar'!$F$853:$F$862&lt;&gt;"")*('Teacher Calendar'!$F$853:$F$862&lt;&gt;0),ROW('Teacher Calendar'!$F$853:$F$862)-ROW('Teacher Calendar'!$F$853)+1),1)),"")</f>
        <v>Unit 8 Sum Assess</v>
      </c>
      <c r="D260" s="131" t="str">
        <f t="array" ref="D260">IFERROR(INDEX('Teacher Calendar'!$G$853:$G$862,SMALL(IF(('Teacher Calendar'!$G$853:$G$862&lt;&gt;"")*('Teacher Calendar'!$G$853:$G$862&lt;&gt;0),ROW('Teacher Calendar'!$G$853:$G$862)-ROW('Teacher Calendar'!$G$853)+1),1)),"")</f>
        <v/>
      </c>
      <c r="E260" s="131" t="str">
        <f t="array" ref="E260">IFERROR(INDEX('Teacher Calendar'!$H$853:$H$862,SMALL(IF(('Teacher Calendar'!$H$853:$H$862&lt;&gt;"")*('Teacher Calendar'!$H$853:$H$862&lt;&gt;0),ROW('Teacher Calendar'!$H$853:$H$862)-ROW('Teacher Calendar'!$H$853)+1),1)),"")</f>
        <v/>
      </c>
    </row>
    <row r="261" ht="15.75" customHeight="1">
      <c r="A261" s="67" t="str">
        <f t="array" ref="A261">IFERROR(INDEX('Teacher Calendar'!$D$853:$D$862,SMALL(IF(('Teacher Calendar'!$D$853:$D$862&lt;&gt;"")*('Teacher Calendar'!$D$853:$D$862&lt;&gt;0),ROW('Teacher Calendar'!$D$853:$D$862)-ROW('Teacher Calendar'!$D$853)+1),2)),"")</f>
        <v>Warm Up</v>
      </c>
      <c r="B261" s="131" t="str">
        <f t="array" ref="B261">IFERROR(INDEX('Teacher Calendar'!$E$853:$E$862,SMALL(IF(('Teacher Calendar'!$E$853:$E$862&lt;&gt;"")*('Teacher Calendar'!$E$853:$E$862&lt;&gt;0),ROW('Teacher Calendar'!$E$853:$E$862)-ROW('Teacher Calendar'!$E$853)+1),2)),"")</f>
        <v/>
      </c>
      <c r="C261" s="131" t="str">
        <f t="array" ref="C261">IFERROR(INDEX('Teacher Calendar'!$F$853:$F$862,SMALL(IF(('Teacher Calendar'!$F$853:$F$862&lt;&gt;"")*('Teacher Calendar'!$F$853:$F$862&lt;&gt;0),ROW('Teacher Calendar'!$F$853:$F$862)-ROW('Teacher Calendar'!$F$853)+1),2)),"")</f>
        <v/>
      </c>
      <c r="D261" s="131" t="str">
        <f t="array" ref="D261">IFERROR(INDEX('Teacher Calendar'!$G$853:$G$862,SMALL(IF(('Teacher Calendar'!$G$853:$G$862&lt;&gt;"")*('Teacher Calendar'!$G$853:$G$862&lt;&gt;0),ROW('Teacher Calendar'!$G$853:$G$862)-ROW('Teacher Calendar'!$G$853)+1),2)),"")</f>
        <v/>
      </c>
      <c r="E261" s="131" t="str">
        <f t="array" ref="E261">IFERROR(INDEX('Teacher Calendar'!$H$853:$H$862,SMALL(IF(('Teacher Calendar'!$H$853:$H$862&lt;&gt;"")*('Teacher Calendar'!$H$853:$H$862&lt;&gt;0),ROW('Teacher Calendar'!$H$853:$H$862)-ROW('Teacher Calendar'!$H$853)+1),2)),"")</f>
        <v/>
      </c>
    </row>
    <row r="262" ht="15.75" customHeight="1">
      <c r="A262" s="67" t="str">
        <f t="array" ref="A262">IFERROR(INDEX('Teacher Calendar'!$D$853:$D$862,SMALL(IF(('Teacher Calendar'!$D$853:$D$862&lt;&gt;"")*('Teacher Calendar'!$D$853:$D$862&lt;&gt;0),ROW('Teacher Calendar'!$D$853:$D$862)-ROW('Teacher Calendar'!$D$853)+1),3)),"")</f>
        <v>Demo</v>
      </c>
      <c r="B262" s="131" t="str">
        <f t="array" ref="B262">IFERROR(INDEX('Teacher Calendar'!$E$853:$E$862,SMALL(IF(('Teacher Calendar'!$E$853:$E$862&lt;&gt;"")*('Teacher Calendar'!$E$853:$E$862&lt;&gt;0),ROW('Teacher Calendar'!$E$853:$E$862)-ROW('Teacher Calendar'!$E$853)+1),3)),"")</f>
        <v/>
      </c>
      <c r="C262" s="131" t="str">
        <f t="array" ref="C262">IFERROR(INDEX('Teacher Calendar'!$F$853:$F$862,SMALL(IF(('Teacher Calendar'!$F$853:$F$862&lt;&gt;"")*('Teacher Calendar'!$F$853:$F$862&lt;&gt;0),ROW('Teacher Calendar'!$F$853:$F$862)-ROW('Teacher Calendar'!$F$853)+1),3)),"")</f>
        <v/>
      </c>
      <c r="D262" s="131" t="str">
        <f t="array" ref="D262">IFERROR(INDEX('Teacher Calendar'!$G$853:$G$862,SMALL(IF(('Teacher Calendar'!$G$853:$G$862&lt;&gt;"")*('Teacher Calendar'!$G$853:$G$862&lt;&gt;0),ROW('Teacher Calendar'!$G$853:$G$862)-ROW('Teacher Calendar'!$G$853)+1),3)),"")</f>
        <v/>
      </c>
      <c r="E262" s="131" t="str">
        <f t="array" ref="E262">IFERROR(INDEX('Teacher Calendar'!$H$853:$H$862,SMALL(IF(('Teacher Calendar'!$H$853:$H$862&lt;&gt;"")*('Teacher Calendar'!$H$853:$H$862&lt;&gt;0),ROW('Teacher Calendar'!$H$853:$H$862)-ROW('Teacher Calendar'!$H$853)+1),3)),"")</f>
        <v/>
      </c>
    </row>
    <row r="263" ht="15.75" customHeight="1">
      <c r="A263" s="67" t="str">
        <f t="array" ref="A263">IFERROR(INDEX('Teacher Calendar'!$D$853:$D$862,SMALL(IF(('Teacher Calendar'!$D$853:$D$862&lt;&gt;"")*('Teacher Calendar'!$D$853:$D$862&lt;&gt;0),ROW('Teacher Calendar'!$D$853:$D$862)-ROW('Teacher Calendar'!$D$853)+1),4)),"")</f>
        <v>Notes</v>
      </c>
      <c r="B263" s="131" t="str">
        <f t="array" ref="B263">IFERROR(INDEX('Teacher Calendar'!$E$853:$E$862,SMALL(IF(('Teacher Calendar'!$E$853:$E$862&lt;&gt;"")*('Teacher Calendar'!$E$853:$E$862&lt;&gt;0),ROW('Teacher Calendar'!$E$853:$E$862)-ROW('Teacher Calendar'!$E$853)+1),4)),"")</f>
        <v/>
      </c>
      <c r="C263" s="131" t="str">
        <f t="array" ref="C263">IFERROR(INDEX('Teacher Calendar'!$F$853:$F$862,SMALL(IF(('Teacher Calendar'!$F$853:$F$862&lt;&gt;"")*('Teacher Calendar'!$F$853:$F$862&lt;&gt;0),ROW('Teacher Calendar'!$F$853:$F$862)-ROW('Teacher Calendar'!$F$853)+1),4)),"")</f>
        <v/>
      </c>
      <c r="D263" s="131" t="str">
        <f t="array" ref="D263">IFERROR(INDEX('Teacher Calendar'!$G$853:$G$862,SMALL(IF(('Teacher Calendar'!$G$853:$G$862&lt;&gt;"")*('Teacher Calendar'!$G$853:$G$862&lt;&gt;0),ROW('Teacher Calendar'!$G$853:$G$862)-ROW('Teacher Calendar'!$G$853)+1),4)),"")</f>
        <v/>
      </c>
      <c r="E263" s="131" t="str">
        <f t="array" ref="E263">IFERROR(INDEX('Teacher Calendar'!$H$853:$H$862,SMALL(IF(('Teacher Calendar'!$H$853:$H$862&lt;&gt;"")*('Teacher Calendar'!$H$853:$H$862&lt;&gt;0),ROW('Teacher Calendar'!$H$853:$H$862)-ROW('Teacher Calendar'!$H$853)+1),4)),"")</f>
        <v/>
      </c>
    </row>
    <row r="264" ht="15.75" customHeight="1">
      <c r="A264" s="67" t="str">
        <f t="array" ref="A264">IFERROR(INDEX('Teacher Calendar'!$D$853:$D$862,SMALL(IF(('Teacher Calendar'!$D$853:$D$862&lt;&gt;"")*('Teacher Calendar'!$D$853:$D$862&lt;&gt;0),ROW('Teacher Calendar'!$D$853:$D$862)-ROW('Teacher Calendar'!$D$853)+1),5)),"")</f>
        <v>Investigation</v>
      </c>
      <c r="B264" s="131" t="str">
        <f t="array" ref="B264">IFERROR(INDEX('Teacher Calendar'!$E$853:$E$862,SMALL(IF(('Teacher Calendar'!$E$853:$E$862&lt;&gt;"")*('Teacher Calendar'!$E$853:$E$862&lt;&gt;0),ROW('Teacher Calendar'!$E$853:$E$862)-ROW('Teacher Calendar'!$E$853)+1),5)),"")</f>
        <v/>
      </c>
      <c r="C264" s="131" t="str">
        <f t="array" ref="C264">IFERROR(INDEX('Teacher Calendar'!$F$853:$F$862,SMALL(IF(('Teacher Calendar'!$F$853:$F$862&lt;&gt;"")*('Teacher Calendar'!$F$853:$F$862&lt;&gt;0),ROW('Teacher Calendar'!$F$853:$F$862)-ROW('Teacher Calendar'!$F$853)+1),5)),"")</f>
        <v/>
      </c>
      <c r="D264" s="131" t="str">
        <f t="array" ref="D264">IFERROR(INDEX('Teacher Calendar'!$G$853:$G$862,SMALL(IF(('Teacher Calendar'!$G$853:$G$862&lt;&gt;"")*('Teacher Calendar'!$G$853:$G$862&lt;&gt;0),ROW('Teacher Calendar'!$G$853:$G$862)-ROW('Teacher Calendar'!$G$853)+1),5)),"")</f>
        <v/>
      </c>
      <c r="E264" s="131" t="str">
        <f t="array" ref="E264">IFERROR(INDEX('Teacher Calendar'!$H$853:$H$862,SMALL(IF(('Teacher Calendar'!$H$853:$H$862&lt;&gt;"")*('Teacher Calendar'!$H$853:$H$862&lt;&gt;0),ROW('Teacher Calendar'!$H$853:$H$862)-ROW('Teacher Calendar'!$H$853)+1),5)),"")</f>
        <v/>
      </c>
    </row>
    <row r="265" ht="15.75" customHeight="1">
      <c r="A265" s="67" t="str">
        <f t="array" ref="A265">IFERROR(INDEX('Teacher Calendar'!$D$853:$D$862,SMALL(IF(('Teacher Calendar'!$D$853:$D$862&lt;&gt;"")*('Teacher Calendar'!$D$853:$D$862&lt;&gt;0),ROW('Teacher Calendar'!$D$853:$D$862)-ROW('Teacher Calendar'!$D$853)+1),6)),"")</f>
        <v>Activity</v>
      </c>
      <c r="B265" s="131" t="str">
        <f t="array" ref="B265">IFERROR(INDEX('Teacher Calendar'!$E$853:$E$862,SMALL(IF(('Teacher Calendar'!$E$853:$E$862&lt;&gt;"")*('Teacher Calendar'!$E$853:$E$862&lt;&gt;0),ROW('Teacher Calendar'!$E$853:$E$862)-ROW('Teacher Calendar'!$E$853)+1),6)),"")</f>
        <v/>
      </c>
      <c r="C265" s="131" t="str">
        <f t="array" ref="C265">IFERROR(INDEX('Teacher Calendar'!$F$853:$F$862,SMALL(IF(('Teacher Calendar'!$F$853:$F$862&lt;&gt;"")*('Teacher Calendar'!$F$853:$F$862&lt;&gt;0),ROW('Teacher Calendar'!$F$853:$F$862)-ROW('Teacher Calendar'!$F$853)+1),6)),"")</f>
        <v/>
      </c>
      <c r="D265" s="131" t="str">
        <f t="array" ref="D265">IFERROR(INDEX('Teacher Calendar'!$G$853:$G$862,SMALL(IF(('Teacher Calendar'!$G$853:$G$862&lt;&gt;"")*('Teacher Calendar'!$G$853:$G$862&lt;&gt;0),ROW('Teacher Calendar'!$G$853:$G$862)-ROW('Teacher Calendar'!$G$853)+1),6)),"")</f>
        <v/>
      </c>
      <c r="E265" s="131" t="str">
        <f t="array" ref="E265">IFERROR(INDEX('Teacher Calendar'!$H$853:$H$862,SMALL(IF(('Teacher Calendar'!$H$853:$H$862&lt;&gt;"")*('Teacher Calendar'!$H$853:$H$862&lt;&gt;0),ROW('Teacher Calendar'!$H$853:$H$862)-ROW('Teacher Calendar'!$H$853)+1),6)),"")</f>
        <v/>
      </c>
    </row>
    <row r="266" ht="15.75" customHeight="1">
      <c r="A266" s="67" t="str">
        <f t="array" ref="A266">IFERROR(INDEX('Teacher Calendar'!$D$853:$D$862,SMALL(IF(('Teacher Calendar'!$D$853:$D$862&lt;&gt;"")*('Teacher Calendar'!$D$853:$D$862&lt;&gt;0),ROW('Teacher Calendar'!$D$853:$D$862)-ROW('Teacher Calendar'!$D$853)+1),7)),"")</f>
        <v>Practice Set</v>
      </c>
      <c r="B266" s="131" t="str">
        <f t="array" ref="B266">IFERROR(INDEX('Teacher Calendar'!$E$853:$E$862,SMALL(IF(('Teacher Calendar'!$E$853:$E$862&lt;&gt;"")*('Teacher Calendar'!$E$853:$E$862&lt;&gt;0),ROW('Teacher Calendar'!$E$853:$E$862)-ROW('Teacher Calendar'!$E$853)+1),7)),"")</f>
        <v/>
      </c>
      <c r="C266" s="131" t="str">
        <f t="array" ref="C266">IFERROR(INDEX('Teacher Calendar'!$F$853:$F$862,SMALL(IF(('Teacher Calendar'!$F$853:$F$862&lt;&gt;"")*('Teacher Calendar'!$F$853:$F$862&lt;&gt;0),ROW('Teacher Calendar'!$F$853:$F$862)-ROW('Teacher Calendar'!$F$853)+1),7)),"")</f>
        <v/>
      </c>
      <c r="D266" s="131" t="str">
        <f t="array" ref="D266">IFERROR(INDEX('Teacher Calendar'!$G$853:$G$862,SMALL(IF(('Teacher Calendar'!$G$853:$G$862&lt;&gt;"")*('Teacher Calendar'!$G$853:$G$862&lt;&gt;0),ROW('Teacher Calendar'!$G$853:$G$862)-ROW('Teacher Calendar'!$G$853)+1),7)),"")</f>
        <v/>
      </c>
      <c r="E266" s="131" t="str">
        <f t="array" ref="E266">IFERROR(INDEX('Teacher Calendar'!$H$853:$H$862,SMALL(IF(('Teacher Calendar'!$H$853:$H$862&lt;&gt;"")*('Teacher Calendar'!$H$853:$H$862&lt;&gt;0),ROW('Teacher Calendar'!$H$853:$H$862)-ROW('Teacher Calendar'!$H$853)+1),7)),"")</f>
        <v/>
      </c>
    </row>
    <row r="267" ht="15.75" customHeight="1">
      <c r="A267" s="146">
        <f>'Teacher Calendar'!D879</f>
        <v>46489</v>
      </c>
      <c r="B267" s="146">
        <f>'Teacher Calendar'!E879</f>
        <v>46490</v>
      </c>
      <c r="C267" s="146">
        <f>'Teacher Calendar'!F879</f>
        <v>46491</v>
      </c>
      <c r="D267" s="146">
        <f>'Teacher Calendar'!G879</f>
        <v>46492</v>
      </c>
      <c r="E267" s="146">
        <f>'Teacher Calendar'!H879</f>
        <v>46493</v>
      </c>
    </row>
    <row r="268" ht="15.75" customHeight="1">
      <c r="A268" s="131" t="str">
        <f t="array" ref="A268">IFERROR(INDEX('Teacher Calendar'!$D$880:$D$889,SMALL(IF(('Teacher Calendar'!$D$880:$D$889&lt;&gt;"")*('Teacher Calendar'!$D$880:$D$889&lt;&gt;0),ROW('Teacher Calendar'!$D$880:$D$889)-ROW('Teacher Calendar'!$D$880)+1),1)),"")</f>
        <v/>
      </c>
      <c r="B268" s="131" t="str">
        <f t="array" ref="B268">IFERROR(INDEX('Teacher Calendar'!$E$880:$E$889,SMALL(IF(('Teacher Calendar'!$E$880:$E$889&lt;&gt;"")*('Teacher Calendar'!$E$880:$E$889&lt;&gt;0),ROW('Teacher Calendar'!$E$880:$E$889)-ROW('Teacher Calendar'!$E$880)+1),1)),"")</f>
        <v/>
      </c>
      <c r="C268" s="131" t="str">
        <f t="array" ref="C268">IFERROR(INDEX('Teacher Calendar'!$F$880:$F$889,SMALL(IF(('Teacher Calendar'!$F$880:$F$889&lt;&gt;"")*('Teacher Calendar'!$F$880:$F$889&lt;&gt;0),ROW('Teacher Calendar'!$F$880:$F$889)-ROW('Teacher Calendar'!$F$880)+1),1)),"")</f>
        <v/>
      </c>
      <c r="D268" s="131" t="str">
        <f t="array" ref="D268">IFERROR(INDEX('Teacher Calendar'!$G$880:$G$889,SMALL(IF(('Teacher Calendar'!$G$880:$G$889&lt;&gt;"")*('Teacher Calendar'!$G$880:$G$889&lt;&gt;0),ROW('Teacher Calendar'!$G$880:$G$889)-ROW('Teacher Calendar'!$G$880)+1),1)),"")</f>
        <v/>
      </c>
      <c r="E268" s="131" t="str">
        <f t="array" ref="E268">IFERROR(INDEX('Teacher Calendar'!$H$880:$H$889,SMALL(IF(('Teacher Calendar'!$H$880:$H$889&lt;&gt;"")*('Teacher Calendar'!$H$880:$H$889&lt;&gt;0),ROW('Teacher Calendar'!$H$880:$H$889)-ROW('Teacher Calendar'!$H$880)+1),1)),"")</f>
        <v/>
      </c>
    </row>
    <row r="269" ht="15.75" customHeight="1">
      <c r="A269" s="131" t="str">
        <f t="array" ref="A269">IFERROR(INDEX('Teacher Calendar'!$D$880:$D$889,SMALL(IF(('Teacher Calendar'!$D$880:$D$889&lt;&gt;"")*('Teacher Calendar'!$D$880:$D$889&lt;&gt;0),ROW('Teacher Calendar'!$D$880:$D$889)-ROW('Teacher Calendar'!$D$880)+1),2)),"")</f>
        <v/>
      </c>
      <c r="B269" s="131" t="str">
        <f t="array" ref="B269">IFERROR(INDEX('Teacher Calendar'!$E$880:$E$889,SMALL(IF(('Teacher Calendar'!$E$880:$E$889&lt;&gt;"")*('Teacher Calendar'!$E$880:$E$889&lt;&gt;0),ROW('Teacher Calendar'!$E$880:$E$889)-ROW('Teacher Calendar'!$E$880)+1),2)),"")</f>
        <v/>
      </c>
      <c r="C269" s="131" t="str">
        <f t="array" ref="C269">IFERROR(INDEX('Teacher Calendar'!$F$880:$F$889,SMALL(IF(('Teacher Calendar'!$F$880:$F$889&lt;&gt;"")*('Teacher Calendar'!$F$880:$F$889&lt;&gt;0),ROW('Teacher Calendar'!$F$880:$F$889)-ROW('Teacher Calendar'!$F$880)+1),2)),"")</f>
        <v/>
      </c>
      <c r="D269" s="131" t="str">
        <f t="array" ref="D269">IFERROR(INDEX('Teacher Calendar'!$G$880:$G$889,SMALL(IF(('Teacher Calendar'!$G$880:$G$889&lt;&gt;"")*('Teacher Calendar'!$G$880:$G$889&lt;&gt;0),ROW('Teacher Calendar'!$G$880:$G$889)-ROW('Teacher Calendar'!$G$880)+1),2)),"")</f>
        <v/>
      </c>
      <c r="E269" s="131" t="str">
        <f t="array" ref="E269">IFERROR(INDEX('Teacher Calendar'!$H$880:$H$889,SMALL(IF(('Teacher Calendar'!$H$880:$H$889&lt;&gt;"")*('Teacher Calendar'!$H$880:$H$889&lt;&gt;0),ROW('Teacher Calendar'!$H$880:$H$889)-ROW('Teacher Calendar'!$H$880)+1),2)),"")</f>
        <v/>
      </c>
    </row>
    <row r="270" ht="15.75" customHeight="1">
      <c r="A270" s="131" t="str">
        <f t="array" ref="A270">IFERROR(INDEX('Teacher Calendar'!$D$880:$D$889,SMALL(IF(('Teacher Calendar'!$D$880:$D$889&lt;&gt;"")*('Teacher Calendar'!$D$880:$D$889&lt;&gt;0),ROW('Teacher Calendar'!$D$880:$D$889)-ROW('Teacher Calendar'!$D$880)+1),3)),"")</f>
        <v/>
      </c>
      <c r="B270" s="131" t="str">
        <f t="array" ref="B270">IFERROR(INDEX('Teacher Calendar'!$E$880:$E$889,SMALL(IF(('Teacher Calendar'!$E$880:$E$889&lt;&gt;"")*('Teacher Calendar'!$E$880:$E$889&lt;&gt;0),ROW('Teacher Calendar'!$E$880:$E$889)-ROW('Teacher Calendar'!$E$880)+1),3)),"")</f>
        <v/>
      </c>
      <c r="C270" s="131" t="str">
        <f t="array" ref="C270">IFERROR(INDEX('Teacher Calendar'!$F$880:$F$889,SMALL(IF(('Teacher Calendar'!$F$880:$F$889&lt;&gt;"")*('Teacher Calendar'!$F$880:$F$889&lt;&gt;0),ROW('Teacher Calendar'!$F$880:$F$889)-ROW('Teacher Calendar'!$F$880)+1),3)),"")</f>
        <v/>
      </c>
      <c r="D270" s="131" t="str">
        <f t="array" ref="D270">IFERROR(INDEX('Teacher Calendar'!$G$880:$G$889,SMALL(IF(('Teacher Calendar'!$G$880:$G$889&lt;&gt;"")*('Teacher Calendar'!$G$880:$G$889&lt;&gt;0),ROW('Teacher Calendar'!$G$880:$G$889)-ROW('Teacher Calendar'!$G$880)+1),3)),"")</f>
        <v/>
      </c>
      <c r="E270" s="131" t="str">
        <f t="array" ref="E270">IFERROR(INDEX('Teacher Calendar'!$H$880:$H$889,SMALL(IF(('Teacher Calendar'!$H$880:$H$889&lt;&gt;"")*('Teacher Calendar'!$H$880:$H$889&lt;&gt;0),ROW('Teacher Calendar'!$H$880:$H$889)-ROW('Teacher Calendar'!$H$880)+1),3)),"")</f>
        <v/>
      </c>
    </row>
    <row r="271" ht="15.75" customHeight="1">
      <c r="A271" s="131" t="str">
        <f t="array" ref="A271">IFERROR(INDEX('Teacher Calendar'!$D$880:$D$889,SMALL(IF(('Teacher Calendar'!$D$880:$D$889&lt;&gt;"")*('Teacher Calendar'!$D$880:$D$889&lt;&gt;0),ROW('Teacher Calendar'!$D$880:$D$889)-ROW('Teacher Calendar'!$D$880)+1),4)),"")</f>
        <v/>
      </c>
      <c r="B271" s="131" t="str">
        <f t="array" ref="B271">IFERROR(INDEX('Teacher Calendar'!$E$880:$E$889,SMALL(IF(('Teacher Calendar'!$E$880:$E$889&lt;&gt;"")*('Teacher Calendar'!$E$880:$E$889&lt;&gt;0),ROW('Teacher Calendar'!$E$880:$E$889)-ROW('Teacher Calendar'!$E$880)+1),4)),"")</f>
        <v/>
      </c>
      <c r="C271" s="131" t="str">
        <f t="array" ref="C271">IFERROR(INDEX('Teacher Calendar'!$F$880:$F$889,SMALL(IF(('Teacher Calendar'!$F$880:$F$889&lt;&gt;"")*('Teacher Calendar'!$F$880:$F$889&lt;&gt;0),ROW('Teacher Calendar'!$F$880:$F$889)-ROW('Teacher Calendar'!$F$880)+1),4)),"")</f>
        <v/>
      </c>
      <c r="D271" s="131" t="str">
        <f t="array" ref="D271">IFERROR(INDEX('Teacher Calendar'!$G$880:$G$889,SMALL(IF(('Teacher Calendar'!$G$880:$G$889&lt;&gt;"")*('Teacher Calendar'!$G$880:$G$889&lt;&gt;0),ROW('Teacher Calendar'!$G$880:$G$889)-ROW('Teacher Calendar'!$G$880)+1),4)),"")</f>
        <v/>
      </c>
      <c r="E271" s="131" t="str">
        <f t="array" ref="E271">IFERROR(INDEX('Teacher Calendar'!$H$880:$H$889,SMALL(IF(('Teacher Calendar'!$H$880:$H$889&lt;&gt;"")*('Teacher Calendar'!$H$880:$H$889&lt;&gt;0),ROW('Teacher Calendar'!$H$880:$H$889)-ROW('Teacher Calendar'!$H$880)+1),4)),"")</f>
        <v/>
      </c>
    </row>
    <row r="272" ht="15.75" customHeight="1">
      <c r="A272" s="131" t="str">
        <f t="array" ref="A272">IFERROR(INDEX('Teacher Calendar'!$D$880:$D$889,SMALL(IF(('Teacher Calendar'!$D$880:$D$889&lt;&gt;"")*('Teacher Calendar'!$D$880:$D$889&lt;&gt;0),ROW('Teacher Calendar'!$D$880:$D$889)-ROW('Teacher Calendar'!$D$880)+1),5)),"")</f>
        <v/>
      </c>
      <c r="B272" s="131" t="str">
        <f t="array" ref="B272">IFERROR(INDEX('Teacher Calendar'!$E$880:$E$889,SMALL(IF(('Teacher Calendar'!$E$880:$E$889&lt;&gt;"")*('Teacher Calendar'!$E$880:$E$889&lt;&gt;0),ROW('Teacher Calendar'!$E$880:$E$889)-ROW('Teacher Calendar'!$E$880)+1),5)),"")</f>
        <v/>
      </c>
      <c r="C272" s="131" t="str">
        <f t="array" ref="C272">IFERROR(INDEX('Teacher Calendar'!$F$880:$F$889,SMALL(IF(('Teacher Calendar'!$F$880:$F$889&lt;&gt;"")*('Teacher Calendar'!$F$880:$F$889&lt;&gt;0),ROW('Teacher Calendar'!$F$880:$F$889)-ROW('Teacher Calendar'!$F$880)+1),5)),"")</f>
        <v/>
      </c>
      <c r="D272" s="131" t="str">
        <f t="array" ref="D272">IFERROR(INDEX('Teacher Calendar'!$G$880:$G$889,SMALL(IF(('Teacher Calendar'!$G$880:$G$889&lt;&gt;"")*('Teacher Calendar'!$G$880:$G$889&lt;&gt;0),ROW('Teacher Calendar'!$G$880:$G$889)-ROW('Teacher Calendar'!$G$880)+1),5)),"")</f>
        <v/>
      </c>
      <c r="E272" s="131" t="str">
        <f t="array" ref="E272">IFERROR(INDEX('Teacher Calendar'!$H$880:$H$889,SMALL(IF(('Teacher Calendar'!$H$880:$H$889&lt;&gt;"")*('Teacher Calendar'!$H$880:$H$889&lt;&gt;0),ROW('Teacher Calendar'!$H$880:$H$889)-ROW('Teacher Calendar'!$H$880)+1),5)),"")</f>
        <v/>
      </c>
    </row>
    <row r="273" ht="15.75" customHeight="1">
      <c r="A273" s="131" t="str">
        <f t="array" ref="A273">IFERROR(INDEX('Teacher Calendar'!$D$880:$D$889,SMALL(IF(('Teacher Calendar'!$D$880:$D$889&lt;&gt;"")*('Teacher Calendar'!$D$880:$D$889&lt;&gt;0),ROW('Teacher Calendar'!$D$880:$D$889)-ROW('Teacher Calendar'!$D$880)+1),6)),"")</f>
        <v/>
      </c>
      <c r="B273" s="131" t="str">
        <f t="array" ref="B273">IFERROR(INDEX('Teacher Calendar'!$E$880:$E$889,SMALL(IF(('Teacher Calendar'!$E$880:$E$889&lt;&gt;"")*('Teacher Calendar'!$E$880:$E$889&lt;&gt;0),ROW('Teacher Calendar'!$E$880:$E$889)-ROW('Teacher Calendar'!$E$880)+1),6)),"")</f>
        <v/>
      </c>
      <c r="C273" s="131" t="str">
        <f t="array" ref="C273">IFERROR(INDEX('Teacher Calendar'!$F$880:$F$889,SMALL(IF(('Teacher Calendar'!$F$880:$F$889&lt;&gt;"")*('Teacher Calendar'!$F$880:$F$889&lt;&gt;0),ROW('Teacher Calendar'!$F$880:$F$889)-ROW('Teacher Calendar'!$F$880)+1),6)),"")</f>
        <v/>
      </c>
      <c r="D273" s="131" t="str">
        <f t="array" ref="D273">IFERROR(INDEX('Teacher Calendar'!$G$880:$G$889,SMALL(IF(('Teacher Calendar'!$G$880:$G$889&lt;&gt;"")*('Teacher Calendar'!$G$880:$G$889&lt;&gt;0),ROW('Teacher Calendar'!$G$880:$G$889)-ROW('Teacher Calendar'!$G$880)+1),6)),"")</f>
        <v/>
      </c>
      <c r="E273" s="131" t="str">
        <f t="array" ref="E273">IFERROR(INDEX('Teacher Calendar'!$H$880:$H$889,SMALL(IF(('Teacher Calendar'!$H$880:$H$889&lt;&gt;"")*('Teacher Calendar'!$H$880:$H$889&lt;&gt;0),ROW('Teacher Calendar'!$H$880:$H$889)-ROW('Teacher Calendar'!$H$880)+1),6)),"")</f>
        <v/>
      </c>
    </row>
    <row r="274" ht="15.75" customHeight="1">
      <c r="A274" s="131" t="str">
        <f t="array" ref="A274">IFERROR(INDEX('Teacher Calendar'!$D$880:$D$889,SMALL(IF(('Teacher Calendar'!$D$880:$D$889&lt;&gt;"")*('Teacher Calendar'!$D$880:$D$889&lt;&gt;0),ROW('Teacher Calendar'!$D$880:$D$889)-ROW('Teacher Calendar'!$D$880)+1),7)),"")</f>
        <v/>
      </c>
      <c r="B274" s="131" t="str">
        <f t="array" ref="B274">IFERROR(INDEX('Teacher Calendar'!$E$880:$E$889,SMALL(IF(('Teacher Calendar'!$E$880:$E$889&lt;&gt;"")*('Teacher Calendar'!$E$880:$E$889&lt;&gt;0),ROW('Teacher Calendar'!$E$880:$E$889)-ROW('Teacher Calendar'!$E$880)+1),7)),"")</f>
        <v/>
      </c>
      <c r="C274" s="131" t="str">
        <f t="array" ref="C274">IFERROR(INDEX('Teacher Calendar'!$F$880:$F$889,SMALL(IF(('Teacher Calendar'!$F$880:$F$889&lt;&gt;"")*('Teacher Calendar'!$F$880:$F$889&lt;&gt;0),ROW('Teacher Calendar'!$F$880:$F$889)-ROW('Teacher Calendar'!$F$880)+1),7)),"")</f>
        <v/>
      </c>
      <c r="D274" s="131" t="str">
        <f t="array" ref="D274">IFERROR(INDEX('Teacher Calendar'!$G$880:$G$889,SMALL(IF(('Teacher Calendar'!$G$880:$G$889&lt;&gt;"")*('Teacher Calendar'!$G$880:$G$889&lt;&gt;0),ROW('Teacher Calendar'!$G$880:$G$889)-ROW('Teacher Calendar'!$G$880)+1),7)),"")</f>
        <v/>
      </c>
      <c r="E274" s="131" t="str">
        <f t="array" ref="E274">IFERROR(INDEX('Teacher Calendar'!$H$880:$H$889,SMALL(IF(('Teacher Calendar'!$H$880:$H$889&lt;&gt;"")*('Teacher Calendar'!$H$880:$H$889&lt;&gt;0),ROW('Teacher Calendar'!$H$880:$H$889)-ROW('Teacher Calendar'!$H$880)+1),7)),"")</f>
        <v/>
      </c>
    </row>
    <row r="275" ht="15.75" customHeight="1">
      <c r="A275" s="146">
        <f>'Teacher Calendar'!D906</f>
        <v>46496</v>
      </c>
      <c r="B275" s="146">
        <f>'Teacher Calendar'!E906</f>
        <v>46497</v>
      </c>
      <c r="C275" s="146">
        <f>'Teacher Calendar'!F906</f>
        <v>46498</v>
      </c>
      <c r="D275" s="146">
        <f>'Teacher Calendar'!G906</f>
        <v>46499</v>
      </c>
      <c r="E275" s="146">
        <f>'Teacher Calendar'!H906</f>
        <v>46500</v>
      </c>
    </row>
    <row r="276" ht="15.75" customHeight="1">
      <c r="A276" s="131" t="str">
        <f t="array" ref="A276">IFERROR(INDEX('Teacher Calendar'!$D$907:$D$916,SMALL(IF(('Teacher Calendar'!$D$907:$D$916&lt;&gt;"")*('Teacher Calendar'!$D$907:$D$916&lt;&gt;0),ROW('Teacher Calendar'!$D$907:$D$916)-ROW('Teacher Calendar'!$D$907)+1),1)),"")</f>
        <v/>
      </c>
      <c r="B276" s="131" t="str">
        <f t="array" ref="B276">IFERROR(INDEX('Teacher Calendar'!$E$907:$E$916,SMALL(IF(('Teacher Calendar'!$E$907:$E$916&lt;&gt;"")*('Teacher Calendar'!$E$907:$E$916&lt;&gt;0),ROW('Teacher Calendar'!$E$907:$E$916)-ROW('Teacher Calendar'!$E$907)+1),1)),"")</f>
        <v/>
      </c>
      <c r="C276" s="131" t="str">
        <f t="array" ref="C276">IFERROR(INDEX('Teacher Calendar'!$F$907:$F$916,SMALL(IF(('Teacher Calendar'!$F$907:$F$916&lt;&gt;"")*('Teacher Calendar'!$F$907:$F$916&lt;&gt;0),ROW('Teacher Calendar'!$F$907:$F$916)-ROW('Teacher Calendar'!$F$907)+1),1)),"")</f>
        <v/>
      </c>
      <c r="D276" s="131" t="str">
        <f t="array" ref="D276">IFERROR(INDEX('Teacher Calendar'!$G$907:$G$916,SMALL(IF(('Teacher Calendar'!$G$907:$G$916&lt;&gt;"")*('Teacher Calendar'!$G$907:$G$916&lt;&gt;0),ROW('Teacher Calendar'!$G$907:$G$916)-ROW('Teacher Calendar'!$G$907)+1),1)),"")</f>
        <v/>
      </c>
      <c r="E276" s="131" t="str">
        <f t="array" ref="E276">IFERROR(INDEX('Teacher Calendar'!$H$907:$H$916,SMALL(IF(('Teacher Calendar'!$H$907:$H$916&lt;&gt;"")*('Teacher Calendar'!$H$907:$H$916&lt;&gt;0),ROW('Teacher Calendar'!$H$907:$H$916)-ROW('Teacher Calendar'!$H$907)+1),1)),"")</f>
        <v/>
      </c>
    </row>
    <row r="277" ht="15.75" customHeight="1">
      <c r="A277" s="131" t="str">
        <f t="array" ref="A277">IFERROR(INDEX('Teacher Calendar'!$D$907:$D$916,SMALL(IF(('Teacher Calendar'!$D$907:$D$916&lt;&gt;"")*('Teacher Calendar'!$D$907:$D$916&lt;&gt;0),ROW('Teacher Calendar'!$D$907:$D$916)-ROW('Teacher Calendar'!$D$907)+1),2)),"")</f>
        <v/>
      </c>
      <c r="B277" s="131" t="str">
        <f t="array" ref="B277">IFERROR(INDEX('Teacher Calendar'!$E$907:$E$916,SMALL(IF(('Teacher Calendar'!$E$907:$E$916&lt;&gt;"")*('Teacher Calendar'!$E$907:$E$916&lt;&gt;0),ROW('Teacher Calendar'!$E$907:$E$916)-ROW('Teacher Calendar'!$E$907)+1),2)),"")</f>
        <v/>
      </c>
      <c r="C277" s="131" t="str">
        <f t="array" ref="C277">IFERROR(INDEX('Teacher Calendar'!$F$907:$F$916,SMALL(IF(('Teacher Calendar'!$F$907:$F$916&lt;&gt;"")*('Teacher Calendar'!$F$907:$F$916&lt;&gt;0),ROW('Teacher Calendar'!$F$907:$F$916)-ROW('Teacher Calendar'!$F$907)+1),2)),"")</f>
        <v/>
      </c>
      <c r="D277" s="131" t="str">
        <f t="array" ref="D277">IFERROR(INDEX('Teacher Calendar'!$G$907:$G$916,SMALL(IF(('Teacher Calendar'!$G$907:$G$916&lt;&gt;"")*('Teacher Calendar'!$G$907:$G$916&lt;&gt;0),ROW('Teacher Calendar'!$G$907:$G$916)-ROW('Teacher Calendar'!$G$907)+1),2)),"")</f>
        <v/>
      </c>
      <c r="E277" s="131" t="str">
        <f t="array" ref="E277">IFERROR(INDEX('Teacher Calendar'!$H$907:$H$916,SMALL(IF(('Teacher Calendar'!$H$907:$H$916&lt;&gt;"")*('Teacher Calendar'!$H$907:$H$916&lt;&gt;0),ROW('Teacher Calendar'!$H$907:$H$916)-ROW('Teacher Calendar'!$H$907)+1),2)),"")</f>
        <v/>
      </c>
    </row>
    <row r="278" ht="15.75" customHeight="1">
      <c r="A278" s="131" t="str">
        <f t="array" ref="A278">IFERROR(INDEX('Teacher Calendar'!$D$907:$D$916,SMALL(IF(('Teacher Calendar'!$D$907:$D$916&lt;&gt;"")*('Teacher Calendar'!$D$907:$D$916&lt;&gt;0),ROW('Teacher Calendar'!$D$907:$D$916)-ROW('Teacher Calendar'!$D$907)+1),3)),"")</f>
        <v/>
      </c>
      <c r="B278" s="131" t="str">
        <f t="array" ref="B278">IFERROR(INDEX('Teacher Calendar'!$E$907:$E$916,SMALL(IF(('Teacher Calendar'!$E$907:$E$916&lt;&gt;"")*('Teacher Calendar'!$E$907:$E$916&lt;&gt;0),ROW('Teacher Calendar'!$E$907:$E$916)-ROW('Teacher Calendar'!$E$907)+1),3)),"")</f>
        <v/>
      </c>
      <c r="C278" s="131" t="str">
        <f t="array" ref="C278">IFERROR(INDEX('Teacher Calendar'!$F$907:$F$916,SMALL(IF(('Teacher Calendar'!$F$907:$F$916&lt;&gt;"")*('Teacher Calendar'!$F$907:$F$916&lt;&gt;0),ROW('Teacher Calendar'!$F$907:$F$916)-ROW('Teacher Calendar'!$F$907)+1),3)),"")</f>
        <v/>
      </c>
      <c r="D278" s="131" t="str">
        <f t="array" ref="D278">IFERROR(INDEX('Teacher Calendar'!$G$907:$G$916,SMALL(IF(('Teacher Calendar'!$G$907:$G$916&lt;&gt;"")*('Teacher Calendar'!$G$907:$G$916&lt;&gt;0),ROW('Teacher Calendar'!$G$907:$G$916)-ROW('Teacher Calendar'!$G$907)+1),3)),"")</f>
        <v/>
      </c>
      <c r="E278" s="131" t="str">
        <f t="array" ref="E278">IFERROR(INDEX('Teacher Calendar'!$H$907:$H$916,SMALL(IF(('Teacher Calendar'!$H$907:$H$916&lt;&gt;"")*('Teacher Calendar'!$H$907:$H$916&lt;&gt;0),ROW('Teacher Calendar'!$H$907:$H$916)-ROW('Teacher Calendar'!$H$907)+1),3)),"")</f>
        <v/>
      </c>
    </row>
    <row r="279" ht="15.75" customHeight="1">
      <c r="A279" s="131" t="str">
        <f t="array" ref="A279">IFERROR(INDEX('Teacher Calendar'!$D$907:$D$916,SMALL(IF(('Teacher Calendar'!$D$907:$D$916&lt;&gt;"")*('Teacher Calendar'!$D$907:$D$916&lt;&gt;0),ROW('Teacher Calendar'!$D$907:$D$916)-ROW('Teacher Calendar'!$D$907)+1),4)),"")</f>
        <v/>
      </c>
      <c r="B279" s="131" t="str">
        <f t="array" ref="B279">IFERROR(INDEX('Teacher Calendar'!$E$907:$E$916,SMALL(IF(('Teacher Calendar'!$E$907:$E$916&lt;&gt;"")*('Teacher Calendar'!$E$907:$E$916&lt;&gt;0),ROW('Teacher Calendar'!$E$907:$E$916)-ROW('Teacher Calendar'!$E$907)+1),4)),"")</f>
        <v/>
      </c>
      <c r="C279" s="131" t="str">
        <f t="array" ref="C279">IFERROR(INDEX('Teacher Calendar'!$F$907:$F$916,SMALL(IF(('Teacher Calendar'!$F$907:$F$916&lt;&gt;"")*('Teacher Calendar'!$F$907:$F$916&lt;&gt;0),ROW('Teacher Calendar'!$F$907:$F$916)-ROW('Teacher Calendar'!$F$907)+1),4)),"")</f>
        <v/>
      </c>
      <c r="D279" s="131" t="str">
        <f t="array" ref="D279">IFERROR(INDEX('Teacher Calendar'!$G$907:$G$916,SMALL(IF(('Teacher Calendar'!$G$907:$G$916&lt;&gt;"")*('Teacher Calendar'!$G$907:$G$916&lt;&gt;0),ROW('Teacher Calendar'!$G$907:$G$916)-ROW('Teacher Calendar'!$G$907)+1),4)),"")</f>
        <v/>
      </c>
      <c r="E279" s="131" t="str">
        <f t="array" ref="E279">IFERROR(INDEX('Teacher Calendar'!$H$907:$H$916,SMALL(IF(('Teacher Calendar'!$H$907:$H$916&lt;&gt;"")*('Teacher Calendar'!$H$907:$H$916&lt;&gt;0),ROW('Teacher Calendar'!$H$907:$H$916)-ROW('Teacher Calendar'!$H$907)+1),4)),"")</f>
        <v/>
      </c>
    </row>
    <row r="280" ht="15.75" customHeight="1">
      <c r="A280" s="131" t="str">
        <f t="array" ref="A280">IFERROR(INDEX('Teacher Calendar'!$D$907:$D$916,SMALL(IF(('Teacher Calendar'!$D$907:$D$916&lt;&gt;"")*('Teacher Calendar'!$D$907:$D$916&lt;&gt;0),ROW('Teacher Calendar'!$D$907:$D$916)-ROW('Teacher Calendar'!$D$907)+1),5)),"")</f>
        <v/>
      </c>
      <c r="B280" s="131" t="str">
        <f t="array" ref="B280">IFERROR(INDEX('Teacher Calendar'!$E$907:$E$916,SMALL(IF(('Teacher Calendar'!$E$907:$E$916&lt;&gt;"")*('Teacher Calendar'!$E$907:$E$916&lt;&gt;0),ROW('Teacher Calendar'!$E$907:$E$916)-ROW('Teacher Calendar'!$E$907)+1),5)),"")</f>
        <v/>
      </c>
      <c r="C280" s="131" t="str">
        <f t="array" ref="C280">IFERROR(INDEX('Teacher Calendar'!$F$907:$F$916,SMALL(IF(('Teacher Calendar'!$F$907:$F$916&lt;&gt;"")*('Teacher Calendar'!$F$907:$F$916&lt;&gt;0),ROW('Teacher Calendar'!$F$907:$F$916)-ROW('Teacher Calendar'!$F$907)+1),5)),"")</f>
        <v/>
      </c>
      <c r="D280" s="131" t="str">
        <f t="array" ref="D280">IFERROR(INDEX('Teacher Calendar'!$G$907:$G$916,SMALL(IF(('Teacher Calendar'!$G$907:$G$916&lt;&gt;"")*('Teacher Calendar'!$G$907:$G$916&lt;&gt;0),ROW('Teacher Calendar'!$G$907:$G$916)-ROW('Teacher Calendar'!$G$907)+1),5)),"")</f>
        <v/>
      </c>
      <c r="E280" s="131" t="str">
        <f t="array" ref="E280">IFERROR(INDEX('Teacher Calendar'!$H$907:$H$916,SMALL(IF(('Teacher Calendar'!$H$907:$H$916&lt;&gt;"")*('Teacher Calendar'!$H$907:$H$916&lt;&gt;0),ROW('Teacher Calendar'!$H$907:$H$916)-ROW('Teacher Calendar'!$H$907)+1),5)),"")</f>
        <v/>
      </c>
    </row>
    <row r="281" ht="15.75" customHeight="1">
      <c r="A281" s="131" t="str">
        <f t="array" ref="A281">IFERROR(INDEX('Teacher Calendar'!$D$907:$D$916,SMALL(IF(('Teacher Calendar'!$D$907:$D$916&lt;&gt;"")*('Teacher Calendar'!$D$907:$D$916&lt;&gt;0),ROW('Teacher Calendar'!$D$907:$D$916)-ROW('Teacher Calendar'!$D$907)+1),6)),"")</f>
        <v/>
      </c>
      <c r="B281" s="131" t="str">
        <f t="array" ref="B281">IFERROR(INDEX('Teacher Calendar'!$E$907:$E$916,SMALL(IF(('Teacher Calendar'!$E$907:$E$916&lt;&gt;"")*('Teacher Calendar'!$E$907:$E$916&lt;&gt;0),ROW('Teacher Calendar'!$E$907:$E$916)-ROW('Teacher Calendar'!$E$907)+1),6)),"")</f>
        <v/>
      </c>
      <c r="C281" s="131" t="str">
        <f t="array" ref="C281">IFERROR(INDEX('Teacher Calendar'!$F$907:$F$916,SMALL(IF(('Teacher Calendar'!$F$907:$F$916&lt;&gt;"")*('Teacher Calendar'!$F$907:$F$916&lt;&gt;0),ROW('Teacher Calendar'!$F$907:$F$916)-ROW('Teacher Calendar'!$F$907)+1),6)),"")</f>
        <v/>
      </c>
      <c r="D281" s="131" t="str">
        <f t="array" ref="D281">IFERROR(INDEX('Teacher Calendar'!$G$907:$G$916,SMALL(IF(('Teacher Calendar'!$G$907:$G$916&lt;&gt;"")*('Teacher Calendar'!$G$907:$G$916&lt;&gt;0),ROW('Teacher Calendar'!$G$907:$G$916)-ROW('Teacher Calendar'!$G$907)+1),6)),"")</f>
        <v/>
      </c>
      <c r="E281" s="131" t="str">
        <f t="array" ref="E281">IFERROR(INDEX('Teacher Calendar'!$H$907:$H$916,SMALL(IF(('Teacher Calendar'!$H$907:$H$916&lt;&gt;"")*('Teacher Calendar'!$H$907:$H$916&lt;&gt;0),ROW('Teacher Calendar'!$H$907:$H$916)-ROW('Teacher Calendar'!$H$907)+1),6)),"")</f>
        <v/>
      </c>
    </row>
    <row r="282" ht="15.75" customHeight="1">
      <c r="A282" s="131" t="str">
        <f t="array" ref="A282">IFERROR(INDEX('Teacher Calendar'!$D$907:$D$916,SMALL(IF(('Teacher Calendar'!$D$907:$D$916&lt;&gt;"")*('Teacher Calendar'!$D$907:$D$916&lt;&gt;0),ROW('Teacher Calendar'!$D$907:$D$916)-ROW('Teacher Calendar'!$D$907)+1),7)),"")</f>
        <v/>
      </c>
      <c r="B282" s="131" t="str">
        <f t="array" ref="B282">IFERROR(INDEX('Teacher Calendar'!$E$907:$E$916,SMALL(IF(('Teacher Calendar'!$E$907:$E$916&lt;&gt;"")*('Teacher Calendar'!$E$907:$E$916&lt;&gt;0),ROW('Teacher Calendar'!$E$907:$E$916)-ROW('Teacher Calendar'!$E$907)+1),7)),"")</f>
        <v/>
      </c>
      <c r="C282" s="131" t="str">
        <f t="array" ref="C282">IFERROR(INDEX('Teacher Calendar'!$F$907:$F$916,SMALL(IF(('Teacher Calendar'!$F$907:$F$916&lt;&gt;"")*('Teacher Calendar'!$F$907:$F$916&lt;&gt;0),ROW('Teacher Calendar'!$F$907:$F$916)-ROW('Teacher Calendar'!$F$907)+1),7)),"")</f>
        <v/>
      </c>
      <c r="D282" s="131" t="str">
        <f t="array" ref="D282">IFERROR(INDEX('Teacher Calendar'!$G$907:$G$916,SMALL(IF(('Teacher Calendar'!$G$907:$G$916&lt;&gt;"")*('Teacher Calendar'!$G$907:$G$916&lt;&gt;0),ROW('Teacher Calendar'!$G$907:$G$916)-ROW('Teacher Calendar'!$G$907)+1),7)),"")</f>
        <v/>
      </c>
      <c r="E282" s="131" t="str">
        <f t="array" ref="E282">IFERROR(INDEX('Teacher Calendar'!$H$907:$H$916,SMALL(IF(('Teacher Calendar'!$H$907:$H$916&lt;&gt;"")*('Teacher Calendar'!$H$907:$H$916&lt;&gt;0),ROW('Teacher Calendar'!$H$907:$H$916)-ROW('Teacher Calendar'!$H$907)+1),7)),"")</f>
        <v/>
      </c>
    </row>
    <row r="283" ht="15.75" customHeight="1">
      <c r="A283" s="146">
        <f>'Teacher Calendar'!D933</f>
        <v>46503</v>
      </c>
      <c r="B283" s="146">
        <f>'Teacher Calendar'!E933</f>
        <v>46504</v>
      </c>
      <c r="C283" s="146">
        <f>'Teacher Calendar'!F933</f>
        <v>46505</v>
      </c>
      <c r="D283" s="146">
        <f>'Teacher Calendar'!G933</f>
        <v>46506</v>
      </c>
      <c r="E283" s="146">
        <f>'Teacher Calendar'!H933</f>
        <v>46507</v>
      </c>
    </row>
    <row r="284" ht="15.75" customHeight="1">
      <c r="A284" s="131" t="str">
        <f t="array" ref="A284">IFERROR(INDEX('Teacher Calendar'!$D$934:$D$943,SMALL(IF(('Teacher Calendar'!$D$934:$D$943&lt;&gt;"")*('Teacher Calendar'!$D$934:$D$943&lt;&gt;0),ROW('Teacher Calendar'!$D$934:$D$943)-ROW('Teacher Calendar'!$D$934)+1),1)),"")</f>
        <v/>
      </c>
      <c r="B284" s="131" t="str">
        <f t="array" ref="B284">IFERROR(INDEX('Teacher Calendar'!$E$934:$E$943,SMALL(IF(('Teacher Calendar'!$E$934:$E$943&lt;&gt;"")*('Teacher Calendar'!$E$934:$E$943&lt;&gt;0),ROW('Teacher Calendar'!$E$934:$E$943)-ROW('Teacher Calendar'!$E$934)+1),1)),"")</f>
        <v/>
      </c>
      <c r="C284" s="131" t="str">
        <f t="array" ref="C284">IFERROR(INDEX('Teacher Calendar'!$F$934:$F$943,SMALL(IF(('Teacher Calendar'!$F$934:$F$943&lt;&gt;"")*('Teacher Calendar'!$F$934:$F$943&lt;&gt;0),ROW('Teacher Calendar'!$F$934:$F$943)-ROW('Teacher Calendar'!$F$934)+1),1)),"")</f>
        <v/>
      </c>
      <c r="D284" s="131" t="str">
        <f t="array" ref="D284">IFERROR(INDEX('Teacher Calendar'!$G$934:$G$943,SMALL(IF(('Teacher Calendar'!$G$934:$G$943&lt;&gt;"")*('Teacher Calendar'!$G$934:$G$943&lt;&gt;0),ROW('Teacher Calendar'!$G$934:$G$943)-ROW('Teacher Calendar'!$G$934)+1),1)),"")</f>
        <v/>
      </c>
      <c r="E284" s="131" t="str">
        <f t="array" ref="E284">IFERROR(INDEX('Teacher Calendar'!$H$934:$H$943,SMALL(IF(('Teacher Calendar'!$H$934:$H$943&lt;&gt;"")*('Teacher Calendar'!$H$934:$H$943&lt;&gt;0),ROW('Teacher Calendar'!$H$934:$H$943)-ROW('Teacher Calendar'!$H$934)+1),1)),"")</f>
        <v/>
      </c>
    </row>
    <row r="285" ht="15.75" customHeight="1">
      <c r="A285" s="131" t="str">
        <f t="array" ref="A285">IFERROR(INDEX('Teacher Calendar'!$D$934:$D$943,SMALL(IF(('Teacher Calendar'!$D$934:$D$943&lt;&gt;"")*('Teacher Calendar'!$D$934:$D$943&lt;&gt;0),ROW('Teacher Calendar'!$D$934:$D$943)-ROW('Teacher Calendar'!$D$934)+1),2)),"")</f>
        <v/>
      </c>
      <c r="B285" s="131" t="str">
        <f t="array" ref="B285">IFERROR(INDEX('Teacher Calendar'!$E$934:$E$943,SMALL(IF(('Teacher Calendar'!$E$934:$E$943&lt;&gt;"")*('Teacher Calendar'!$E$934:$E$943&lt;&gt;0),ROW('Teacher Calendar'!$E$934:$E$943)-ROW('Teacher Calendar'!$E$934)+1),2)),"")</f>
        <v/>
      </c>
      <c r="C285" s="131" t="str">
        <f t="array" ref="C285">IFERROR(INDEX('Teacher Calendar'!$F$934:$F$943,SMALL(IF(('Teacher Calendar'!$F$934:$F$943&lt;&gt;"")*('Teacher Calendar'!$F$934:$F$943&lt;&gt;0),ROW('Teacher Calendar'!$F$934:$F$943)-ROW('Teacher Calendar'!$F$934)+1),2)),"")</f>
        <v/>
      </c>
      <c r="D285" s="131" t="str">
        <f t="array" ref="D285">IFERROR(INDEX('Teacher Calendar'!$G$934:$G$943,SMALL(IF(('Teacher Calendar'!$G$934:$G$943&lt;&gt;"")*('Teacher Calendar'!$G$934:$G$943&lt;&gt;0),ROW('Teacher Calendar'!$G$934:$G$943)-ROW('Teacher Calendar'!$G$934)+1),2)),"")</f>
        <v/>
      </c>
      <c r="E285" s="131" t="str">
        <f t="array" ref="E285">IFERROR(INDEX('Teacher Calendar'!$H$934:$H$943,SMALL(IF(('Teacher Calendar'!$H$934:$H$943&lt;&gt;"")*('Teacher Calendar'!$H$934:$H$943&lt;&gt;0),ROW('Teacher Calendar'!$H$934:$H$943)-ROW('Teacher Calendar'!$H$934)+1),2)),"")</f>
        <v/>
      </c>
    </row>
    <row r="286" ht="15.75" customHeight="1">
      <c r="A286" s="131" t="str">
        <f t="array" ref="A286">IFERROR(INDEX('Teacher Calendar'!$D$934:$D$943,SMALL(IF(('Teacher Calendar'!$D$934:$D$943&lt;&gt;"")*('Teacher Calendar'!$D$934:$D$943&lt;&gt;0),ROW('Teacher Calendar'!$D$934:$D$943)-ROW('Teacher Calendar'!$D$934)+1),3)),"")</f>
        <v/>
      </c>
      <c r="B286" s="131" t="str">
        <f t="array" ref="B286">IFERROR(INDEX('Teacher Calendar'!$E$934:$E$943,SMALL(IF(('Teacher Calendar'!$E$934:$E$943&lt;&gt;"")*('Teacher Calendar'!$E$934:$E$943&lt;&gt;0),ROW('Teacher Calendar'!$E$934:$E$943)-ROW('Teacher Calendar'!$E$934)+1),3)),"")</f>
        <v/>
      </c>
      <c r="C286" s="131" t="str">
        <f t="array" ref="C286">IFERROR(INDEX('Teacher Calendar'!$F$934:$F$943,SMALL(IF(('Teacher Calendar'!$F$934:$F$943&lt;&gt;"")*('Teacher Calendar'!$F$934:$F$943&lt;&gt;0),ROW('Teacher Calendar'!$F$934:$F$943)-ROW('Teacher Calendar'!$F$934)+1),3)),"")</f>
        <v/>
      </c>
      <c r="D286" s="131" t="str">
        <f t="array" ref="D286">IFERROR(INDEX('Teacher Calendar'!$G$934:$G$943,SMALL(IF(('Teacher Calendar'!$G$934:$G$943&lt;&gt;"")*('Teacher Calendar'!$G$934:$G$943&lt;&gt;0),ROW('Teacher Calendar'!$G$934:$G$943)-ROW('Teacher Calendar'!$G$934)+1),3)),"")</f>
        <v/>
      </c>
      <c r="E286" s="131" t="str">
        <f t="array" ref="E286">IFERROR(INDEX('Teacher Calendar'!$H$934:$H$943,SMALL(IF(('Teacher Calendar'!$H$934:$H$943&lt;&gt;"")*('Teacher Calendar'!$H$934:$H$943&lt;&gt;0),ROW('Teacher Calendar'!$H$934:$H$943)-ROW('Teacher Calendar'!$H$934)+1),3)),"")</f>
        <v/>
      </c>
    </row>
    <row r="287" ht="15.75" customHeight="1">
      <c r="A287" s="131" t="str">
        <f t="array" ref="A287">IFERROR(INDEX('Teacher Calendar'!$D$934:$D$943,SMALL(IF(('Teacher Calendar'!$D$934:$D$943&lt;&gt;"")*('Teacher Calendar'!$D$934:$D$943&lt;&gt;0),ROW('Teacher Calendar'!$D$934:$D$943)-ROW('Teacher Calendar'!$D$934)+1),4)),"")</f>
        <v/>
      </c>
      <c r="B287" s="131" t="str">
        <f t="array" ref="B287">IFERROR(INDEX('Teacher Calendar'!$E$934:$E$943,SMALL(IF(('Teacher Calendar'!$E$934:$E$943&lt;&gt;"")*('Teacher Calendar'!$E$934:$E$943&lt;&gt;0),ROW('Teacher Calendar'!$E$934:$E$943)-ROW('Teacher Calendar'!$E$934)+1),4)),"")</f>
        <v/>
      </c>
      <c r="C287" s="131" t="str">
        <f t="array" ref="C287">IFERROR(INDEX('Teacher Calendar'!$F$934:$F$943,SMALL(IF(('Teacher Calendar'!$F$934:$F$943&lt;&gt;"")*('Teacher Calendar'!$F$934:$F$943&lt;&gt;0),ROW('Teacher Calendar'!$F$934:$F$943)-ROW('Teacher Calendar'!$F$934)+1),4)),"")</f>
        <v/>
      </c>
      <c r="D287" s="131" t="str">
        <f t="array" ref="D287">IFERROR(INDEX('Teacher Calendar'!$G$934:$G$943,SMALL(IF(('Teacher Calendar'!$G$934:$G$943&lt;&gt;"")*('Teacher Calendar'!$G$934:$G$943&lt;&gt;0),ROW('Teacher Calendar'!$G$934:$G$943)-ROW('Teacher Calendar'!$G$934)+1),4)),"")</f>
        <v/>
      </c>
      <c r="E287" s="131" t="str">
        <f t="array" ref="E287">IFERROR(INDEX('Teacher Calendar'!$H$934:$H$943,SMALL(IF(('Teacher Calendar'!$H$934:$H$943&lt;&gt;"")*('Teacher Calendar'!$H$934:$H$943&lt;&gt;0),ROW('Teacher Calendar'!$H$934:$H$943)-ROW('Teacher Calendar'!$H$934)+1),4)),"")</f>
        <v/>
      </c>
    </row>
    <row r="288" ht="15.75" customHeight="1">
      <c r="A288" s="131" t="str">
        <f t="array" ref="A288">IFERROR(INDEX('Teacher Calendar'!$D$934:$D$943,SMALL(IF(('Teacher Calendar'!$D$934:$D$943&lt;&gt;"")*('Teacher Calendar'!$D$934:$D$943&lt;&gt;0),ROW('Teacher Calendar'!$D$934:$D$943)-ROW('Teacher Calendar'!$D$934)+1),5)),"")</f>
        <v/>
      </c>
      <c r="B288" s="131" t="str">
        <f t="array" ref="B288">IFERROR(INDEX('Teacher Calendar'!$E$934:$E$943,SMALL(IF(('Teacher Calendar'!$E$934:$E$943&lt;&gt;"")*('Teacher Calendar'!$E$934:$E$943&lt;&gt;0),ROW('Teacher Calendar'!$E$934:$E$943)-ROW('Teacher Calendar'!$E$934)+1),5)),"")</f>
        <v/>
      </c>
      <c r="C288" s="131" t="str">
        <f t="array" ref="C288">IFERROR(INDEX('Teacher Calendar'!$F$934:$F$943,SMALL(IF(('Teacher Calendar'!$F$934:$F$943&lt;&gt;"")*('Teacher Calendar'!$F$934:$F$943&lt;&gt;0),ROW('Teacher Calendar'!$F$934:$F$943)-ROW('Teacher Calendar'!$F$934)+1),5)),"")</f>
        <v/>
      </c>
      <c r="D288" s="131" t="str">
        <f t="array" ref="D288">IFERROR(INDEX('Teacher Calendar'!$G$934:$G$943,SMALL(IF(('Teacher Calendar'!$G$934:$G$943&lt;&gt;"")*('Teacher Calendar'!$G$934:$G$943&lt;&gt;0),ROW('Teacher Calendar'!$G$934:$G$943)-ROW('Teacher Calendar'!$G$934)+1),5)),"")</f>
        <v/>
      </c>
      <c r="E288" s="131" t="str">
        <f t="array" ref="E288">IFERROR(INDEX('Teacher Calendar'!$H$934:$H$943,SMALL(IF(('Teacher Calendar'!$H$934:$H$943&lt;&gt;"")*('Teacher Calendar'!$H$934:$H$943&lt;&gt;0),ROW('Teacher Calendar'!$H$934:$H$943)-ROW('Teacher Calendar'!$H$934)+1),5)),"")</f>
        <v/>
      </c>
    </row>
    <row r="289" ht="15.75" customHeight="1">
      <c r="A289" s="131" t="str">
        <f t="array" ref="A289">IFERROR(INDEX('Teacher Calendar'!$D$934:$D$943,SMALL(IF(('Teacher Calendar'!$D$934:$D$943&lt;&gt;"")*('Teacher Calendar'!$D$934:$D$943&lt;&gt;0),ROW('Teacher Calendar'!$D$934:$D$943)-ROW('Teacher Calendar'!$D$934)+1),6)),"")</f>
        <v/>
      </c>
      <c r="B289" s="131" t="str">
        <f t="array" ref="B289">IFERROR(INDEX('Teacher Calendar'!$E$934:$E$943,SMALL(IF(('Teacher Calendar'!$E$934:$E$943&lt;&gt;"")*('Teacher Calendar'!$E$934:$E$943&lt;&gt;0),ROW('Teacher Calendar'!$E$934:$E$943)-ROW('Teacher Calendar'!$E$934)+1),6)),"")</f>
        <v/>
      </c>
      <c r="C289" s="131" t="str">
        <f t="array" ref="C289">IFERROR(INDEX('Teacher Calendar'!$F$934:$F$943,SMALL(IF(('Teacher Calendar'!$F$934:$F$943&lt;&gt;"")*('Teacher Calendar'!$F$934:$F$943&lt;&gt;0),ROW('Teacher Calendar'!$F$934:$F$943)-ROW('Teacher Calendar'!$F$934)+1),6)),"")</f>
        <v/>
      </c>
      <c r="D289" s="131" t="str">
        <f t="array" ref="D289">IFERROR(INDEX('Teacher Calendar'!$G$934:$G$943,SMALL(IF(('Teacher Calendar'!$G$934:$G$943&lt;&gt;"")*('Teacher Calendar'!$G$934:$G$943&lt;&gt;0),ROW('Teacher Calendar'!$G$934:$G$943)-ROW('Teacher Calendar'!$G$934)+1),6)),"")</f>
        <v/>
      </c>
      <c r="E289" s="131" t="str">
        <f t="array" ref="E289">IFERROR(INDEX('Teacher Calendar'!$H$934:$H$943,SMALL(IF(('Teacher Calendar'!$H$934:$H$943&lt;&gt;"")*('Teacher Calendar'!$H$934:$H$943&lt;&gt;0),ROW('Teacher Calendar'!$H$934:$H$943)-ROW('Teacher Calendar'!$H$934)+1),6)),"")</f>
        <v/>
      </c>
    </row>
    <row r="290" ht="15.75" customHeight="1">
      <c r="A290" s="131" t="str">
        <f t="array" ref="A290">IFERROR(INDEX('Teacher Calendar'!$D$934:$D$943,SMALL(IF(('Teacher Calendar'!$D$934:$D$943&lt;&gt;"")*('Teacher Calendar'!$D$934:$D$943&lt;&gt;0),ROW('Teacher Calendar'!$D$934:$D$943)-ROW('Teacher Calendar'!$D$934)+1),7)),"")</f>
        <v/>
      </c>
      <c r="B290" s="131" t="str">
        <f t="array" ref="B290">IFERROR(INDEX('Teacher Calendar'!$E$934:$E$943,SMALL(IF(('Teacher Calendar'!$E$934:$E$943&lt;&gt;"")*('Teacher Calendar'!$E$934:$E$943&lt;&gt;0),ROW('Teacher Calendar'!$E$934:$E$943)-ROW('Teacher Calendar'!$E$934)+1),7)),"")</f>
        <v/>
      </c>
      <c r="C290" s="131" t="str">
        <f t="array" ref="C290">IFERROR(INDEX('Teacher Calendar'!$F$934:$F$943,SMALL(IF(('Teacher Calendar'!$F$934:$F$943&lt;&gt;"")*('Teacher Calendar'!$F$934:$F$943&lt;&gt;0),ROW('Teacher Calendar'!$F$934:$F$943)-ROW('Teacher Calendar'!$F$934)+1),7)),"")</f>
        <v/>
      </c>
      <c r="D290" s="131" t="str">
        <f t="array" ref="D290">IFERROR(INDEX('Teacher Calendar'!$G$934:$G$943,SMALL(IF(('Teacher Calendar'!$G$934:$G$943&lt;&gt;"")*('Teacher Calendar'!$G$934:$G$943&lt;&gt;0),ROW('Teacher Calendar'!$G$934:$G$943)-ROW('Teacher Calendar'!$G$934)+1),7)),"")</f>
        <v/>
      </c>
      <c r="E290" s="131" t="str">
        <f t="array" ref="E290">IFERROR(INDEX('Teacher Calendar'!$H$934:$H$943,SMALL(IF(('Teacher Calendar'!$H$934:$H$943&lt;&gt;"")*('Teacher Calendar'!$H$934:$H$943&lt;&gt;0),ROW('Teacher Calendar'!$H$934:$H$943)-ROW('Teacher Calendar'!$H$934)+1),7)),"")</f>
        <v/>
      </c>
    </row>
    <row r="291" ht="15.75" customHeight="1">
      <c r="A291" s="146">
        <f>'Teacher Calendar'!D960</f>
        <v>46510</v>
      </c>
      <c r="B291" s="146">
        <f>'Teacher Calendar'!E960</f>
        <v>46511</v>
      </c>
      <c r="C291" s="146">
        <f>'Teacher Calendar'!F960</f>
        <v>46512</v>
      </c>
      <c r="D291" s="146">
        <f>'Teacher Calendar'!G960</f>
        <v>46513</v>
      </c>
      <c r="E291" s="146">
        <f>'Teacher Calendar'!H960</f>
        <v>46514</v>
      </c>
    </row>
    <row r="292" ht="15.75" customHeight="1">
      <c r="A292" s="131" t="str">
        <f t="array" ref="A292">IFERROR(INDEX('Teacher Calendar'!$D$961:$D$970,SMALL(IF(('Teacher Calendar'!$D$961:$D$970&lt;&gt;"")*('Teacher Calendar'!$D$961:$D$970&lt;&gt;0),ROW('Teacher Calendar'!$D$961:$D$970)-ROW('Teacher Calendar'!$D$961)+1),1)),"")</f>
        <v/>
      </c>
      <c r="B292" s="131" t="str">
        <f t="array" ref="B292">IFERROR(INDEX('Teacher Calendar'!$E$961:$E$970,SMALL(IF(('Teacher Calendar'!$E$961:$E$970&lt;&gt;"")*('Teacher Calendar'!$E$961:$E$970&lt;&gt;0),ROW('Teacher Calendar'!$E$961:$E$970)-ROW('Teacher Calendar'!$E$961)+1),1)),"")</f>
        <v/>
      </c>
      <c r="C292" s="131" t="str">
        <f t="array" ref="C292">IFERROR(INDEX('Teacher Calendar'!$F$961:$F$970,SMALL(IF(('Teacher Calendar'!$F$961:$F$970&lt;&gt;"")*('Teacher Calendar'!$F$961:$F$970&lt;&gt;0),ROW('Teacher Calendar'!$F$961:$F$970)-ROW('Teacher Calendar'!$F$961)+1),1)),"")</f>
        <v/>
      </c>
      <c r="D292" s="131" t="str">
        <f t="array" ref="D292">IFERROR(INDEX('Teacher Calendar'!$G$961:$G$970,SMALL(IF(('Teacher Calendar'!$G$961:$G$970&lt;&gt;"")*('Teacher Calendar'!$G$961:$G$970&lt;&gt;0),ROW('Teacher Calendar'!$G$961:$G$970)-ROW('Teacher Calendar'!$G$961)+1),1)),"")</f>
        <v/>
      </c>
      <c r="E292" s="131" t="str">
        <f t="array" ref="E292">IFERROR(INDEX('Teacher Calendar'!$H$961:$H$970,SMALL(IF(('Teacher Calendar'!$H$961:$H$970&lt;&gt;"")*('Teacher Calendar'!$H$961:$H$970&lt;&gt;0),ROW('Teacher Calendar'!$H$961:$H$970)-ROW('Teacher Calendar'!$H$961)+1),1)),"")</f>
        <v/>
      </c>
    </row>
    <row r="293" ht="15.75" customHeight="1">
      <c r="A293" s="131" t="str">
        <f t="array" ref="A293">IFERROR(INDEX('Teacher Calendar'!$D$961:$D$970,SMALL(IF(('Teacher Calendar'!$D$961:$D$970&lt;&gt;"")*('Teacher Calendar'!$D$961:$D$970&lt;&gt;0),ROW('Teacher Calendar'!$D$961:$D$970)-ROW('Teacher Calendar'!$D$961)+1),2)),"")</f>
        <v/>
      </c>
      <c r="B293" s="131" t="str">
        <f t="array" ref="B293">IFERROR(INDEX('Teacher Calendar'!$E$961:$E$970,SMALL(IF(('Teacher Calendar'!$E$961:$E$970&lt;&gt;"")*('Teacher Calendar'!$E$961:$E$970&lt;&gt;0),ROW('Teacher Calendar'!$E$961:$E$970)-ROW('Teacher Calendar'!$E$961)+1),2)),"")</f>
        <v/>
      </c>
      <c r="C293" s="131" t="str">
        <f t="array" ref="C293">IFERROR(INDEX('Teacher Calendar'!$F$961:$F$970,SMALL(IF(('Teacher Calendar'!$F$961:$F$970&lt;&gt;"")*('Teacher Calendar'!$F$961:$F$970&lt;&gt;0),ROW('Teacher Calendar'!$F$961:$F$970)-ROW('Teacher Calendar'!$F$961)+1),2)),"")</f>
        <v/>
      </c>
      <c r="D293" s="131" t="str">
        <f t="array" ref="D293">IFERROR(INDEX('Teacher Calendar'!$G$961:$G$970,SMALL(IF(('Teacher Calendar'!$G$961:$G$970&lt;&gt;"")*('Teacher Calendar'!$G$961:$G$970&lt;&gt;0),ROW('Teacher Calendar'!$G$961:$G$970)-ROW('Teacher Calendar'!$G$961)+1),2)),"")</f>
        <v/>
      </c>
      <c r="E293" s="131" t="str">
        <f t="array" ref="E293">IFERROR(INDEX('Teacher Calendar'!$H$961:$H$970,SMALL(IF(('Teacher Calendar'!$H$961:$H$970&lt;&gt;"")*('Teacher Calendar'!$H$961:$H$970&lt;&gt;0),ROW('Teacher Calendar'!$H$961:$H$970)-ROW('Teacher Calendar'!$H$961)+1),2)),"")</f>
        <v/>
      </c>
    </row>
    <row r="294" ht="15.75" customHeight="1">
      <c r="A294" s="131" t="str">
        <f t="array" ref="A294">IFERROR(INDEX('Teacher Calendar'!$D$961:$D$970,SMALL(IF(('Teacher Calendar'!$D$961:$D$970&lt;&gt;"")*('Teacher Calendar'!$D$961:$D$970&lt;&gt;0),ROW('Teacher Calendar'!$D$961:$D$970)-ROW('Teacher Calendar'!$D$961)+1),3)),"")</f>
        <v/>
      </c>
      <c r="B294" s="131" t="str">
        <f t="array" ref="B294">IFERROR(INDEX('Teacher Calendar'!$E$961:$E$970,SMALL(IF(('Teacher Calendar'!$E$961:$E$970&lt;&gt;"")*('Teacher Calendar'!$E$961:$E$970&lt;&gt;0),ROW('Teacher Calendar'!$E$961:$E$970)-ROW('Teacher Calendar'!$E$961)+1),3)),"")</f>
        <v/>
      </c>
      <c r="C294" s="131" t="str">
        <f t="array" ref="C294">IFERROR(INDEX('Teacher Calendar'!$F$961:$F$970,SMALL(IF(('Teacher Calendar'!$F$961:$F$970&lt;&gt;"")*('Teacher Calendar'!$F$961:$F$970&lt;&gt;0),ROW('Teacher Calendar'!$F$961:$F$970)-ROW('Teacher Calendar'!$F$961)+1),3)),"")</f>
        <v/>
      </c>
      <c r="D294" s="131" t="str">
        <f t="array" ref="D294">IFERROR(INDEX('Teacher Calendar'!$G$961:$G$970,SMALL(IF(('Teacher Calendar'!$G$961:$G$970&lt;&gt;"")*('Teacher Calendar'!$G$961:$G$970&lt;&gt;0),ROW('Teacher Calendar'!$G$961:$G$970)-ROW('Teacher Calendar'!$G$961)+1),3)),"")</f>
        <v/>
      </c>
      <c r="E294" s="131" t="str">
        <f t="array" ref="E294">IFERROR(INDEX('Teacher Calendar'!$H$961:$H$970,SMALL(IF(('Teacher Calendar'!$H$961:$H$970&lt;&gt;"")*('Teacher Calendar'!$H$961:$H$970&lt;&gt;0),ROW('Teacher Calendar'!$H$961:$H$970)-ROW('Teacher Calendar'!$H$961)+1),3)),"")</f>
        <v/>
      </c>
    </row>
    <row r="295" ht="15.75" customHeight="1">
      <c r="A295" s="131" t="str">
        <f t="array" ref="A295">IFERROR(INDEX('Teacher Calendar'!$D$961:$D$970,SMALL(IF(('Teacher Calendar'!$D$961:$D$970&lt;&gt;"")*('Teacher Calendar'!$D$961:$D$970&lt;&gt;0),ROW('Teacher Calendar'!$D$961:$D$970)-ROW('Teacher Calendar'!$D$961)+1),4)),"")</f>
        <v/>
      </c>
      <c r="B295" s="131" t="str">
        <f t="array" ref="B295">IFERROR(INDEX('Teacher Calendar'!$E$961:$E$970,SMALL(IF(('Teacher Calendar'!$E$961:$E$970&lt;&gt;"")*('Teacher Calendar'!$E$961:$E$970&lt;&gt;0),ROW('Teacher Calendar'!$E$961:$E$970)-ROW('Teacher Calendar'!$E$961)+1),4)),"")</f>
        <v/>
      </c>
      <c r="C295" s="131" t="str">
        <f t="array" ref="C295">IFERROR(INDEX('Teacher Calendar'!$F$961:$F$970,SMALL(IF(('Teacher Calendar'!$F$961:$F$970&lt;&gt;"")*('Teacher Calendar'!$F$961:$F$970&lt;&gt;0),ROW('Teacher Calendar'!$F$961:$F$970)-ROW('Teacher Calendar'!$F$961)+1),4)),"")</f>
        <v/>
      </c>
      <c r="D295" s="131" t="str">
        <f t="array" ref="D295">IFERROR(INDEX('Teacher Calendar'!$G$961:$G$970,SMALL(IF(('Teacher Calendar'!$G$961:$G$970&lt;&gt;"")*('Teacher Calendar'!$G$961:$G$970&lt;&gt;0),ROW('Teacher Calendar'!$G$961:$G$970)-ROW('Teacher Calendar'!$G$961)+1),4)),"")</f>
        <v/>
      </c>
      <c r="E295" s="131" t="str">
        <f t="array" ref="E295">IFERROR(INDEX('Teacher Calendar'!$H$961:$H$970,SMALL(IF(('Teacher Calendar'!$H$961:$H$970&lt;&gt;"")*('Teacher Calendar'!$H$961:$H$970&lt;&gt;0),ROW('Teacher Calendar'!$H$961:$H$970)-ROW('Teacher Calendar'!$H$961)+1),4)),"")</f>
        <v/>
      </c>
    </row>
    <row r="296" ht="15.75" customHeight="1">
      <c r="A296" s="131" t="str">
        <f t="array" ref="A296">IFERROR(INDEX('Teacher Calendar'!$D$961:$D$970,SMALL(IF(('Teacher Calendar'!$D$961:$D$970&lt;&gt;"")*('Teacher Calendar'!$D$961:$D$970&lt;&gt;0),ROW('Teacher Calendar'!$D$961:$D$970)-ROW('Teacher Calendar'!$D$961)+1),5)),"")</f>
        <v/>
      </c>
      <c r="B296" s="131" t="str">
        <f t="array" ref="B296">IFERROR(INDEX('Teacher Calendar'!$E$961:$E$970,SMALL(IF(('Teacher Calendar'!$E$961:$E$970&lt;&gt;"")*('Teacher Calendar'!$E$961:$E$970&lt;&gt;0),ROW('Teacher Calendar'!$E$961:$E$970)-ROW('Teacher Calendar'!$E$961)+1),5)),"")</f>
        <v/>
      </c>
      <c r="C296" s="131" t="str">
        <f t="array" ref="C296">IFERROR(INDEX('Teacher Calendar'!$F$961:$F$970,SMALL(IF(('Teacher Calendar'!$F$961:$F$970&lt;&gt;"")*('Teacher Calendar'!$F$961:$F$970&lt;&gt;0),ROW('Teacher Calendar'!$F$961:$F$970)-ROW('Teacher Calendar'!$F$961)+1),5)),"")</f>
        <v/>
      </c>
      <c r="D296" s="131" t="str">
        <f t="array" ref="D296">IFERROR(INDEX('Teacher Calendar'!$G$961:$G$970,SMALL(IF(('Teacher Calendar'!$G$961:$G$970&lt;&gt;"")*('Teacher Calendar'!$G$961:$G$970&lt;&gt;0),ROW('Teacher Calendar'!$G$961:$G$970)-ROW('Teacher Calendar'!$G$961)+1),5)),"")</f>
        <v/>
      </c>
      <c r="E296" s="131" t="str">
        <f t="array" ref="E296">IFERROR(INDEX('Teacher Calendar'!$H$961:$H$970,SMALL(IF(('Teacher Calendar'!$H$961:$H$970&lt;&gt;"")*('Teacher Calendar'!$H$961:$H$970&lt;&gt;0),ROW('Teacher Calendar'!$H$961:$H$970)-ROW('Teacher Calendar'!$H$961)+1),5)),"")</f>
        <v/>
      </c>
    </row>
    <row r="297" ht="15.75" customHeight="1">
      <c r="A297" s="131" t="str">
        <f t="array" ref="A297">IFERROR(INDEX('Teacher Calendar'!$D$961:$D$970,SMALL(IF(('Teacher Calendar'!$D$961:$D$970&lt;&gt;"")*('Teacher Calendar'!$D$961:$D$970&lt;&gt;0),ROW('Teacher Calendar'!$D$961:$D$970)-ROW('Teacher Calendar'!$D$961)+1),6)),"")</f>
        <v/>
      </c>
      <c r="B297" s="131" t="str">
        <f t="array" ref="B297">IFERROR(INDEX('Teacher Calendar'!$E$961:$E$970,SMALL(IF(('Teacher Calendar'!$E$961:$E$970&lt;&gt;"")*('Teacher Calendar'!$E$961:$E$970&lt;&gt;0),ROW('Teacher Calendar'!$E$961:$E$970)-ROW('Teacher Calendar'!$E$961)+1),6)),"")</f>
        <v/>
      </c>
      <c r="C297" s="131" t="str">
        <f t="array" ref="C297">IFERROR(INDEX('Teacher Calendar'!$F$961:$F$970,SMALL(IF(('Teacher Calendar'!$F$961:$F$970&lt;&gt;"")*('Teacher Calendar'!$F$961:$F$970&lt;&gt;0),ROW('Teacher Calendar'!$F$961:$F$970)-ROW('Teacher Calendar'!$F$961)+1),6)),"")</f>
        <v/>
      </c>
      <c r="D297" s="131" t="str">
        <f t="array" ref="D297">IFERROR(INDEX('Teacher Calendar'!$G$961:$G$970,SMALL(IF(('Teacher Calendar'!$G$961:$G$970&lt;&gt;"")*('Teacher Calendar'!$G$961:$G$970&lt;&gt;0),ROW('Teacher Calendar'!$G$961:$G$970)-ROW('Teacher Calendar'!$G$961)+1),6)),"")</f>
        <v/>
      </c>
      <c r="E297" s="131" t="str">
        <f t="array" ref="E297">IFERROR(INDEX('Teacher Calendar'!$H$961:$H$970,SMALL(IF(('Teacher Calendar'!$H$961:$H$970&lt;&gt;"")*('Teacher Calendar'!$H$961:$H$970&lt;&gt;0),ROW('Teacher Calendar'!$H$961:$H$970)-ROW('Teacher Calendar'!$H$961)+1),6)),"")</f>
        <v/>
      </c>
    </row>
    <row r="298" ht="15.75" customHeight="1">
      <c r="A298" s="131" t="str">
        <f t="array" ref="A298">IFERROR(INDEX('Teacher Calendar'!$D$961:$D$970,SMALL(IF(('Teacher Calendar'!$D$961:$D$970&lt;&gt;"")*('Teacher Calendar'!$D$961:$D$970&lt;&gt;0),ROW('Teacher Calendar'!$D$961:$D$970)-ROW('Teacher Calendar'!$D$961)+1),7)),"")</f>
        <v/>
      </c>
      <c r="B298" s="131" t="str">
        <f t="array" ref="B298">IFERROR(INDEX('Teacher Calendar'!$E$961:$E$970,SMALL(IF(('Teacher Calendar'!$E$961:$E$970&lt;&gt;"")*('Teacher Calendar'!$E$961:$E$970&lt;&gt;0),ROW('Teacher Calendar'!$E$961:$E$970)-ROW('Teacher Calendar'!$E$961)+1),7)),"")</f>
        <v/>
      </c>
      <c r="C298" s="131" t="str">
        <f t="array" ref="C298">IFERROR(INDEX('Teacher Calendar'!$F$961:$F$970,SMALL(IF(('Teacher Calendar'!$F$961:$F$970&lt;&gt;"")*('Teacher Calendar'!$F$961:$F$970&lt;&gt;0),ROW('Teacher Calendar'!$F$961:$F$970)-ROW('Teacher Calendar'!$F$961)+1),7)),"")</f>
        <v/>
      </c>
      <c r="D298" s="131" t="str">
        <f t="array" ref="D298">IFERROR(INDEX('Teacher Calendar'!$G$961:$G$970,SMALL(IF(('Teacher Calendar'!$G$961:$G$970&lt;&gt;"")*('Teacher Calendar'!$G$961:$G$970&lt;&gt;0),ROW('Teacher Calendar'!$G$961:$G$970)-ROW('Teacher Calendar'!$G$961)+1),7)),"")</f>
        <v/>
      </c>
      <c r="E298" s="131" t="str">
        <f t="array" ref="E298">IFERROR(INDEX('Teacher Calendar'!$H$961:$H$970,SMALL(IF(('Teacher Calendar'!$H$961:$H$970&lt;&gt;"")*('Teacher Calendar'!$H$961:$H$970&lt;&gt;0),ROW('Teacher Calendar'!$H$961:$H$970)-ROW('Teacher Calendar'!$H$961)+1),7)),"")</f>
        <v/>
      </c>
    </row>
    <row r="299" ht="15.75" customHeight="1">
      <c r="A299" s="146">
        <f>'Teacher Calendar'!D987</f>
        <v>46517</v>
      </c>
      <c r="B299" s="146">
        <f>'Teacher Calendar'!E987</f>
        <v>46518</v>
      </c>
      <c r="C299" s="146">
        <f>'Teacher Calendar'!F987</f>
        <v>46519</v>
      </c>
      <c r="D299" s="146">
        <f>'Teacher Calendar'!G987</f>
        <v>46520</v>
      </c>
      <c r="E299" s="146">
        <f>'Teacher Calendar'!H987</f>
        <v>46521</v>
      </c>
    </row>
    <row r="300" ht="15.75" customHeight="1">
      <c r="A300" s="131" t="str">
        <f t="array" ref="A300">IFERROR(INDEX('Teacher Calendar'!$D$988:$D$997,SMALL(IF(('Teacher Calendar'!$D$988:$D$997&lt;&gt;"")*('Teacher Calendar'!$D$988:$D$997&lt;&gt;0),ROW('Teacher Calendar'!$D$988:$D$997)-ROW('Teacher Calendar'!$D$988)+1),1)),"")</f>
        <v/>
      </c>
      <c r="B300" s="131" t="str">
        <f t="array" ref="B300">IFERROR(INDEX('Teacher Calendar'!$E$988:$E$997,SMALL(IF(('Teacher Calendar'!$E$988:$E$997&lt;&gt;"")*('Teacher Calendar'!$E$988:$E$997&lt;&gt;0),ROW('Teacher Calendar'!$E$988:$E$997)-ROW('Teacher Calendar'!$E$988)+1),1)),"")</f>
        <v/>
      </c>
      <c r="C300" s="131" t="str">
        <f t="array" ref="C300">IFERROR(INDEX('Teacher Calendar'!$F$988:$F$997,SMALL(IF(('Teacher Calendar'!$F$988:$F$997&lt;&gt;"")*('Teacher Calendar'!$F$988:$F$997&lt;&gt;0),ROW('Teacher Calendar'!$F$988:$F$997)-ROW('Teacher Calendar'!$F$988)+1),1)),"")</f>
        <v/>
      </c>
      <c r="D300" s="131" t="str">
        <f t="array" ref="D300">IFERROR(INDEX('Teacher Calendar'!$G$988:$G$997,SMALL(IF(('Teacher Calendar'!$G$988:$G$997&lt;&gt;"")*('Teacher Calendar'!$G$988:$G$997&lt;&gt;0),ROW('Teacher Calendar'!$G$988:$G$997)-ROW('Teacher Calendar'!$G$988)+1),1)),"")</f>
        <v/>
      </c>
      <c r="E300" s="131" t="str">
        <f t="array" ref="E300">IFERROR(INDEX('Teacher Calendar'!$H$988:$H$997,SMALL(IF(('Teacher Calendar'!$H$988:$H$997&lt;&gt;"")*('Teacher Calendar'!$H$988:$H$997&lt;&gt;0),ROW('Teacher Calendar'!$H$988:$H$997)-ROW('Teacher Calendar'!$H$988)+1),1)),"")</f>
        <v/>
      </c>
    </row>
    <row r="301" ht="15.75" customHeight="1">
      <c r="A301" s="131" t="str">
        <f t="array" ref="A301">IFERROR(INDEX('Teacher Calendar'!$D$988:$D$997,SMALL(IF(('Teacher Calendar'!$D$988:$D$997&lt;&gt;"")*('Teacher Calendar'!$D$988:$D$997&lt;&gt;0),ROW('Teacher Calendar'!$D$988:$D$997)-ROW('Teacher Calendar'!$D$988)+1),2)),"")</f>
        <v/>
      </c>
      <c r="B301" s="131" t="str">
        <f t="array" ref="B301">IFERROR(INDEX('Teacher Calendar'!$E$988:$E$997,SMALL(IF(('Teacher Calendar'!$E$988:$E$997&lt;&gt;"")*('Teacher Calendar'!$E$988:$E$997&lt;&gt;0),ROW('Teacher Calendar'!$E$988:$E$997)-ROW('Teacher Calendar'!$E$988)+1),2)),"")</f>
        <v/>
      </c>
      <c r="C301" s="131" t="str">
        <f t="array" ref="C301">IFERROR(INDEX('Teacher Calendar'!$F$988:$F$997,SMALL(IF(('Teacher Calendar'!$F$988:$F$997&lt;&gt;"")*('Teacher Calendar'!$F$988:$F$997&lt;&gt;0),ROW('Teacher Calendar'!$F$988:$F$997)-ROW('Teacher Calendar'!$F$988)+1),2)),"")</f>
        <v/>
      </c>
      <c r="D301" s="131" t="str">
        <f t="array" ref="D301">IFERROR(INDEX('Teacher Calendar'!$G$988:$G$997,SMALL(IF(('Teacher Calendar'!$G$988:$G$997&lt;&gt;"")*('Teacher Calendar'!$G$988:$G$997&lt;&gt;0),ROW('Teacher Calendar'!$G$988:$G$997)-ROW('Teacher Calendar'!$G$988)+1),2)),"")</f>
        <v/>
      </c>
      <c r="E301" s="131" t="str">
        <f t="array" ref="E301">IFERROR(INDEX('Teacher Calendar'!$H$988:$H$997,SMALL(IF(('Teacher Calendar'!$H$988:$H$997&lt;&gt;"")*('Teacher Calendar'!$H$988:$H$997&lt;&gt;0),ROW('Teacher Calendar'!$H$988:$H$997)-ROW('Teacher Calendar'!$H$988)+1),2)),"")</f>
        <v/>
      </c>
    </row>
    <row r="302" ht="15.75" customHeight="1">
      <c r="A302" s="131" t="str">
        <f t="array" ref="A302">IFERROR(INDEX('Teacher Calendar'!$D$988:$D$997,SMALL(IF(('Teacher Calendar'!$D$988:$D$997&lt;&gt;"")*('Teacher Calendar'!$D$988:$D$997&lt;&gt;0),ROW('Teacher Calendar'!$D$988:$D$997)-ROW('Teacher Calendar'!$D$988)+1),3)),"")</f>
        <v/>
      </c>
      <c r="B302" s="131" t="str">
        <f t="array" ref="B302">IFERROR(INDEX('Teacher Calendar'!$E$988:$E$997,SMALL(IF(('Teacher Calendar'!$E$988:$E$997&lt;&gt;"")*('Teacher Calendar'!$E$988:$E$997&lt;&gt;0),ROW('Teacher Calendar'!$E$988:$E$997)-ROW('Teacher Calendar'!$E$988)+1),3)),"")</f>
        <v/>
      </c>
      <c r="C302" s="131" t="str">
        <f t="array" ref="C302">IFERROR(INDEX('Teacher Calendar'!$F$988:$F$997,SMALL(IF(('Teacher Calendar'!$F$988:$F$997&lt;&gt;"")*('Teacher Calendar'!$F$988:$F$997&lt;&gt;0),ROW('Teacher Calendar'!$F$988:$F$997)-ROW('Teacher Calendar'!$F$988)+1),3)),"")</f>
        <v/>
      </c>
      <c r="D302" s="131" t="str">
        <f t="array" ref="D302">IFERROR(INDEX('Teacher Calendar'!$G$988:$G$997,SMALL(IF(('Teacher Calendar'!$G$988:$G$997&lt;&gt;"")*('Teacher Calendar'!$G$988:$G$997&lt;&gt;0),ROW('Teacher Calendar'!$G$988:$G$997)-ROW('Teacher Calendar'!$G$988)+1),3)),"")</f>
        <v/>
      </c>
      <c r="E302" s="131" t="str">
        <f t="array" ref="E302">IFERROR(INDEX('Teacher Calendar'!$H$988:$H$997,SMALL(IF(('Teacher Calendar'!$H$988:$H$997&lt;&gt;"")*('Teacher Calendar'!$H$988:$H$997&lt;&gt;0),ROW('Teacher Calendar'!$H$988:$H$997)-ROW('Teacher Calendar'!$H$988)+1),3)),"")</f>
        <v/>
      </c>
    </row>
    <row r="303" ht="15.75" customHeight="1">
      <c r="A303" s="131" t="str">
        <f t="array" ref="A303">IFERROR(INDEX('Teacher Calendar'!$D$988:$D$997,SMALL(IF(('Teacher Calendar'!$D$988:$D$997&lt;&gt;"")*('Teacher Calendar'!$D$988:$D$997&lt;&gt;0),ROW('Teacher Calendar'!$D$988:$D$997)-ROW('Teacher Calendar'!$D$988)+1),4)),"")</f>
        <v/>
      </c>
      <c r="B303" s="131" t="str">
        <f t="array" ref="B303">IFERROR(INDEX('Teacher Calendar'!$E$988:$E$997,SMALL(IF(('Teacher Calendar'!$E$988:$E$997&lt;&gt;"")*('Teacher Calendar'!$E$988:$E$997&lt;&gt;0),ROW('Teacher Calendar'!$E$988:$E$997)-ROW('Teacher Calendar'!$E$988)+1),4)),"")</f>
        <v/>
      </c>
      <c r="C303" s="131" t="str">
        <f t="array" ref="C303">IFERROR(INDEX('Teacher Calendar'!$F$988:$F$997,SMALL(IF(('Teacher Calendar'!$F$988:$F$997&lt;&gt;"")*('Teacher Calendar'!$F$988:$F$997&lt;&gt;0),ROW('Teacher Calendar'!$F$988:$F$997)-ROW('Teacher Calendar'!$F$988)+1),4)),"")</f>
        <v/>
      </c>
      <c r="D303" s="131" t="str">
        <f t="array" ref="D303">IFERROR(INDEX('Teacher Calendar'!$G$988:$G$997,SMALL(IF(('Teacher Calendar'!$G$988:$G$997&lt;&gt;"")*('Teacher Calendar'!$G$988:$G$997&lt;&gt;0),ROW('Teacher Calendar'!$G$988:$G$997)-ROW('Teacher Calendar'!$G$988)+1),4)),"")</f>
        <v/>
      </c>
      <c r="E303" s="131" t="str">
        <f t="array" ref="E303">IFERROR(INDEX('Teacher Calendar'!$H$988:$H$997,SMALL(IF(('Teacher Calendar'!$H$988:$H$997&lt;&gt;"")*('Teacher Calendar'!$H$988:$H$997&lt;&gt;0),ROW('Teacher Calendar'!$H$988:$H$997)-ROW('Teacher Calendar'!$H$988)+1),4)),"")</f>
        <v/>
      </c>
    </row>
    <row r="304" ht="15.75" customHeight="1">
      <c r="A304" s="131" t="str">
        <f t="array" ref="A304">IFERROR(INDEX('Teacher Calendar'!$D$988:$D$997,SMALL(IF(('Teacher Calendar'!$D$988:$D$997&lt;&gt;"")*('Teacher Calendar'!$D$988:$D$997&lt;&gt;0),ROW('Teacher Calendar'!$D$988:$D$997)-ROW('Teacher Calendar'!$D$988)+1),5)),"")</f>
        <v/>
      </c>
      <c r="B304" s="131" t="str">
        <f t="array" ref="B304">IFERROR(INDEX('Teacher Calendar'!$E$988:$E$997,SMALL(IF(('Teacher Calendar'!$E$988:$E$997&lt;&gt;"")*('Teacher Calendar'!$E$988:$E$997&lt;&gt;0),ROW('Teacher Calendar'!$E$988:$E$997)-ROW('Teacher Calendar'!$E$988)+1),5)),"")</f>
        <v/>
      </c>
      <c r="C304" s="131" t="str">
        <f t="array" ref="C304">IFERROR(INDEX('Teacher Calendar'!$F$988:$F$997,SMALL(IF(('Teacher Calendar'!$F$988:$F$997&lt;&gt;"")*('Teacher Calendar'!$F$988:$F$997&lt;&gt;0),ROW('Teacher Calendar'!$F$988:$F$997)-ROW('Teacher Calendar'!$F$988)+1),5)),"")</f>
        <v/>
      </c>
      <c r="D304" s="131" t="str">
        <f t="array" ref="D304">IFERROR(INDEX('Teacher Calendar'!$G$988:$G$997,SMALL(IF(('Teacher Calendar'!$G$988:$G$997&lt;&gt;"")*('Teacher Calendar'!$G$988:$G$997&lt;&gt;0),ROW('Teacher Calendar'!$G$988:$G$997)-ROW('Teacher Calendar'!$G$988)+1),5)),"")</f>
        <v/>
      </c>
      <c r="E304" s="131" t="str">
        <f t="array" ref="E304">IFERROR(INDEX('Teacher Calendar'!$H$988:$H$997,SMALL(IF(('Teacher Calendar'!$H$988:$H$997&lt;&gt;"")*('Teacher Calendar'!$H$988:$H$997&lt;&gt;0),ROW('Teacher Calendar'!$H$988:$H$997)-ROW('Teacher Calendar'!$H$988)+1),5)),"")</f>
        <v/>
      </c>
    </row>
    <row r="305" ht="15.75" customHeight="1">
      <c r="A305" s="131" t="str">
        <f t="array" ref="A305">IFERROR(INDEX('Teacher Calendar'!$D$988:$D$997,SMALL(IF(('Teacher Calendar'!$D$988:$D$997&lt;&gt;"")*('Teacher Calendar'!$D$988:$D$997&lt;&gt;0),ROW('Teacher Calendar'!$D$988:$D$997)-ROW('Teacher Calendar'!$D$988)+1),6)),"")</f>
        <v/>
      </c>
      <c r="B305" s="131" t="str">
        <f t="array" ref="B305">IFERROR(INDEX('Teacher Calendar'!$E$988:$E$997,SMALL(IF(('Teacher Calendar'!$E$988:$E$997&lt;&gt;"")*('Teacher Calendar'!$E$988:$E$997&lt;&gt;0),ROW('Teacher Calendar'!$E$988:$E$997)-ROW('Teacher Calendar'!$E$988)+1),6)),"")</f>
        <v/>
      </c>
      <c r="C305" s="131" t="str">
        <f t="array" ref="C305">IFERROR(INDEX('Teacher Calendar'!$F$988:$F$997,SMALL(IF(('Teacher Calendar'!$F$988:$F$997&lt;&gt;"")*('Teacher Calendar'!$F$988:$F$997&lt;&gt;0),ROW('Teacher Calendar'!$F$988:$F$997)-ROW('Teacher Calendar'!$F$988)+1),6)),"")</f>
        <v/>
      </c>
      <c r="D305" s="131" t="str">
        <f t="array" ref="D305">IFERROR(INDEX('Teacher Calendar'!$G$988:$G$997,SMALL(IF(('Teacher Calendar'!$G$988:$G$997&lt;&gt;"")*('Teacher Calendar'!$G$988:$G$997&lt;&gt;0),ROW('Teacher Calendar'!$G$988:$G$997)-ROW('Teacher Calendar'!$G$988)+1),6)),"")</f>
        <v/>
      </c>
      <c r="E305" s="131" t="str">
        <f t="array" ref="E305">IFERROR(INDEX('Teacher Calendar'!$H$988:$H$997,SMALL(IF(('Teacher Calendar'!$H$988:$H$997&lt;&gt;"")*('Teacher Calendar'!$H$988:$H$997&lt;&gt;0),ROW('Teacher Calendar'!$H$988:$H$997)-ROW('Teacher Calendar'!$H$988)+1),6)),"")</f>
        <v/>
      </c>
    </row>
    <row r="306" ht="15.75" customHeight="1">
      <c r="A306" s="131" t="str">
        <f t="array" ref="A306">IFERROR(INDEX('Teacher Calendar'!$D$988:$D$997,SMALL(IF(('Teacher Calendar'!$D$988:$D$997&lt;&gt;"")*('Teacher Calendar'!$D$988:$D$997&lt;&gt;0),ROW('Teacher Calendar'!$D$988:$D$997)-ROW('Teacher Calendar'!$D$988)+1),7)),"")</f>
        <v/>
      </c>
      <c r="B306" s="131" t="str">
        <f t="array" ref="B306">IFERROR(INDEX('Teacher Calendar'!$E$988:$E$997,SMALL(IF(('Teacher Calendar'!$E$988:$E$997&lt;&gt;"")*('Teacher Calendar'!$E$988:$E$997&lt;&gt;0),ROW('Teacher Calendar'!$E$988:$E$997)-ROW('Teacher Calendar'!$E$988)+1),7)),"")</f>
        <v/>
      </c>
      <c r="C306" s="131" t="str">
        <f t="array" ref="C306">IFERROR(INDEX('Teacher Calendar'!$F$988:$F$997,SMALL(IF(('Teacher Calendar'!$F$988:$F$997&lt;&gt;"")*('Teacher Calendar'!$F$988:$F$997&lt;&gt;0),ROW('Teacher Calendar'!$F$988:$F$997)-ROW('Teacher Calendar'!$F$988)+1),7)),"")</f>
        <v/>
      </c>
      <c r="D306" s="131" t="str">
        <f t="array" ref="D306">IFERROR(INDEX('Teacher Calendar'!$G$988:$G$997,SMALL(IF(('Teacher Calendar'!$G$988:$G$997&lt;&gt;"")*('Teacher Calendar'!$G$988:$G$997&lt;&gt;0),ROW('Teacher Calendar'!$G$988:$G$997)-ROW('Teacher Calendar'!$G$988)+1),7)),"")</f>
        <v/>
      </c>
      <c r="E306" s="131" t="str">
        <f t="array" ref="E306">IFERROR(INDEX('Teacher Calendar'!$H$988:$H$997,SMALL(IF(('Teacher Calendar'!$H$988:$H$997&lt;&gt;"")*('Teacher Calendar'!$H$988:$H$997&lt;&gt;0),ROW('Teacher Calendar'!$H$988:$H$997)-ROW('Teacher Calendar'!$H$988)+1),7)),"")</f>
        <v/>
      </c>
    </row>
    <row r="307" ht="15.75" customHeight="1">
      <c r="A307" s="146">
        <f>'Teacher Calendar'!D1014</f>
        <v>46524</v>
      </c>
      <c r="B307" s="146">
        <f>'Teacher Calendar'!E1014</f>
        <v>46525</v>
      </c>
      <c r="C307" s="146">
        <f>'Teacher Calendar'!F1014</f>
        <v>46526</v>
      </c>
      <c r="D307" s="146">
        <f>'Teacher Calendar'!G1014</f>
        <v>46527</v>
      </c>
      <c r="E307" s="146">
        <f>'Teacher Calendar'!H1014</f>
        <v>46528</v>
      </c>
    </row>
    <row r="308" ht="15.75" customHeight="1">
      <c r="A308" s="131" t="str">
        <f t="array" ref="A308">IFERROR(INDEX('Teacher Calendar'!$D$1015:$D$1024,SMALL(IF(('Teacher Calendar'!$D$1015:$D$1024&lt;&gt;"")*('Teacher Calendar'!$D$1015:$D$1024&lt;&gt;0),ROW('Teacher Calendar'!$D$1015:$D$1024)-ROW('Teacher Calendar'!$D$1015)+1),1)),"")</f>
        <v/>
      </c>
      <c r="B308" s="131" t="str">
        <f t="array" ref="B308">IFERROR(INDEX('Teacher Calendar'!$E$1015:$E$1024,SMALL(IF(('Teacher Calendar'!$E$1015:$E$1024&lt;&gt;"")*('Teacher Calendar'!$E$1015:$E$1024&lt;&gt;0),ROW('Teacher Calendar'!$E$1015:$E$1024)-ROW('Teacher Calendar'!$E$1015)+1),1)),"")</f>
        <v/>
      </c>
      <c r="C308" s="131" t="str">
        <f t="array" ref="C308">IFERROR(INDEX('Teacher Calendar'!$F$1015:$F$1024,SMALL(IF(('Teacher Calendar'!$F$1015:$F$1024&lt;&gt;"")*('Teacher Calendar'!$F$1015:$F$1024&lt;&gt;0),ROW('Teacher Calendar'!$F$1015:$F$1024)-ROW('Teacher Calendar'!$F$1015)+1),1)),"")</f>
        <v/>
      </c>
      <c r="D308" s="131" t="str">
        <f t="array" ref="D308">IFERROR(INDEX('Teacher Calendar'!$G$1015:$G$1024,SMALL(IF(('Teacher Calendar'!$G$1015:$G$1024&lt;&gt;"")*('Teacher Calendar'!$G$1015:$G$1024&lt;&gt;0),ROW('Teacher Calendar'!$G$1015:$G$1024)-ROW('Teacher Calendar'!$G$1015)+1),1)),"")</f>
        <v/>
      </c>
      <c r="E308" s="131" t="str">
        <f t="array" ref="E308">IFERROR(INDEX('Teacher Calendar'!$H$1015:$H$1024,SMALL(IF(('Teacher Calendar'!$H$1015:$H$1024&lt;&gt;"")*('Teacher Calendar'!$H$1015:$H$1024&lt;&gt;0),ROW('Teacher Calendar'!$H$1015:$H$1024)-ROW('Teacher Calendar'!$H$1015)+1),1)),"")</f>
        <v/>
      </c>
    </row>
    <row r="309" ht="15.75" customHeight="1">
      <c r="A309" s="131" t="str">
        <f t="array" ref="A309">IFERROR(INDEX('Teacher Calendar'!$D$1015:$D$1024,SMALL(IF(('Teacher Calendar'!$D$1015:$D$1024&lt;&gt;"")*('Teacher Calendar'!$D$1015:$D$1024&lt;&gt;0),ROW('Teacher Calendar'!$D$1015:$D$1024)-ROW('Teacher Calendar'!$D$1015)+1),2)),"")</f>
        <v/>
      </c>
      <c r="B309" s="131" t="str">
        <f t="array" ref="B309">IFERROR(INDEX('Teacher Calendar'!$E$1015:$E$1024,SMALL(IF(('Teacher Calendar'!$E$1015:$E$1024&lt;&gt;"")*('Teacher Calendar'!$E$1015:$E$1024&lt;&gt;0),ROW('Teacher Calendar'!$E$1015:$E$1024)-ROW('Teacher Calendar'!$E$1015)+1),2)),"")</f>
        <v/>
      </c>
      <c r="C309" s="131" t="str">
        <f t="array" ref="C309">IFERROR(INDEX('Teacher Calendar'!$F$1015:$F$1024,SMALL(IF(('Teacher Calendar'!$F$1015:$F$1024&lt;&gt;"")*('Teacher Calendar'!$F$1015:$F$1024&lt;&gt;0),ROW('Teacher Calendar'!$F$1015:$F$1024)-ROW('Teacher Calendar'!$F$1015)+1),2)),"")</f>
        <v/>
      </c>
      <c r="D309" s="131" t="str">
        <f t="array" ref="D309">IFERROR(INDEX('Teacher Calendar'!$G$1015:$G$1024,SMALL(IF(('Teacher Calendar'!$G$1015:$G$1024&lt;&gt;"")*('Teacher Calendar'!$G$1015:$G$1024&lt;&gt;0),ROW('Teacher Calendar'!$G$1015:$G$1024)-ROW('Teacher Calendar'!$G$1015)+1),2)),"")</f>
        <v/>
      </c>
      <c r="E309" s="131" t="str">
        <f t="array" ref="E309">IFERROR(INDEX('Teacher Calendar'!$H$1015:$H$1024,SMALL(IF(('Teacher Calendar'!$H$1015:$H$1024&lt;&gt;"")*('Teacher Calendar'!$H$1015:$H$1024&lt;&gt;0),ROW('Teacher Calendar'!$H$1015:$H$1024)-ROW('Teacher Calendar'!$H$1015)+1),2)),"")</f>
        <v/>
      </c>
    </row>
    <row r="310" ht="15.75" customHeight="1">
      <c r="A310" s="131" t="str">
        <f t="array" ref="A310">IFERROR(INDEX('Teacher Calendar'!$D$1015:$D$1024,SMALL(IF(('Teacher Calendar'!$D$1015:$D$1024&lt;&gt;"")*('Teacher Calendar'!$D$1015:$D$1024&lt;&gt;0),ROW('Teacher Calendar'!$D$1015:$D$1024)-ROW('Teacher Calendar'!$D$1015)+1),3)),"")</f>
        <v/>
      </c>
      <c r="B310" s="131" t="str">
        <f t="array" ref="B310">IFERROR(INDEX('Teacher Calendar'!$E$1015:$E$1024,SMALL(IF(('Teacher Calendar'!$E$1015:$E$1024&lt;&gt;"")*('Teacher Calendar'!$E$1015:$E$1024&lt;&gt;0),ROW('Teacher Calendar'!$E$1015:$E$1024)-ROW('Teacher Calendar'!$E$1015)+1),3)),"")</f>
        <v/>
      </c>
      <c r="C310" s="131" t="str">
        <f t="array" ref="C310">IFERROR(INDEX('Teacher Calendar'!$F$1015:$F$1024,SMALL(IF(('Teacher Calendar'!$F$1015:$F$1024&lt;&gt;"")*('Teacher Calendar'!$F$1015:$F$1024&lt;&gt;0),ROW('Teacher Calendar'!$F$1015:$F$1024)-ROW('Teacher Calendar'!$F$1015)+1),3)),"")</f>
        <v/>
      </c>
      <c r="D310" s="131" t="str">
        <f t="array" ref="D310">IFERROR(INDEX('Teacher Calendar'!$G$1015:$G$1024,SMALL(IF(('Teacher Calendar'!$G$1015:$G$1024&lt;&gt;"")*('Teacher Calendar'!$G$1015:$G$1024&lt;&gt;0),ROW('Teacher Calendar'!$G$1015:$G$1024)-ROW('Teacher Calendar'!$G$1015)+1),3)),"")</f>
        <v/>
      </c>
      <c r="E310" s="131" t="str">
        <f t="array" ref="E310">IFERROR(INDEX('Teacher Calendar'!$H$1015:$H$1024,SMALL(IF(('Teacher Calendar'!$H$1015:$H$1024&lt;&gt;"")*('Teacher Calendar'!$H$1015:$H$1024&lt;&gt;0),ROW('Teacher Calendar'!$H$1015:$H$1024)-ROW('Teacher Calendar'!$H$1015)+1),3)),"")</f>
        <v/>
      </c>
    </row>
    <row r="311" ht="15.75" customHeight="1">
      <c r="A311" s="131" t="str">
        <f t="array" ref="A311">IFERROR(INDEX('Teacher Calendar'!$D$1015:$D$1024,SMALL(IF(('Teacher Calendar'!$D$1015:$D$1024&lt;&gt;"")*('Teacher Calendar'!$D$1015:$D$1024&lt;&gt;0),ROW('Teacher Calendar'!$D$1015:$D$1024)-ROW('Teacher Calendar'!$D$1015)+1),4)),"")</f>
        <v/>
      </c>
      <c r="B311" s="131" t="str">
        <f t="array" ref="B311">IFERROR(INDEX('Teacher Calendar'!$E$1015:$E$1024,SMALL(IF(('Teacher Calendar'!$E$1015:$E$1024&lt;&gt;"")*('Teacher Calendar'!$E$1015:$E$1024&lt;&gt;0),ROW('Teacher Calendar'!$E$1015:$E$1024)-ROW('Teacher Calendar'!$E$1015)+1),4)),"")</f>
        <v/>
      </c>
      <c r="C311" s="131" t="str">
        <f t="array" ref="C311">IFERROR(INDEX('Teacher Calendar'!$F$1015:$F$1024,SMALL(IF(('Teacher Calendar'!$F$1015:$F$1024&lt;&gt;"")*('Teacher Calendar'!$F$1015:$F$1024&lt;&gt;0),ROW('Teacher Calendar'!$F$1015:$F$1024)-ROW('Teacher Calendar'!$F$1015)+1),4)),"")</f>
        <v/>
      </c>
      <c r="D311" s="131" t="str">
        <f t="array" ref="D311">IFERROR(INDEX('Teacher Calendar'!$G$1015:$G$1024,SMALL(IF(('Teacher Calendar'!$G$1015:$G$1024&lt;&gt;"")*('Teacher Calendar'!$G$1015:$G$1024&lt;&gt;0),ROW('Teacher Calendar'!$G$1015:$G$1024)-ROW('Teacher Calendar'!$G$1015)+1),4)),"")</f>
        <v/>
      </c>
      <c r="E311" s="131" t="str">
        <f t="array" ref="E311">IFERROR(INDEX('Teacher Calendar'!$H$1015:$H$1024,SMALL(IF(('Teacher Calendar'!$H$1015:$H$1024&lt;&gt;"")*('Teacher Calendar'!$H$1015:$H$1024&lt;&gt;0),ROW('Teacher Calendar'!$H$1015:$H$1024)-ROW('Teacher Calendar'!$H$1015)+1),4)),"")</f>
        <v/>
      </c>
    </row>
    <row r="312" ht="15.75" customHeight="1">
      <c r="A312" s="131" t="str">
        <f t="array" ref="A312">IFERROR(INDEX('Teacher Calendar'!$D$1015:$D$1024,SMALL(IF(('Teacher Calendar'!$D$1015:$D$1024&lt;&gt;"")*('Teacher Calendar'!$D$1015:$D$1024&lt;&gt;0),ROW('Teacher Calendar'!$D$1015:$D$1024)-ROW('Teacher Calendar'!$D$1015)+1),5)),"")</f>
        <v/>
      </c>
      <c r="B312" s="131" t="str">
        <f t="array" ref="B312">IFERROR(INDEX('Teacher Calendar'!$E$1015:$E$1024,SMALL(IF(('Teacher Calendar'!$E$1015:$E$1024&lt;&gt;"")*('Teacher Calendar'!$E$1015:$E$1024&lt;&gt;0),ROW('Teacher Calendar'!$E$1015:$E$1024)-ROW('Teacher Calendar'!$E$1015)+1),5)),"")</f>
        <v/>
      </c>
      <c r="C312" s="131" t="str">
        <f t="array" ref="C312">IFERROR(INDEX('Teacher Calendar'!$F$1015:$F$1024,SMALL(IF(('Teacher Calendar'!$F$1015:$F$1024&lt;&gt;"")*('Teacher Calendar'!$F$1015:$F$1024&lt;&gt;0),ROW('Teacher Calendar'!$F$1015:$F$1024)-ROW('Teacher Calendar'!$F$1015)+1),5)),"")</f>
        <v/>
      </c>
      <c r="D312" s="131" t="str">
        <f t="array" ref="D312">IFERROR(INDEX('Teacher Calendar'!$G$1015:$G$1024,SMALL(IF(('Teacher Calendar'!$G$1015:$G$1024&lt;&gt;"")*('Teacher Calendar'!$G$1015:$G$1024&lt;&gt;0),ROW('Teacher Calendar'!$G$1015:$G$1024)-ROW('Teacher Calendar'!$G$1015)+1),5)),"")</f>
        <v/>
      </c>
      <c r="E312" s="131" t="str">
        <f t="array" ref="E312">IFERROR(INDEX('Teacher Calendar'!$H$1015:$H$1024,SMALL(IF(('Teacher Calendar'!$H$1015:$H$1024&lt;&gt;"")*('Teacher Calendar'!$H$1015:$H$1024&lt;&gt;0),ROW('Teacher Calendar'!$H$1015:$H$1024)-ROW('Teacher Calendar'!$H$1015)+1),5)),"")</f>
        <v/>
      </c>
    </row>
    <row r="313" ht="15.75" customHeight="1">
      <c r="A313" s="131" t="str">
        <f t="array" ref="A313">IFERROR(INDEX('Teacher Calendar'!$D$1015:$D$1024,SMALL(IF(('Teacher Calendar'!$D$1015:$D$1024&lt;&gt;"")*('Teacher Calendar'!$D$1015:$D$1024&lt;&gt;0),ROW('Teacher Calendar'!$D$1015:$D$1024)-ROW('Teacher Calendar'!$D$1015)+1),6)),"")</f>
        <v/>
      </c>
      <c r="B313" s="131" t="str">
        <f t="array" ref="B313">IFERROR(INDEX('Teacher Calendar'!$E$1015:$E$1024,SMALL(IF(('Teacher Calendar'!$E$1015:$E$1024&lt;&gt;"")*('Teacher Calendar'!$E$1015:$E$1024&lt;&gt;0),ROW('Teacher Calendar'!$E$1015:$E$1024)-ROW('Teacher Calendar'!$E$1015)+1),6)),"")</f>
        <v/>
      </c>
      <c r="C313" s="131" t="str">
        <f t="array" ref="C313">IFERROR(INDEX('Teacher Calendar'!$F$1015:$F$1024,SMALL(IF(('Teacher Calendar'!$F$1015:$F$1024&lt;&gt;"")*('Teacher Calendar'!$F$1015:$F$1024&lt;&gt;0),ROW('Teacher Calendar'!$F$1015:$F$1024)-ROW('Teacher Calendar'!$F$1015)+1),6)),"")</f>
        <v/>
      </c>
      <c r="D313" s="131" t="str">
        <f t="array" ref="D313">IFERROR(INDEX('Teacher Calendar'!$G$1015:$G$1024,SMALL(IF(('Teacher Calendar'!$G$1015:$G$1024&lt;&gt;"")*('Teacher Calendar'!$G$1015:$G$1024&lt;&gt;0),ROW('Teacher Calendar'!$G$1015:$G$1024)-ROW('Teacher Calendar'!$G$1015)+1),6)),"")</f>
        <v/>
      </c>
      <c r="E313" s="131" t="str">
        <f t="array" ref="E313">IFERROR(INDEX('Teacher Calendar'!$H$1015:$H$1024,SMALL(IF(('Teacher Calendar'!$H$1015:$H$1024&lt;&gt;"")*('Teacher Calendar'!$H$1015:$H$1024&lt;&gt;0),ROW('Teacher Calendar'!$H$1015:$H$1024)-ROW('Teacher Calendar'!$H$1015)+1),6)),"")</f>
        <v/>
      </c>
    </row>
    <row r="314" ht="15.75" customHeight="1">
      <c r="A314" s="131" t="str">
        <f t="array" ref="A314">IFERROR(INDEX('Teacher Calendar'!$D$1015:$D$1024,SMALL(IF(('Teacher Calendar'!$D$1015:$D$1024&lt;&gt;"")*('Teacher Calendar'!$D$1015:$D$1024&lt;&gt;0),ROW('Teacher Calendar'!$D$1015:$D$1024)-ROW('Teacher Calendar'!$D$1015)+1),7)),"")</f>
        <v/>
      </c>
      <c r="B314" s="131" t="str">
        <f t="array" ref="B314">IFERROR(INDEX('Teacher Calendar'!$E$1015:$E$1024,SMALL(IF(('Teacher Calendar'!$E$1015:$E$1024&lt;&gt;"")*('Teacher Calendar'!$E$1015:$E$1024&lt;&gt;0),ROW('Teacher Calendar'!$E$1015:$E$1024)-ROW('Teacher Calendar'!$E$1015)+1),7)),"")</f>
        <v/>
      </c>
      <c r="C314" s="131" t="str">
        <f t="array" ref="C314">IFERROR(INDEX('Teacher Calendar'!$F$1015:$F$1024,SMALL(IF(('Teacher Calendar'!$F$1015:$F$1024&lt;&gt;"")*('Teacher Calendar'!$F$1015:$F$1024&lt;&gt;0),ROW('Teacher Calendar'!$F$1015:$F$1024)-ROW('Teacher Calendar'!$F$1015)+1),7)),"")</f>
        <v/>
      </c>
      <c r="D314" s="131" t="str">
        <f t="array" ref="D314">IFERROR(INDEX('Teacher Calendar'!$G$1015:$G$1024,SMALL(IF(('Teacher Calendar'!$G$1015:$G$1024&lt;&gt;"")*('Teacher Calendar'!$G$1015:$G$1024&lt;&gt;0),ROW('Teacher Calendar'!$G$1015:$G$1024)-ROW('Teacher Calendar'!$G$1015)+1),7)),"")</f>
        <v/>
      </c>
      <c r="E314" s="131" t="str">
        <f t="array" ref="E314">IFERROR(INDEX('Teacher Calendar'!$H$1015:$H$1024,SMALL(IF(('Teacher Calendar'!$H$1015:$H$1024&lt;&gt;"")*('Teacher Calendar'!$H$1015:$H$1024&lt;&gt;0),ROW('Teacher Calendar'!$H$1015:$H$1024)-ROW('Teacher Calendar'!$H$1015)+1),7)),"")</f>
        <v/>
      </c>
    </row>
    <row r="315" ht="15.75" customHeight="1">
      <c r="A315" s="146">
        <f>'Teacher Calendar'!D1041</f>
        <v>46531</v>
      </c>
      <c r="B315" s="146">
        <f>'Teacher Calendar'!E1041</f>
        <v>46532</v>
      </c>
      <c r="C315" s="146">
        <f>'Teacher Calendar'!F1041</f>
        <v>46533</v>
      </c>
      <c r="D315" s="146">
        <f>'Teacher Calendar'!G1041</f>
        <v>46534</v>
      </c>
      <c r="E315" s="146">
        <f>'Teacher Calendar'!H1041</f>
        <v>46535</v>
      </c>
    </row>
    <row r="316" ht="15.75" customHeight="1">
      <c r="A316" s="131" t="str">
        <f t="array" ref="A316">IFERROR(INDEX('Teacher Calendar'!$D$1042:$D$1051,SMALL(IF(('Teacher Calendar'!$D$1042:$D$1051&lt;&gt;"")*('Teacher Calendar'!$D$1042:$D$1051&lt;&gt;0),ROW('Teacher Calendar'!$D$1042:$D$1051)-ROW('Teacher Calendar'!$D$1042)+1),1)),"")</f>
        <v/>
      </c>
      <c r="B316" s="131" t="str">
        <f t="array" ref="B316">IFERROR(INDEX('Teacher Calendar'!$E$1042:$E$1051,SMALL(IF(('Teacher Calendar'!$E$1042:$E$1051&lt;&gt;"")*('Teacher Calendar'!$E$1042:$E$1051&lt;&gt;0),ROW('Teacher Calendar'!$E$1042:$E$1051)-ROW('Teacher Calendar'!$E$1042)+1),1)),"")</f>
        <v/>
      </c>
      <c r="C316" s="131" t="str">
        <f t="array" ref="C316">IFERROR(INDEX('Teacher Calendar'!$F$1042:$F$1051,SMALL(IF(('Teacher Calendar'!$F$1042:$F$1051&lt;&gt;"")*('Teacher Calendar'!$F$1042:$F$1051&lt;&gt;0),ROW('Teacher Calendar'!$F$1042:$F$1051)-ROW('Teacher Calendar'!$F$1042)+1),1)),"")</f>
        <v/>
      </c>
      <c r="D316" s="131" t="str">
        <f t="array" ref="D316">IFERROR(INDEX('Teacher Calendar'!$G$1042:$G$1051,SMALL(IF(('Teacher Calendar'!$G$1042:$G$1051&lt;&gt;"")*('Teacher Calendar'!$G$1042:$G$1051&lt;&gt;0),ROW('Teacher Calendar'!$G$1042:$G$1051)-ROW('Teacher Calendar'!$G$1042)+1),1)),"")</f>
        <v/>
      </c>
      <c r="E316" s="131" t="str">
        <f t="array" ref="E316">IFERROR(INDEX('Teacher Calendar'!$H$1042:$H$1051,SMALL(IF(('Teacher Calendar'!$H$1042:$H$1051&lt;&gt;"")*('Teacher Calendar'!$H$1042:$H$1051&lt;&gt;0),ROW('Teacher Calendar'!$H$1042:$H$1051)-ROW('Teacher Calendar'!$H$1042)+1),1)),"")</f>
        <v/>
      </c>
    </row>
    <row r="317" ht="15.75" customHeight="1">
      <c r="A317" s="131" t="str">
        <f t="array" ref="A317">IFERROR(INDEX('Teacher Calendar'!$D$1042:$D$1051,SMALL(IF(('Teacher Calendar'!$D$1042:$D$1051&lt;&gt;"")*('Teacher Calendar'!$D$1042:$D$1051&lt;&gt;0),ROW('Teacher Calendar'!$D$1042:$D$1051)-ROW('Teacher Calendar'!$D$1042)+1),2)),"")</f>
        <v/>
      </c>
      <c r="B317" s="131" t="str">
        <f t="array" ref="B317">IFERROR(INDEX('Teacher Calendar'!$E$1042:$E$1051,SMALL(IF(('Teacher Calendar'!$E$1042:$E$1051&lt;&gt;"")*('Teacher Calendar'!$E$1042:$E$1051&lt;&gt;0),ROW('Teacher Calendar'!$E$1042:$E$1051)-ROW('Teacher Calendar'!$E$1042)+1),2)),"")</f>
        <v/>
      </c>
      <c r="C317" s="131" t="str">
        <f t="array" ref="C317">IFERROR(INDEX('Teacher Calendar'!$F$1042:$F$1051,SMALL(IF(('Teacher Calendar'!$F$1042:$F$1051&lt;&gt;"")*('Teacher Calendar'!$F$1042:$F$1051&lt;&gt;0),ROW('Teacher Calendar'!$F$1042:$F$1051)-ROW('Teacher Calendar'!$F$1042)+1),2)),"")</f>
        <v/>
      </c>
      <c r="D317" s="131" t="str">
        <f t="array" ref="D317">IFERROR(INDEX('Teacher Calendar'!$G$1042:$G$1051,SMALL(IF(('Teacher Calendar'!$G$1042:$G$1051&lt;&gt;"")*('Teacher Calendar'!$G$1042:$G$1051&lt;&gt;0),ROW('Teacher Calendar'!$G$1042:$G$1051)-ROW('Teacher Calendar'!$G$1042)+1),2)),"")</f>
        <v/>
      </c>
      <c r="E317" s="131" t="str">
        <f t="array" ref="E317">IFERROR(INDEX('Teacher Calendar'!$H$1042:$H$1051,SMALL(IF(('Teacher Calendar'!$H$1042:$H$1051&lt;&gt;"")*('Teacher Calendar'!$H$1042:$H$1051&lt;&gt;0),ROW('Teacher Calendar'!$H$1042:$H$1051)-ROW('Teacher Calendar'!$H$1042)+1),2)),"")</f>
        <v/>
      </c>
    </row>
    <row r="318" ht="15.75" customHeight="1">
      <c r="A318" s="131" t="str">
        <f t="array" ref="A318">IFERROR(INDEX('Teacher Calendar'!$D$1042:$D$1051,SMALL(IF(('Teacher Calendar'!$D$1042:$D$1051&lt;&gt;"")*('Teacher Calendar'!$D$1042:$D$1051&lt;&gt;0),ROW('Teacher Calendar'!$D$1042:$D$1051)-ROW('Teacher Calendar'!$D$1042)+1),3)),"")</f>
        <v/>
      </c>
      <c r="B318" s="131" t="str">
        <f t="array" ref="B318">IFERROR(INDEX('Teacher Calendar'!$E$1042:$E$1051,SMALL(IF(('Teacher Calendar'!$E$1042:$E$1051&lt;&gt;"")*('Teacher Calendar'!$E$1042:$E$1051&lt;&gt;0),ROW('Teacher Calendar'!$E$1042:$E$1051)-ROW('Teacher Calendar'!$E$1042)+1),3)),"")</f>
        <v/>
      </c>
      <c r="C318" s="131" t="str">
        <f t="array" ref="C318">IFERROR(INDEX('Teacher Calendar'!$F$1042:$F$1051,SMALL(IF(('Teacher Calendar'!$F$1042:$F$1051&lt;&gt;"")*('Teacher Calendar'!$F$1042:$F$1051&lt;&gt;0),ROW('Teacher Calendar'!$F$1042:$F$1051)-ROW('Teacher Calendar'!$F$1042)+1),3)),"")</f>
        <v/>
      </c>
      <c r="D318" s="131" t="str">
        <f t="array" ref="D318">IFERROR(INDEX('Teacher Calendar'!$G$1042:$G$1051,SMALL(IF(('Teacher Calendar'!$G$1042:$G$1051&lt;&gt;"")*('Teacher Calendar'!$G$1042:$G$1051&lt;&gt;0),ROW('Teacher Calendar'!$G$1042:$G$1051)-ROW('Teacher Calendar'!$G$1042)+1),3)),"")</f>
        <v/>
      </c>
      <c r="E318" s="131" t="str">
        <f t="array" ref="E318">IFERROR(INDEX('Teacher Calendar'!$H$1042:$H$1051,SMALL(IF(('Teacher Calendar'!$H$1042:$H$1051&lt;&gt;"")*('Teacher Calendar'!$H$1042:$H$1051&lt;&gt;0),ROW('Teacher Calendar'!$H$1042:$H$1051)-ROW('Teacher Calendar'!$H$1042)+1),3)),"")</f>
        <v/>
      </c>
    </row>
    <row r="319" ht="15.75" customHeight="1">
      <c r="A319" s="131" t="str">
        <f t="array" ref="A319">IFERROR(INDEX('Teacher Calendar'!$D$1042:$D$1051,SMALL(IF(('Teacher Calendar'!$D$1042:$D$1051&lt;&gt;"")*('Teacher Calendar'!$D$1042:$D$1051&lt;&gt;0),ROW('Teacher Calendar'!$D$1042:$D$1051)-ROW('Teacher Calendar'!$D$1042)+1),4)),"")</f>
        <v/>
      </c>
      <c r="B319" s="131" t="str">
        <f t="array" ref="B319">IFERROR(INDEX('Teacher Calendar'!$E$1042:$E$1051,SMALL(IF(('Teacher Calendar'!$E$1042:$E$1051&lt;&gt;"")*('Teacher Calendar'!$E$1042:$E$1051&lt;&gt;0),ROW('Teacher Calendar'!$E$1042:$E$1051)-ROW('Teacher Calendar'!$E$1042)+1),4)),"")</f>
        <v/>
      </c>
      <c r="C319" s="131" t="str">
        <f t="array" ref="C319">IFERROR(INDEX('Teacher Calendar'!$F$1042:$F$1051,SMALL(IF(('Teacher Calendar'!$F$1042:$F$1051&lt;&gt;"")*('Teacher Calendar'!$F$1042:$F$1051&lt;&gt;0),ROW('Teacher Calendar'!$F$1042:$F$1051)-ROW('Teacher Calendar'!$F$1042)+1),4)),"")</f>
        <v/>
      </c>
      <c r="D319" s="131" t="str">
        <f t="array" ref="D319">IFERROR(INDEX('Teacher Calendar'!$G$1042:$G$1051,SMALL(IF(('Teacher Calendar'!$G$1042:$G$1051&lt;&gt;"")*('Teacher Calendar'!$G$1042:$G$1051&lt;&gt;0),ROW('Teacher Calendar'!$G$1042:$G$1051)-ROW('Teacher Calendar'!$G$1042)+1),4)),"")</f>
        <v/>
      </c>
      <c r="E319" s="131" t="str">
        <f t="array" ref="E319">IFERROR(INDEX('Teacher Calendar'!$H$1042:$H$1051,SMALL(IF(('Teacher Calendar'!$H$1042:$H$1051&lt;&gt;"")*('Teacher Calendar'!$H$1042:$H$1051&lt;&gt;0),ROW('Teacher Calendar'!$H$1042:$H$1051)-ROW('Teacher Calendar'!$H$1042)+1),4)),"")</f>
        <v/>
      </c>
    </row>
    <row r="320" ht="15.75" customHeight="1">
      <c r="A320" s="131" t="str">
        <f t="array" ref="A320">IFERROR(INDEX('Teacher Calendar'!$D$1042:$D$1051,SMALL(IF(('Teacher Calendar'!$D$1042:$D$1051&lt;&gt;"")*('Teacher Calendar'!$D$1042:$D$1051&lt;&gt;0),ROW('Teacher Calendar'!$D$1042:$D$1051)-ROW('Teacher Calendar'!$D$1042)+1),5)),"")</f>
        <v/>
      </c>
      <c r="B320" s="131" t="str">
        <f t="array" ref="B320">IFERROR(INDEX('Teacher Calendar'!$E$1042:$E$1051,SMALL(IF(('Teacher Calendar'!$E$1042:$E$1051&lt;&gt;"")*('Teacher Calendar'!$E$1042:$E$1051&lt;&gt;0),ROW('Teacher Calendar'!$E$1042:$E$1051)-ROW('Teacher Calendar'!$E$1042)+1),5)),"")</f>
        <v/>
      </c>
      <c r="C320" s="131" t="str">
        <f t="array" ref="C320">IFERROR(INDEX('Teacher Calendar'!$F$1042:$F$1051,SMALL(IF(('Teacher Calendar'!$F$1042:$F$1051&lt;&gt;"")*('Teacher Calendar'!$F$1042:$F$1051&lt;&gt;0),ROW('Teacher Calendar'!$F$1042:$F$1051)-ROW('Teacher Calendar'!$F$1042)+1),5)),"")</f>
        <v/>
      </c>
      <c r="D320" s="131" t="str">
        <f t="array" ref="D320">IFERROR(INDEX('Teacher Calendar'!$G$1042:$G$1051,SMALL(IF(('Teacher Calendar'!$G$1042:$G$1051&lt;&gt;"")*('Teacher Calendar'!$G$1042:$G$1051&lt;&gt;0),ROW('Teacher Calendar'!$G$1042:$G$1051)-ROW('Teacher Calendar'!$G$1042)+1),5)),"")</f>
        <v/>
      </c>
      <c r="E320" s="131" t="str">
        <f t="array" ref="E320">IFERROR(INDEX('Teacher Calendar'!$H$1042:$H$1051,SMALL(IF(('Teacher Calendar'!$H$1042:$H$1051&lt;&gt;"")*('Teacher Calendar'!$H$1042:$H$1051&lt;&gt;0),ROW('Teacher Calendar'!$H$1042:$H$1051)-ROW('Teacher Calendar'!$H$1042)+1),5)),"")</f>
        <v/>
      </c>
    </row>
    <row r="321" ht="15.75" customHeight="1">
      <c r="A321" s="131" t="str">
        <f t="array" ref="A321">IFERROR(INDEX('Teacher Calendar'!$D$1042:$D$1051,SMALL(IF(('Teacher Calendar'!$D$1042:$D$1051&lt;&gt;"")*('Teacher Calendar'!$D$1042:$D$1051&lt;&gt;0),ROW('Teacher Calendar'!$D$1042:$D$1051)-ROW('Teacher Calendar'!$D$1042)+1),6)),"")</f>
        <v/>
      </c>
      <c r="B321" s="131" t="str">
        <f t="array" ref="B321">IFERROR(INDEX('Teacher Calendar'!$E$1042:$E$1051,SMALL(IF(('Teacher Calendar'!$E$1042:$E$1051&lt;&gt;"")*('Teacher Calendar'!$E$1042:$E$1051&lt;&gt;0),ROW('Teacher Calendar'!$E$1042:$E$1051)-ROW('Teacher Calendar'!$E$1042)+1),6)),"")</f>
        <v/>
      </c>
      <c r="C321" s="131" t="str">
        <f t="array" ref="C321">IFERROR(INDEX('Teacher Calendar'!$F$1042:$F$1051,SMALL(IF(('Teacher Calendar'!$F$1042:$F$1051&lt;&gt;"")*('Teacher Calendar'!$F$1042:$F$1051&lt;&gt;0),ROW('Teacher Calendar'!$F$1042:$F$1051)-ROW('Teacher Calendar'!$F$1042)+1),6)),"")</f>
        <v/>
      </c>
      <c r="D321" s="131" t="str">
        <f t="array" ref="D321">IFERROR(INDEX('Teacher Calendar'!$G$1042:$G$1051,SMALL(IF(('Teacher Calendar'!$G$1042:$G$1051&lt;&gt;"")*('Teacher Calendar'!$G$1042:$G$1051&lt;&gt;0),ROW('Teacher Calendar'!$G$1042:$G$1051)-ROW('Teacher Calendar'!$G$1042)+1),6)),"")</f>
        <v/>
      </c>
      <c r="E321" s="131" t="str">
        <f t="array" ref="E321">IFERROR(INDEX('Teacher Calendar'!$H$1042:$H$1051,SMALL(IF(('Teacher Calendar'!$H$1042:$H$1051&lt;&gt;"")*('Teacher Calendar'!$H$1042:$H$1051&lt;&gt;0),ROW('Teacher Calendar'!$H$1042:$H$1051)-ROW('Teacher Calendar'!$H$1042)+1),6)),"")</f>
        <v/>
      </c>
    </row>
    <row r="322" ht="15.75" customHeight="1">
      <c r="A322" s="131" t="str">
        <f t="array" ref="A322">IFERROR(INDEX('Teacher Calendar'!$D$1042:$D$1051,SMALL(IF(('Teacher Calendar'!$D$1042:$D$1051&lt;&gt;"")*('Teacher Calendar'!$D$1042:$D$1051&lt;&gt;0),ROW('Teacher Calendar'!$D$1042:$D$1051)-ROW('Teacher Calendar'!$D$1042)+1),7)),"")</f>
        <v/>
      </c>
      <c r="B322" s="131" t="str">
        <f t="array" ref="B322">IFERROR(INDEX('Teacher Calendar'!$E$1042:$E$1051,SMALL(IF(('Teacher Calendar'!$E$1042:$E$1051&lt;&gt;"")*('Teacher Calendar'!$E$1042:$E$1051&lt;&gt;0),ROW('Teacher Calendar'!$E$1042:$E$1051)-ROW('Teacher Calendar'!$E$1042)+1),7)),"")</f>
        <v/>
      </c>
      <c r="C322" s="131" t="str">
        <f t="array" ref="C322">IFERROR(INDEX('Teacher Calendar'!$F$1042:$F$1051,SMALL(IF(('Teacher Calendar'!$F$1042:$F$1051&lt;&gt;"")*('Teacher Calendar'!$F$1042:$F$1051&lt;&gt;0),ROW('Teacher Calendar'!$F$1042:$F$1051)-ROW('Teacher Calendar'!$F$1042)+1),7)),"")</f>
        <v/>
      </c>
      <c r="D322" s="131" t="str">
        <f t="array" ref="D322">IFERROR(INDEX('Teacher Calendar'!$G$1042:$G$1051,SMALL(IF(('Teacher Calendar'!$G$1042:$G$1051&lt;&gt;"")*('Teacher Calendar'!$G$1042:$G$1051&lt;&gt;0),ROW('Teacher Calendar'!$G$1042:$G$1051)-ROW('Teacher Calendar'!$G$1042)+1),7)),"")</f>
        <v/>
      </c>
      <c r="E322" s="131" t="str">
        <f t="array" ref="E322">IFERROR(INDEX('Teacher Calendar'!$H$1042:$H$1051,SMALL(IF(('Teacher Calendar'!$H$1042:$H$1051&lt;&gt;"")*('Teacher Calendar'!$H$1042:$H$1051&lt;&gt;0),ROW('Teacher Calendar'!$H$1042:$H$1051)-ROW('Teacher Calendar'!$H$1042)+1),7)),"")</f>
        <v/>
      </c>
    </row>
    <row r="323" ht="15.75" customHeight="1">
      <c r="A323" s="146">
        <f>'Teacher Calendar'!D1068</f>
        <v>46538</v>
      </c>
      <c r="B323" s="146">
        <f>'Teacher Calendar'!E1068</f>
        <v>46539</v>
      </c>
      <c r="C323" s="146">
        <f>'Teacher Calendar'!F1068</f>
        <v>46540</v>
      </c>
      <c r="D323" s="146">
        <f>'Teacher Calendar'!G1068</f>
        <v>46541</v>
      </c>
      <c r="E323" s="146">
        <f>'Teacher Calendar'!H1068</f>
        <v>46542</v>
      </c>
    </row>
    <row r="324" ht="15.75" customHeight="1">
      <c r="A324" s="77" t="str">
        <f t="array" ref="A324">IFERROR(INDEX('Teacher Calendar'!$D$1069:$D$1078,SMALL(IF(('Teacher Calendar'!$D$1069:$D$1078&lt;&gt;"")*('Teacher Calendar'!$D$1069:$D$1078&lt;&gt;0),ROW('Teacher Calendar'!$D$1069:$D$1078)-ROW('Teacher Calendar'!$D$1069)+1),1)),"")</f>
        <v/>
      </c>
      <c r="B324" s="131" t="str">
        <f t="array" ref="B324">IFERROR(INDEX('Teacher Calendar'!$E$1069:$E$1078,SMALL(IF(('Teacher Calendar'!$E$1069:$E$1078&lt;&gt;"")*('Teacher Calendar'!$E$1069:$E$1078&lt;&gt;0),ROW('Teacher Calendar'!$E$1069:$E$1078)-ROW('Teacher Calendar'!$E$1069)+1),1)),"")</f>
        <v/>
      </c>
      <c r="C324" s="131" t="str">
        <f t="array" ref="C324">IFERROR(INDEX('Teacher Calendar'!$F$1069:$F$1078,SMALL(IF(('Teacher Calendar'!$F$1069:$F$1078&lt;&gt;"")*('Teacher Calendar'!$F$1069:$F$1078&lt;&gt;0),ROW('Teacher Calendar'!$F$1069:$F$1078)-ROW('Teacher Calendar'!$F$1069)+1),1)),"")</f>
        <v/>
      </c>
      <c r="D324" s="131" t="str">
        <f t="array" ref="D324">IFERROR(INDEX('Teacher Calendar'!$G$1069:$G$1078,SMALL(IF(('Teacher Calendar'!$G$1069:$G$1078&lt;&gt;"")*('Teacher Calendar'!$G$1069:$G$1078&lt;&gt;0),ROW('Teacher Calendar'!$G$1069:$G$1078)-ROW('Teacher Calendar'!$G$1069)+1),1)),"")</f>
        <v/>
      </c>
      <c r="E324" s="131" t="str">
        <f t="array" ref="E324">IFERROR(INDEX('Teacher Calendar'!$H$1069:$H$1078,SMALL(IF(('Teacher Calendar'!$H$1069:$H$1078&lt;&gt;"")*('Teacher Calendar'!$H$1069:$H$1078&lt;&gt;0),ROW('Teacher Calendar'!$H$1069:$H$1078)-ROW('Teacher Calendar'!$H$1069)+1),1)),"")</f>
        <v/>
      </c>
    </row>
    <row r="325" ht="15.75" customHeight="1">
      <c r="A325" s="77" t="str">
        <f t="array" ref="A325">IFERROR(INDEX('Teacher Calendar'!$D$1069:$D$1078,SMALL(IF(('Teacher Calendar'!$D$1069:$D$1078&lt;&gt;"")*('Teacher Calendar'!$D$1069:$D$1078&lt;&gt;0),ROW('Teacher Calendar'!$D$1069:$D$1078)-ROW('Teacher Calendar'!$D$1069)+1),2)),"")</f>
        <v/>
      </c>
      <c r="B325" s="131" t="str">
        <f t="array" ref="B325">IFERROR(INDEX('Teacher Calendar'!$E$1069:$E$1078,SMALL(IF(('Teacher Calendar'!$E$1069:$E$1078&lt;&gt;"")*('Teacher Calendar'!$E$1069:$E$1078&lt;&gt;0),ROW('Teacher Calendar'!$E$1069:$E$1078)-ROW('Teacher Calendar'!$E$1069)+1),2)),"")</f>
        <v/>
      </c>
      <c r="C325" s="131" t="str">
        <f t="array" ref="C325">IFERROR(INDEX('Teacher Calendar'!$F$1069:$F$1078,SMALL(IF(('Teacher Calendar'!$F$1069:$F$1078&lt;&gt;"")*('Teacher Calendar'!$F$1069:$F$1078&lt;&gt;0),ROW('Teacher Calendar'!$F$1069:$F$1078)-ROW('Teacher Calendar'!$F$1069)+1),2)),"")</f>
        <v/>
      </c>
      <c r="D325" s="131" t="str">
        <f t="array" ref="D325">IFERROR(INDEX('Teacher Calendar'!$G$1069:$G$1078,SMALL(IF(('Teacher Calendar'!$G$1069:$G$1078&lt;&gt;"")*('Teacher Calendar'!$G$1069:$G$1078&lt;&gt;0),ROW('Teacher Calendar'!$G$1069:$G$1078)-ROW('Teacher Calendar'!$G$1069)+1),2)),"")</f>
        <v/>
      </c>
      <c r="E325" s="131" t="str">
        <f t="array" ref="E325">IFERROR(INDEX('Teacher Calendar'!$H$1069:$H$1078,SMALL(IF(('Teacher Calendar'!$H$1069:$H$1078&lt;&gt;"")*('Teacher Calendar'!$H$1069:$H$1078&lt;&gt;0),ROW('Teacher Calendar'!$H$1069:$H$1078)-ROW('Teacher Calendar'!$H$1069)+1),2)),"")</f>
        <v/>
      </c>
    </row>
    <row r="326" ht="15.75" customHeight="1">
      <c r="A326" s="77" t="str">
        <f t="array" ref="A326">IFERROR(INDEX('Teacher Calendar'!$D$1069:$D$1078,SMALL(IF(('Teacher Calendar'!$D$1069:$D$1078&lt;&gt;"")*('Teacher Calendar'!$D$1069:$D$1078&lt;&gt;0),ROW('Teacher Calendar'!$D$1069:$D$1078)-ROW('Teacher Calendar'!$D$1069)+1),3)),"")</f>
        <v/>
      </c>
      <c r="B326" s="131" t="str">
        <f t="array" ref="B326">IFERROR(INDEX('Teacher Calendar'!$E$1069:$E$1078,SMALL(IF(('Teacher Calendar'!$E$1069:$E$1078&lt;&gt;"")*('Teacher Calendar'!$E$1069:$E$1078&lt;&gt;0),ROW('Teacher Calendar'!$E$1069:$E$1078)-ROW('Teacher Calendar'!$E$1069)+1),3)),"")</f>
        <v/>
      </c>
      <c r="C326" s="131" t="str">
        <f t="array" ref="C326">IFERROR(INDEX('Teacher Calendar'!$F$1069:$F$1078,SMALL(IF(('Teacher Calendar'!$F$1069:$F$1078&lt;&gt;"")*('Teacher Calendar'!$F$1069:$F$1078&lt;&gt;0),ROW('Teacher Calendar'!$F$1069:$F$1078)-ROW('Teacher Calendar'!$F$1069)+1),3)),"")</f>
        <v/>
      </c>
      <c r="D326" s="131" t="str">
        <f t="array" ref="D326">IFERROR(INDEX('Teacher Calendar'!$G$1069:$G$1078,SMALL(IF(('Teacher Calendar'!$G$1069:$G$1078&lt;&gt;"")*('Teacher Calendar'!$G$1069:$G$1078&lt;&gt;0),ROW('Teacher Calendar'!$G$1069:$G$1078)-ROW('Teacher Calendar'!$G$1069)+1),3)),"")</f>
        <v/>
      </c>
      <c r="E326" s="131" t="str">
        <f t="array" ref="E326">IFERROR(INDEX('Teacher Calendar'!$H$1069:$H$1078,SMALL(IF(('Teacher Calendar'!$H$1069:$H$1078&lt;&gt;"")*('Teacher Calendar'!$H$1069:$H$1078&lt;&gt;0),ROW('Teacher Calendar'!$H$1069:$H$1078)-ROW('Teacher Calendar'!$H$1069)+1),3)),"")</f>
        <v/>
      </c>
    </row>
    <row r="327" ht="15.75" customHeight="1">
      <c r="A327" s="77" t="str">
        <f t="array" ref="A327">IFERROR(INDEX('Teacher Calendar'!$D$1069:$D$1078,SMALL(IF(('Teacher Calendar'!$D$1069:$D$1078&lt;&gt;"")*('Teacher Calendar'!$D$1069:$D$1078&lt;&gt;0),ROW('Teacher Calendar'!$D$1069:$D$1078)-ROW('Teacher Calendar'!$D$1069)+1),4)),"")</f>
        <v/>
      </c>
      <c r="B327" s="131" t="str">
        <f t="array" ref="B327">IFERROR(INDEX('Teacher Calendar'!$E$1069:$E$1078,SMALL(IF(('Teacher Calendar'!$E$1069:$E$1078&lt;&gt;"")*('Teacher Calendar'!$E$1069:$E$1078&lt;&gt;0),ROW('Teacher Calendar'!$E$1069:$E$1078)-ROW('Teacher Calendar'!$E$1069)+1),4)),"")</f>
        <v/>
      </c>
      <c r="C327" s="131" t="str">
        <f t="array" ref="C327">IFERROR(INDEX('Teacher Calendar'!$F$1069:$F$1078,SMALL(IF(('Teacher Calendar'!$F$1069:$F$1078&lt;&gt;"")*('Teacher Calendar'!$F$1069:$F$1078&lt;&gt;0),ROW('Teacher Calendar'!$F$1069:$F$1078)-ROW('Teacher Calendar'!$F$1069)+1),4)),"")</f>
        <v/>
      </c>
      <c r="D327" s="131" t="str">
        <f t="array" ref="D327">IFERROR(INDEX('Teacher Calendar'!$G$1069:$G$1078,SMALL(IF(('Teacher Calendar'!$G$1069:$G$1078&lt;&gt;"")*('Teacher Calendar'!$G$1069:$G$1078&lt;&gt;0),ROW('Teacher Calendar'!$G$1069:$G$1078)-ROW('Teacher Calendar'!$G$1069)+1),4)),"")</f>
        <v/>
      </c>
      <c r="E327" s="131" t="str">
        <f t="array" ref="E327">IFERROR(INDEX('Teacher Calendar'!$H$1069:$H$1078,SMALL(IF(('Teacher Calendar'!$H$1069:$H$1078&lt;&gt;"")*('Teacher Calendar'!$H$1069:$H$1078&lt;&gt;0),ROW('Teacher Calendar'!$H$1069:$H$1078)-ROW('Teacher Calendar'!$H$1069)+1),4)),"")</f>
        <v/>
      </c>
    </row>
    <row r="328" ht="15.75" customHeight="1">
      <c r="A328" s="77" t="str">
        <f t="array" ref="A328">IFERROR(INDEX('Teacher Calendar'!$D$1069:$D$1078,SMALL(IF(('Teacher Calendar'!$D$1069:$D$1078&lt;&gt;"")*('Teacher Calendar'!$D$1069:$D$1078&lt;&gt;0),ROW('Teacher Calendar'!$D$1069:$D$1078)-ROW('Teacher Calendar'!$D$1069)+1),5)),"")</f>
        <v/>
      </c>
      <c r="B328" s="131" t="str">
        <f t="array" ref="B328">IFERROR(INDEX('Teacher Calendar'!$E$1069:$E$1078,SMALL(IF(('Teacher Calendar'!$E$1069:$E$1078&lt;&gt;"")*('Teacher Calendar'!$E$1069:$E$1078&lt;&gt;0),ROW('Teacher Calendar'!$E$1069:$E$1078)-ROW('Teacher Calendar'!$E$1069)+1),5)),"")</f>
        <v/>
      </c>
      <c r="C328" s="131" t="str">
        <f t="array" ref="C328">IFERROR(INDEX('Teacher Calendar'!$F$1069:$F$1078,SMALL(IF(('Teacher Calendar'!$F$1069:$F$1078&lt;&gt;"")*('Teacher Calendar'!$F$1069:$F$1078&lt;&gt;0),ROW('Teacher Calendar'!$F$1069:$F$1078)-ROW('Teacher Calendar'!$F$1069)+1),5)),"")</f>
        <v/>
      </c>
      <c r="D328" s="131" t="str">
        <f t="array" ref="D328">IFERROR(INDEX('Teacher Calendar'!$G$1069:$G$1078,SMALL(IF(('Teacher Calendar'!$G$1069:$G$1078&lt;&gt;"")*('Teacher Calendar'!$G$1069:$G$1078&lt;&gt;0),ROW('Teacher Calendar'!$G$1069:$G$1078)-ROW('Teacher Calendar'!$G$1069)+1),5)),"")</f>
        <v/>
      </c>
      <c r="E328" s="131" t="str">
        <f t="array" ref="E328">IFERROR(INDEX('Teacher Calendar'!$H$1069:$H$1078,SMALL(IF(('Teacher Calendar'!$H$1069:$H$1078&lt;&gt;"")*('Teacher Calendar'!$H$1069:$H$1078&lt;&gt;0),ROW('Teacher Calendar'!$H$1069:$H$1078)-ROW('Teacher Calendar'!$H$1069)+1),5)),"")</f>
        <v/>
      </c>
    </row>
    <row r="329" ht="15.75" customHeight="1">
      <c r="A329" s="77" t="str">
        <f t="array" ref="A329">IFERROR(INDEX('Teacher Calendar'!$D$1069:$D$1078,SMALL(IF(('Teacher Calendar'!$D$1069:$D$1078&lt;&gt;"")*('Teacher Calendar'!$D$1069:$D$1078&lt;&gt;0),ROW('Teacher Calendar'!$D$1069:$D$1078)-ROW('Teacher Calendar'!$D$1069)+1),6)),"")</f>
        <v/>
      </c>
      <c r="B329" s="131" t="str">
        <f t="array" ref="B329">IFERROR(INDEX('Teacher Calendar'!$E$1069:$E$1078,SMALL(IF(('Teacher Calendar'!$E$1069:$E$1078&lt;&gt;"")*('Teacher Calendar'!$E$1069:$E$1078&lt;&gt;0),ROW('Teacher Calendar'!$E$1069:$E$1078)-ROW('Teacher Calendar'!$E$1069)+1),6)),"")</f>
        <v/>
      </c>
      <c r="C329" s="131" t="str">
        <f t="array" ref="C329">IFERROR(INDEX('Teacher Calendar'!$F$1069:$F$1078,SMALL(IF(('Teacher Calendar'!$F$1069:$F$1078&lt;&gt;"")*('Teacher Calendar'!$F$1069:$F$1078&lt;&gt;0),ROW('Teacher Calendar'!$F$1069:$F$1078)-ROW('Teacher Calendar'!$F$1069)+1),6)),"")</f>
        <v/>
      </c>
      <c r="D329" s="131" t="str">
        <f t="array" ref="D329">IFERROR(INDEX('Teacher Calendar'!$G$1069:$G$1078,SMALL(IF(('Teacher Calendar'!$G$1069:$G$1078&lt;&gt;"")*('Teacher Calendar'!$G$1069:$G$1078&lt;&gt;0),ROW('Teacher Calendar'!$G$1069:$G$1078)-ROW('Teacher Calendar'!$G$1069)+1),6)),"")</f>
        <v/>
      </c>
      <c r="E329" s="131" t="str">
        <f t="array" ref="E329">IFERROR(INDEX('Teacher Calendar'!$H$1069:$H$1078,SMALL(IF(('Teacher Calendar'!$H$1069:$H$1078&lt;&gt;"")*('Teacher Calendar'!$H$1069:$H$1078&lt;&gt;0),ROW('Teacher Calendar'!$H$1069:$H$1078)-ROW('Teacher Calendar'!$H$1069)+1),6)),"")</f>
        <v/>
      </c>
    </row>
    <row r="330" ht="15.75" customHeight="1">
      <c r="A330" s="77" t="str">
        <f t="array" ref="A330">IFERROR(INDEX('Teacher Calendar'!$D$1069:$D$1078,SMALL(IF(('Teacher Calendar'!$D$1069:$D$1078&lt;&gt;"")*('Teacher Calendar'!$D$1069:$D$1078&lt;&gt;0),ROW('Teacher Calendar'!$D$1069:$D$1078)-ROW('Teacher Calendar'!$D$1069)+1),7)),"")</f>
        <v/>
      </c>
      <c r="B330" s="131" t="str">
        <f t="array" ref="B330">IFERROR(INDEX('Teacher Calendar'!$E$1069:$E$1078,SMALL(IF(('Teacher Calendar'!$E$1069:$E$1078&lt;&gt;"")*('Teacher Calendar'!$E$1069:$E$1078&lt;&gt;0),ROW('Teacher Calendar'!$E$1069:$E$1078)-ROW('Teacher Calendar'!$E$1069)+1),7)),"")</f>
        <v/>
      </c>
      <c r="C330" s="131" t="str">
        <f t="array" ref="C330">IFERROR(INDEX('Teacher Calendar'!$F$1069:$F$1078,SMALL(IF(('Teacher Calendar'!$F$1069:$F$1078&lt;&gt;"")*('Teacher Calendar'!$F$1069:$F$1078&lt;&gt;0),ROW('Teacher Calendar'!$F$1069:$F$1078)-ROW('Teacher Calendar'!$F$1069)+1),7)),"")</f>
        <v/>
      </c>
      <c r="D330" s="131" t="str">
        <f t="array" ref="D330">IFERROR(INDEX('Teacher Calendar'!$G$1069:$G$1078,SMALL(IF(('Teacher Calendar'!$G$1069:$G$1078&lt;&gt;"")*('Teacher Calendar'!$G$1069:$G$1078&lt;&gt;0),ROW('Teacher Calendar'!$G$1069:$G$1078)-ROW('Teacher Calendar'!$G$1069)+1),7)),"")</f>
        <v/>
      </c>
      <c r="E330" s="131" t="str">
        <f t="array" ref="E330">IFERROR(INDEX('Teacher Calendar'!$H$1069:$H$1078,SMALL(IF(('Teacher Calendar'!$H$1069:$H$1078&lt;&gt;"")*('Teacher Calendar'!$H$1069:$H$1078&lt;&gt;0),ROW('Teacher Calendar'!$H$1069:$H$1078)-ROW('Teacher Calendar'!$H$1069)+1),7)),"")</f>
        <v/>
      </c>
    </row>
    <row r="331" ht="15.75" customHeight="1">
      <c r="A331" s="146">
        <f>'Teacher Calendar'!D1095</f>
        <v>46545</v>
      </c>
      <c r="B331" s="146">
        <f>'Teacher Calendar'!E1095</f>
        <v>46546</v>
      </c>
      <c r="C331" s="146">
        <f>'Teacher Calendar'!F1095</f>
        <v>46547</v>
      </c>
      <c r="D331" s="146">
        <f>'Teacher Calendar'!G1095</f>
        <v>46548</v>
      </c>
      <c r="E331" s="146">
        <f>'Teacher Calendar'!H1095</f>
        <v>46549</v>
      </c>
    </row>
    <row r="332" ht="15.75" customHeight="1">
      <c r="A332" s="131" t="str">
        <f t="array" ref="A332">IFERROR(INDEX('Teacher Calendar'!$D$1096:$D$1105,SMALL(IF(('Teacher Calendar'!$D$1096:$D$1105&lt;&gt;"")*('Teacher Calendar'!$D$1096:$D$1105&lt;&gt;0),ROW('Teacher Calendar'!$D$1096:$D$1105)-ROW('Teacher Calendar'!$D$1096)+1),1)),"")</f>
        <v/>
      </c>
      <c r="B332" s="131" t="str">
        <f t="array" ref="B332">IFERROR(INDEX('Teacher Calendar'!$E$1096:$E$1105,SMALL(IF(('Teacher Calendar'!$E$1096:$E$1105&lt;&gt;"")*('Teacher Calendar'!$E$1096:$E$1105&lt;&gt;0),ROW('Teacher Calendar'!$E$1096:$E$1105)-ROW('Teacher Calendar'!$E$1096)+1),1)),"")</f>
        <v/>
      </c>
      <c r="C332" s="131" t="str">
        <f t="array" ref="C332">IFERROR(INDEX('Teacher Calendar'!$F$1096:$F$1105,SMALL(IF(('Teacher Calendar'!$F$1096:$F$1105&lt;&gt;"")*('Teacher Calendar'!$F$1096:$F$1105&lt;&gt;0),ROW('Teacher Calendar'!$F$1096:$F$1105)-ROW('Teacher Calendar'!$F$1096)+1),1)),"")</f>
        <v/>
      </c>
      <c r="D332" s="131" t="str">
        <f t="array" ref="D332">IFERROR(INDEX('Teacher Calendar'!$G$1096:$G$1105,SMALL(IF(('Teacher Calendar'!$G$1096:$G$1105&lt;&gt;"")*('Teacher Calendar'!$G$1096:$G$1105&lt;&gt;0),ROW('Teacher Calendar'!$G$1096:$G$1105)-ROW('Teacher Calendar'!$G$1096)+1),1)),"")</f>
        <v/>
      </c>
      <c r="E332" s="131" t="str">
        <f t="array" ref="E332">IFERROR(INDEX('Teacher Calendar'!$H$1096:$H$1105,SMALL(IF(('Teacher Calendar'!$H$1096:$H$1105&lt;&gt;"")*('Teacher Calendar'!$H$1096:$H$1105&lt;&gt;0),ROW('Teacher Calendar'!$H$1096:$H$1105)-ROW('Teacher Calendar'!$H$1096)+1),1)),"")</f>
        <v/>
      </c>
    </row>
    <row r="333" ht="15.75" customHeight="1">
      <c r="A333" s="131" t="str">
        <f t="array" ref="A333">IFERROR(INDEX('Teacher Calendar'!$D$1096:$D$1105,SMALL(IF(('Teacher Calendar'!$D$1096:$D$1105&lt;&gt;"")*('Teacher Calendar'!$D$1096:$D$1105&lt;&gt;0),ROW('Teacher Calendar'!$D$1096:$D$1105)-ROW('Teacher Calendar'!$D$1096)+1),2)),"")</f>
        <v/>
      </c>
      <c r="B333" s="131" t="str">
        <f t="array" ref="B333">IFERROR(INDEX('Teacher Calendar'!$E$1096:$E$1105,SMALL(IF(('Teacher Calendar'!$E$1096:$E$1105&lt;&gt;"")*('Teacher Calendar'!$E$1096:$E$1105&lt;&gt;0),ROW('Teacher Calendar'!$E$1096:$E$1105)-ROW('Teacher Calendar'!$E$1096)+1),2)),"")</f>
        <v/>
      </c>
      <c r="C333" s="131" t="str">
        <f t="array" ref="C333">IFERROR(INDEX('Teacher Calendar'!$F$1096:$F$1105,SMALL(IF(('Teacher Calendar'!$F$1096:$F$1105&lt;&gt;"")*('Teacher Calendar'!$F$1096:$F$1105&lt;&gt;0),ROW('Teacher Calendar'!$F$1096:$F$1105)-ROW('Teacher Calendar'!$F$1096)+1),2)),"")</f>
        <v/>
      </c>
      <c r="D333" s="131" t="str">
        <f t="array" ref="D333">IFERROR(INDEX('Teacher Calendar'!$G$1096:$G$1105,SMALL(IF(('Teacher Calendar'!$G$1096:$G$1105&lt;&gt;"")*('Teacher Calendar'!$G$1096:$G$1105&lt;&gt;0),ROW('Teacher Calendar'!$G$1096:$G$1105)-ROW('Teacher Calendar'!$G$1096)+1),2)),"")</f>
        <v/>
      </c>
      <c r="E333" s="131" t="str">
        <f t="array" ref="E333">IFERROR(INDEX('Teacher Calendar'!$H$1096:$H$1105,SMALL(IF(('Teacher Calendar'!$H$1096:$H$1105&lt;&gt;"")*('Teacher Calendar'!$H$1096:$H$1105&lt;&gt;0),ROW('Teacher Calendar'!$H$1096:$H$1105)-ROW('Teacher Calendar'!$H$1096)+1),2)),"")</f>
        <v/>
      </c>
    </row>
    <row r="334" ht="15.75" customHeight="1">
      <c r="A334" s="131" t="str">
        <f t="array" ref="A334">IFERROR(INDEX('Teacher Calendar'!$D$1096:$D$1105,SMALL(IF(('Teacher Calendar'!$D$1096:$D$1105&lt;&gt;"")*('Teacher Calendar'!$D$1096:$D$1105&lt;&gt;0),ROW('Teacher Calendar'!$D$1096:$D$1105)-ROW('Teacher Calendar'!$D$1096)+1),3)),"")</f>
        <v/>
      </c>
      <c r="B334" s="131" t="str">
        <f t="array" ref="B334">IFERROR(INDEX('Teacher Calendar'!$E$1096:$E$1105,SMALL(IF(('Teacher Calendar'!$E$1096:$E$1105&lt;&gt;"")*('Teacher Calendar'!$E$1096:$E$1105&lt;&gt;0),ROW('Teacher Calendar'!$E$1096:$E$1105)-ROW('Teacher Calendar'!$E$1096)+1),3)),"")</f>
        <v/>
      </c>
      <c r="C334" s="131" t="str">
        <f t="array" ref="C334">IFERROR(INDEX('Teacher Calendar'!$F$1096:$F$1105,SMALL(IF(('Teacher Calendar'!$F$1096:$F$1105&lt;&gt;"")*('Teacher Calendar'!$F$1096:$F$1105&lt;&gt;0),ROW('Teacher Calendar'!$F$1096:$F$1105)-ROW('Teacher Calendar'!$F$1096)+1),3)),"")</f>
        <v/>
      </c>
      <c r="D334" s="131" t="str">
        <f t="array" ref="D334">IFERROR(INDEX('Teacher Calendar'!$G$1096:$G$1105,SMALL(IF(('Teacher Calendar'!$G$1096:$G$1105&lt;&gt;"")*('Teacher Calendar'!$G$1096:$G$1105&lt;&gt;0),ROW('Teacher Calendar'!$G$1096:$G$1105)-ROW('Teacher Calendar'!$G$1096)+1),3)),"")</f>
        <v/>
      </c>
      <c r="E334" s="131" t="str">
        <f t="array" ref="E334">IFERROR(INDEX('Teacher Calendar'!$H$1096:$H$1105,SMALL(IF(('Teacher Calendar'!$H$1096:$H$1105&lt;&gt;"")*('Teacher Calendar'!$H$1096:$H$1105&lt;&gt;0),ROW('Teacher Calendar'!$H$1096:$H$1105)-ROW('Teacher Calendar'!$H$1096)+1),3)),"")</f>
        <v/>
      </c>
    </row>
    <row r="335" ht="15.75" customHeight="1">
      <c r="A335" s="131" t="str">
        <f t="array" ref="A335">IFERROR(INDEX('Teacher Calendar'!$D$1096:$D$1105,SMALL(IF(('Teacher Calendar'!$D$1096:$D$1105&lt;&gt;"")*('Teacher Calendar'!$D$1096:$D$1105&lt;&gt;0),ROW('Teacher Calendar'!$D$1096:$D$1105)-ROW('Teacher Calendar'!$D$1096)+1),4)),"")</f>
        <v/>
      </c>
      <c r="B335" s="131" t="str">
        <f t="array" ref="B335">IFERROR(INDEX('Teacher Calendar'!$E$1096:$E$1105,SMALL(IF(('Teacher Calendar'!$E$1096:$E$1105&lt;&gt;"")*('Teacher Calendar'!$E$1096:$E$1105&lt;&gt;0),ROW('Teacher Calendar'!$E$1096:$E$1105)-ROW('Teacher Calendar'!$E$1096)+1),4)),"")</f>
        <v/>
      </c>
      <c r="C335" s="131" t="str">
        <f t="array" ref="C335">IFERROR(INDEX('Teacher Calendar'!$F$1096:$F$1105,SMALL(IF(('Teacher Calendar'!$F$1096:$F$1105&lt;&gt;"")*('Teacher Calendar'!$F$1096:$F$1105&lt;&gt;0),ROW('Teacher Calendar'!$F$1096:$F$1105)-ROW('Teacher Calendar'!$F$1096)+1),4)),"")</f>
        <v/>
      </c>
      <c r="D335" s="131" t="str">
        <f t="array" ref="D335">IFERROR(INDEX('Teacher Calendar'!$G$1096:$G$1105,SMALL(IF(('Teacher Calendar'!$G$1096:$G$1105&lt;&gt;"")*('Teacher Calendar'!$G$1096:$G$1105&lt;&gt;0),ROW('Teacher Calendar'!$G$1096:$G$1105)-ROW('Teacher Calendar'!$G$1096)+1),4)),"")</f>
        <v/>
      </c>
      <c r="E335" s="131" t="str">
        <f t="array" ref="E335">IFERROR(INDEX('Teacher Calendar'!$H$1096:$H$1105,SMALL(IF(('Teacher Calendar'!$H$1096:$H$1105&lt;&gt;"")*('Teacher Calendar'!$H$1096:$H$1105&lt;&gt;0),ROW('Teacher Calendar'!$H$1096:$H$1105)-ROW('Teacher Calendar'!$H$1096)+1),4)),"")</f>
        <v/>
      </c>
    </row>
    <row r="336" ht="15.75" customHeight="1">
      <c r="A336" s="131" t="str">
        <f t="array" ref="A336">IFERROR(INDEX('Teacher Calendar'!$D$1096:$D$1105,SMALL(IF(('Teacher Calendar'!$D$1096:$D$1105&lt;&gt;"")*('Teacher Calendar'!$D$1096:$D$1105&lt;&gt;0),ROW('Teacher Calendar'!$D$1096:$D$1105)-ROW('Teacher Calendar'!$D$1096)+1),5)),"")</f>
        <v/>
      </c>
      <c r="B336" s="131" t="str">
        <f t="array" ref="B336">IFERROR(INDEX('Teacher Calendar'!$E$1096:$E$1105,SMALL(IF(('Teacher Calendar'!$E$1096:$E$1105&lt;&gt;"")*('Teacher Calendar'!$E$1096:$E$1105&lt;&gt;0),ROW('Teacher Calendar'!$E$1096:$E$1105)-ROW('Teacher Calendar'!$E$1096)+1),5)),"")</f>
        <v/>
      </c>
      <c r="C336" s="131" t="str">
        <f t="array" ref="C336">IFERROR(INDEX('Teacher Calendar'!$F$1096:$F$1105,SMALL(IF(('Teacher Calendar'!$F$1096:$F$1105&lt;&gt;"")*('Teacher Calendar'!$F$1096:$F$1105&lt;&gt;0),ROW('Teacher Calendar'!$F$1096:$F$1105)-ROW('Teacher Calendar'!$F$1096)+1),5)),"")</f>
        <v/>
      </c>
      <c r="D336" s="131" t="str">
        <f t="array" ref="D336">IFERROR(INDEX('Teacher Calendar'!$G$1096:$G$1105,SMALL(IF(('Teacher Calendar'!$G$1096:$G$1105&lt;&gt;"")*('Teacher Calendar'!$G$1096:$G$1105&lt;&gt;0),ROW('Teacher Calendar'!$G$1096:$G$1105)-ROW('Teacher Calendar'!$G$1096)+1),5)),"")</f>
        <v/>
      </c>
      <c r="E336" s="131" t="str">
        <f t="array" ref="E336">IFERROR(INDEX('Teacher Calendar'!$H$1096:$H$1105,SMALL(IF(('Teacher Calendar'!$H$1096:$H$1105&lt;&gt;"")*('Teacher Calendar'!$H$1096:$H$1105&lt;&gt;0),ROW('Teacher Calendar'!$H$1096:$H$1105)-ROW('Teacher Calendar'!$H$1096)+1),5)),"")</f>
        <v/>
      </c>
    </row>
    <row r="337" ht="15.75" customHeight="1">
      <c r="A337" s="131" t="str">
        <f t="array" ref="A337">IFERROR(INDEX('Teacher Calendar'!$D$1096:$D$1105,SMALL(IF(('Teacher Calendar'!$D$1096:$D$1105&lt;&gt;"")*('Teacher Calendar'!$D$1096:$D$1105&lt;&gt;0),ROW('Teacher Calendar'!$D$1096:$D$1105)-ROW('Teacher Calendar'!$D$1096)+1),6)),"")</f>
        <v/>
      </c>
      <c r="B337" s="131" t="str">
        <f t="array" ref="B337">IFERROR(INDEX('Teacher Calendar'!$E$1096:$E$1105,SMALL(IF(('Teacher Calendar'!$E$1096:$E$1105&lt;&gt;"")*('Teacher Calendar'!$E$1096:$E$1105&lt;&gt;0),ROW('Teacher Calendar'!$E$1096:$E$1105)-ROW('Teacher Calendar'!$E$1096)+1),6)),"")</f>
        <v/>
      </c>
      <c r="C337" s="131" t="str">
        <f t="array" ref="C337">IFERROR(INDEX('Teacher Calendar'!$F$1096:$F$1105,SMALL(IF(('Teacher Calendar'!$F$1096:$F$1105&lt;&gt;"")*('Teacher Calendar'!$F$1096:$F$1105&lt;&gt;0),ROW('Teacher Calendar'!$F$1096:$F$1105)-ROW('Teacher Calendar'!$F$1096)+1),6)),"")</f>
        <v/>
      </c>
      <c r="D337" s="131" t="str">
        <f t="array" ref="D337">IFERROR(INDEX('Teacher Calendar'!$G$1096:$G$1105,SMALL(IF(('Teacher Calendar'!$G$1096:$G$1105&lt;&gt;"")*('Teacher Calendar'!$G$1096:$G$1105&lt;&gt;0),ROW('Teacher Calendar'!$G$1096:$G$1105)-ROW('Teacher Calendar'!$G$1096)+1),6)),"")</f>
        <v/>
      </c>
      <c r="E337" s="131" t="str">
        <f t="array" ref="E337">IFERROR(INDEX('Teacher Calendar'!$H$1096:$H$1105,SMALL(IF(('Teacher Calendar'!$H$1096:$H$1105&lt;&gt;"")*('Teacher Calendar'!$H$1096:$H$1105&lt;&gt;0),ROW('Teacher Calendar'!$H$1096:$H$1105)-ROW('Teacher Calendar'!$H$1096)+1),6)),"")</f>
        <v/>
      </c>
    </row>
    <row r="338" ht="15.75" customHeight="1">
      <c r="A338" s="131" t="str">
        <f t="array" ref="A338">IFERROR(INDEX('Teacher Calendar'!$D$1096:$D$1105,SMALL(IF(('Teacher Calendar'!$D$1096:$D$1105&lt;&gt;"")*('Teacher Calendar'!$D$1096:$D$1105&lt;&gt;0),ROW('Teacher Calendar'!$D$1096:$D$1105)-ROW('Teacher Calendar'!$D$1096)+1),7)),"")</f>
        <v/>
      </c>
      <c r="B338" s="131" t="str">
        <f t="array" ref="B338">IFERROR(INDEX('Teacher Calendar'!$E$1096:$E$1105,SMALL(IF(('Teacher Calendar'!$E$1096:$E$1105&lt;&gt;"")*('Teacher Calendar'!$E$1096:$E$1105&lt;&gt;0),ROW('Teacher Calendar'!$E$1096:$E$1105)-ROW('Teacher Calendar'!$E$1096)+1),7)),"")</f>
        <v/>
      </c>
      <c r="C338" s="131" t="str">
        <f t="array" ref="C338">IFERROR(INDEX('Teacher Calendar'!$F$1096:$F$1105,SMALL(IF(('Teacher Calendar'!$F$1096:$F$1105&lt;&gt;"")*('Teacher Calendar'!$F$1096:$F$1105&lt;&gt;0),ROW('Teacher Calendar'!$F$1096:$F$1105)-ROW('Teacher Calendar'!$F$1096)+1),7)),"")</f>
        <v/>
      </c>
      <c r="D338" s="131" t="str">
        <f t="array" ref="D338">IFERROR(INDEX('Teacher Calendar'!$G$1096:$G$1105,SMALL(IF(('Teacher Calendar'!$G$1096:$G$1105&lt;&gt;"")*('Teacher Calendar'!$G$1096:$G$1105&lt;&gt;0),ROW('Teacher Calendar'!$G$1096:$G$1105)-ROW('Teacher Calendar'!$G$1096)+1),7)),"")</f>
        <v/>
      </c>
      <c r="E338" s="131" t="str">
        <f t="array" ref="E338">IFERROR(INDEX('Teacher Calendar'!$H$1096:$H$1105,SMALL(IF(('Teacher Calendar'!$H$1096:$H$1105&lt;&gt;"")*('Teacher Calendar'!$H$1096:$H$1105&lt;&gt;0),ROW('Teacher Calendar'!$H$1096:$H$1105)-ROW('Teacher Calendar'!$H$1096)+1),7)),"")</f>
        <v/>
      </c>
    </row>
    <row r="339" ht="15.75" customHeight="1">
      <c r="A339" s="146">
        <f>'Teacher Calendar'!D1122</f>
        <v>46552</v>
      </c>
      <c r="B339" s="146">
        <f>'Teacher Calendar'!E1122</f>
        <v>46553</v>
      </c>
      <c r="C339" s="146">
        <f>'Teacher Calendar'!F1122</f>
        <v>46554</v>
      </c>
      <c r="D339" s="146">
        <f>'Teacher Calendar'!G1122</f>
        <v>46555</v>
      </c>
      <c r="E339" s="146">
        <f>'Teacher Calendar'!H1122</f>
        <v>46556</v>
      </c>
    </row>
    <row r="340" ht="15.75" customHeight="1">
      <c r="A340" s="131" t="str">
        <f t="array" ref="A340">IFERROR(INDEX('Teacher Calendar'!$D$1123:$D$1132,SMALL(IF(('Teacher Calendar'!$D$1123:$D$1132&lt;&gt;"")*('Teacher Calendar'!$D$1123:$D$1132&lt;&gt;0),ROW('Teacher Calendar'!$D$1123:$D$1132)-ROW('Teacher Calendar'!$D$1123)+1),1)),"")</f>
        <v/>
      </c>
      <c r="B340" s="131" t="str">
        <f t="array" ref="B340">IFERROR(INDEX('Teacher Calendar'!$E$1123:$E$1132,SMALL(IF(('Teacher Calendar'!$E$1123:$E$1132&lt;&gt;"")*('Teacher Calendar'!$E$1123:$E$1132&lt;&gt;0),ROW('Teacher Calendar'!$E$1123:$E$1132)-ROW('Teacher Calendar'!$E$1123)+1),1)),"")</f>
        <v/>
      </c>
      <c r="C340" s="131" t="str">
        <f t="array" ref="C340">IFERROR(INDEX('Teacher Calendar'!$F$1123:$F$1132,SMALL(IF(('Teacher Calendar'!$F$1123:$F$1132&lt;&gt;"")*('Teacher Calendar'!$F$1123:$F$1132&lt;&gt;0),ROW('Teacher Calendar'!$F$1123:$F$1132)-ROW('Teacher Calendar'!$F$1123)+1),1)),"")</f>
        <v/>
      </c>
      <c r="D340" s="131" t="str">
        <f t="array" ref="D340">IFERROR(INDEX('Teacher Calendar'!$G$1123:$G$1132,SMALL(IF(('Teacher Calendar'!$G$1123:$G$1132&lt;&gt;"")*('Teacher Calendar'!$G$1123:$G$1132&lt;&gt;0),ROW('Teacher Calendar'!$G$1123:$G$1132)-ROW('Teacher Calendar'!$G$1123)+1),1)),"")</f>
        <v/>
      </c>
      <c r="E340" s="131" t="str">
        <f t="array" ref="E340">IFERROR(INDEX('Teacher Calendar'!$H$1123:$H$1132,SMALL(IF(('Teacher Calendar'!$H$1123:$H$1132&lt;&gt;"")*('Teacher Calendar'!$H$1123:$H$1132&lt;&gt;0),ROW('Teacher Calendar'!$H$1123:$H$1132)-ROW('Teacher Calendar'!$H$1123)+1),1)),"")</f>
        <v/>
      </c>
    </row>
    <row r="341" ht="15.75" customHeight="1">
      <c r="A341" s="131" t="str">
        <f t="array" ref="A341">IFERROR(INDEX('Teacher Calendar'!$D$1123:$D$1132,SMALL(IF(('Teacher Calendar'!$D$1123:$D$1132&lt;&gt;"")*('Teacher Calendar'!$D$1123:$D$1132&lt;&gt;0),ROW('Teacher Calendar'!$D$1123:$D$1132)-ROW('Teacher Calendar'!$D$1123)+1),2)),"")</f>
        <v/>
      </c>
      <c r="B341" s="131" t="str">
        <f t="array" ref="B341">IFERROR(INDEX('Teacher Calendar'!$E$1123:$E$1132,SMALL(IF(('Teacher Calendar'!$E$1123:$E$1132&lt;&gt;"")*('Teacher Calendar'!$E$1123:$E$1132&lt;&gt;0),ROW('Teacher Calendar'!$E$1123:$E$1132)-ROW('Teacher Calendar'!$E$1123)+1),2)),"")</f>
        <v/>
      </c>
      <c r="C341" s="131" t="str">
        <f t="array" ref="C341">IFERROR(INDEX('Teacher Calendar'!$F$1123:$F$1132,SMALL(IF(('Teacher Calendar'!$F$1123:$F$1132&lt;&gt;"")*('Teacher Calendar'!$F$1123:$F$1132&lt;&gt;0),ROW('Teacher Calendar'!$F$1123:$F$1132)-ROW('Teacher Calendar'!$F$1123)+1),2)),"")</f>
        <v/>
      </c>
      <c r="D341" s="131" t="str">
        <f t="array" ref="D341">IFERROR(INDEX('Teacher Calendar'!$G$1123:$G$1132,SMALL(IF(('Teacher Calendar'!$G$1123:$G$1132&lt;&gt;"")*('Teacher Calendar'!$G$1123:$G$1132&lt;&gt;0),ROW('Teacher Calendar'!$G$1123:$G$1132)-ROW('Teacher Calendar'!$G$1123)+1),2)),"")</f>
        <v/>
      </c>
      <c r="E341" s="131" t="str">
        <f t="array" ref="E341">IFERROR(INDEX('Teacher Calendar'!$H$1123:$H$1132,SMALL(IF(('Teacher Calendar'!$H$1123:$H$1132&lt;&gt;"")*('Teacher Calendar'!$H$1123:$H$1132&lt;&gt;0),ROW('Teacher Calendar'!$H$1123:$H$1132)-ROW('Teacher Calendar'!$H$1123)+1),2)),"")</f>
        <v/>
      </c>
    </row>
    <row r="342" ht="15.75" customHeight="1">
      <c r="A342" s="131" t="str">
        <f t="array" ref="A342">IFERROR(INDEX('Teacher Calendar'!$D$1123:$D$1132,SMALL(IF(('Teacher Calendar'!$D$1123:$D$1132&lt;&gt;"")*('Teacher Calendar'!$D$1123:$D$1132&lt;&gt;0),ROW('Teacher Calendar'!$D$1123:$D$1132)-ROW('Teacher Calendar'!$D$1123)+1),3)),"")</f>
        <v/>
      </c>
      <c r="B342" s="131" t="str">
        <f t="array" ref="B342">IFERROR(INDEX('Teacher Calendar'!$E$1123:$E$1132,SMALL(IF(('Teacher Calendar'!$E$1123:$E$1132&lt;&gt;"")*('Teacher Calendar'!$E$1123:$E$1132&lt;&gt;0),ROW('Teacher Calendar'!$E$1123:$E$1132)-ROW('Teacher Calendar'!$E$1123)+1),3)),"")</f>
        <v/>
      </c>
      <c r="C342" s="131" t="str">
        <f t="array" ref="C342">IFERROR(INDEX('Teacher Calendar'!$F$1123:$F$1132,SMALL(IF(('Teacher Calendar'!$F$1123:$F$1132&lt;&gt;"")*('Teacher Calendar'!$F$1123:$F$1132&lt;&gt;0),ROW('Teacher Calendar'!$F$1123:$F$1132)-ROW('Teacher Calendar'!$F$1123)+1),3)),"")</f>
        <v/>
      </c>
      <c r="D342" s="131" t="str">
        <f t="array" ref="D342">IFERROR(INDEX('Teacher Calendar'!$G$1123:$G$1132,SMALL(IF(('Teacher Calendar'!$G$1123:$G$1132&lt;&gt;"")*('Teacher Calendar'!$G$1123:$G$1132&lt;&gt;0),ROW('Teacher Calendar'!$G$1123:$G$1132)-ROW('Teacher Calendar'!$G$1123)+1),3)),"")</f>
        <v/>
      </c>
      <c r="E342" s="131" t="str">
        <f t="array" ref="E342">IFERROR(INDEX('Teacher Calendar'!$H$1123:$H$1132,SMALL(IF(('Teacher Calendar'!$H$1123:$H$1132&lt;&gt;"")*('Teacher Calendar'!$H$1123:$H$1132&lt;&gt;0),ROW('Teacher Calendar'!$H$1123:$H$1132)-ROW('Teacher Calendar'!$H$1123)+1),3)),"")</f>
        <v/>
      </c>
    </row>
    <row r="343" ht="15.75" customHeight="1">
      <c r="A343" s="131" t="str">
        <f t="array" ref="A343">IFERROR(INDEX('Teacher Calendar'!$D$1123:$D$1132,SMALL(IF(('Teacher Calendar'!$D$1123:$D$1132&lt;&gt;"")*('Teacher Calendar'!$D$1123:$D$1132&lt;&gt;0),ROW('Teacher Calendar'!$D$1123:$D$1132)-ROW('Teacher Calendar'!$D$1123)+1),4)),"")</f>
        <v/>
      </c>
      <c r="B343" s="131" t="str">
        <f t="array" ref="B343">IFERROR(INDEX('Teacher Calendar'!$E$1123:$E$1132,SMALL(IF(('Teacher Calendar'!$E$1123:$E$1132&lt;&gt;"")*('Teacher Calendar'!$E$1123:$E$1132&lt;&gt;0),ROW('Teacher Calendar'!$E$1123:$E$1132)-ROW('Teacher Calendar'!$E$1123)+1),4)),"")</f>
        <v/>
      </c>
      <c r="C343" s="131" t="str">
        <f t="array" ref="C343">IFERROR(INDEX('Teacher Calendar'!$F$1123:$F$1132,SMALL(IF(('Teacher Calendar'!$F$1123:$F$1132&lt;&gt;"")*('Teacher Calendar'!$F$1123:$F$1132&lt;&gt;0),ROW('Teacher Calendar'!$F$1123:$F$1132)-ROW('Teacher Calendar'!$F$1123)+1),4)),"")</f>
        <v/>
      </c>
      <c r="D343" s="131" t="str">
        <f t="array" ref="D343">IFERROR(INDEX('Teacher Calendar'!$G$1123:$G$1132,SMALL(IF(('Teacher Calendar'!$G$1123:$G$1132&lt;&gt;"")*('Teacher Calendar'!$G$1123:$G$1132&lt;&gt;0),ROW('Teacher Calendar'!$G$1123:$G$1132)-ROW('Teacher Calendar'!$G$1123)+1),4)),"")</f>
        <v/>
      </c>
      <c r="E343" s="131" t="str">
        <f t="array" ref="E343">IFERROR(INDEX('Teacher Calendar'!$H$1123:$H$1132,SMALL(IF(('Teacher Calendar'!$H$1123:$H$1132&lt;&gt;"")*('Teacher Calendar'!$H$1123:$H$1132&lt;&gt;0),ROW('Teacher Calendar'!$H$1123:$H$1132)-ROW('Teacher Calendar'!$H$1123)+1),4)),"")</f>
        <v/>
      </c>
    </row>
    <row r="344" ht="15.75" customHeight="1">
      <c r="A344" s="131" t="str">
        <f t="array" ref="A344">IFERROR(INDEX('Teacher Calendar'!$D$1123:$D$1132,SMALL(IF(('Teacher Calendar'!$D$1123:$D$1132&lt;&gt;"")*('Teacher Calendar'!$D$1123:$D$1132&lt;&gt;0),ROW('Teacher Calendar'!$D$1123:$D$1132)-ROW('Teacher Calendar'!$D$1123)+1),5)),"")</f>
        <v/>
      </c>
      <c r="B344" s="131" t="str">
        <f t="array" ref="B344">IFERROR(INDEX('Teacher Calendar'!$E$1123:$E$1132,SMALL(IF(('Teacher Calendar'!$E$1123:$E$1132&lt;&gt;"")*('Teacher Calendar'!$E$1123:$E$1132&lt;&gt;0),ROW('Teacher Calendar'!$E$1123:$E$1132)-ROW('Teacher Calendar'!$E$1123)+1),5)),"")</f>
        <v/>
      </c>
      <c r="C344" s="131" t="str">
        <f t="array" ref="C344">IFERROR(INDEX('Teacher Calendar'!$F$1123:$F$1132,SMALL(IF(('Teacher Calendar'!$F$1123:$F$1132&lt;&gt;"")*('Teacher Calendar'!$F$1123:$F$1132&lt;&gt;0),ROW('Teacher Calendar'!$F$1123:$F$1132)-ROW('Teacher Calendar'!$F$1123)+1),5)),"")</f>
        <v/>
      </c>
      <c r="D344" s="131" t="str">
        <f t="array" ref="D344">IFERROR(INDEX('Teacher Calendar'!$G$1123:$G$1132,SMALL(IF(('Teacher Calendar'!$G$1123:$G$1132&lt;&gt;"")*('Teacher Calendar'!$G$1123:$G$1132&lt;&gt;0),ROW('Teacher Calendar'!$G$1123:$G$1132)-ROW('Teacher Calendar'!$G$1123)+1),5)),"")</f>
        <v/>
      </c>
      <c r="E344" s="131" t="str">
        <f t="array" ref="E344">IFERROR(INDEX('Teacher Calendar'!$H$1123:$H$1132,SMALL(IF(('Teacher Calendar'!$H$1123:$H$1132&lt;&gt;"")*('Teacher Calendar'!$H$1123:$H$1132&lt;&gt;0),ROW('Teacher Calendar'!$H$1123:$H$1132)-ROW('Teacher Calendar'!$H$1123)+1),5)),"")</f>
        <v/>
      </c>
    </row>
    <row r="345" ht="15.75" customHeight="1">
      <c r="A345" s="131" t="str">
        <f t="array" ref="A345">IFERROR(INDEX('Teacher Calendar'!$D$1123:$D$1132,SMALL(IF(('Teacher Calendar'!$D$1123:$D$1132&lt;&gt;"")*('Teacher Calendar'!$D$1123:$D$1132&lt;&gt;0),ROW('Teacher Calendar'!$D$1123:$D$1132)-ROW('Teacher Calendar'!$D$1123)+1),6)),"")</f>
        <v/>
      </c>
      <c r="B345" s="131" t="str">
        <f t="array" ref="B345">IFERROR(INDEX('Teacher Calendar'!$E$1123:$E$1132,SMALL(IF(('Teacher Calendar'!$E$1123:$E$1132&lt;&gt;"")*('Teacher Calendar'!$E$1123:$E$1132&lt;&gt;0),ROW('Teacher Calendar'!$E$1123:$E$1132)-ROW('Teacher Calendar'!$E$1123)+1),6)),"")</f>
        <v/>
      </c>
      <c r="C345" s="131" t="str">
        <f t="array" ref="C345">IFERROR(INDEX('Teacher Calendar'!$F$1123:$F$1132,SMALL(IF(('Teacher Calendar'!$F$1123:$F$1132&lt;&gt;"")*('Teacher Calendar'!$F$1123:$F$1132&lt;&gt;0),ROW('Teacher Calendar'!$F$1123:$F$1132)-ROW('Teacher Calendar'!$F$1123)+1),6)),"")</f>
        <v/>
      </c>
      <c r="D345" s="131" t="str">
        <f t="array" ref="D345">IFERROR(INDEX('Teacher Calendar'!$G$1123:$G$1132,SMALL(IF(('Teacher Calendar'!$G$1123:$G$1132&lt;&gt;"")*('Teacher Calendar'!$G$1123:$G$1132&lt;&gt;0),ROW('Teacher Calendar'!$G$1123:$G$1132)-ROW('Teacher Calendar'!$G$1123)+1),6)),"")</f>
        <v/>
      </c>
      <c r="E345" s="131" t="str">
        <f t="array" ref="E345">IFERROR(INDEX('Teacher Calendar'!$H$1123:$H$1132,SMALL(IF(('Teacher Calendar'!$H$1123:$H$1132&lt;&gt;"")*('Teacher Calendar'!$H$1123:$H$1132&lt;&gt;0),ROW('Teacher Calendar'!$H$1123:$H$1132)-ROW('Teacher Calendar'!$H$1123)+1),6)),"")</f>
        <v/>
      </c>
    </row>
    <row r="346" ht="15.75" customHeight="1">
      <c r="A346" s="131" t="str">
        <f t="array" ref="A346">IFERROR(INDEX('Teacher Calendar'!$D$1123:$D$1132,SMALL(IF(('Teacher Calendar'!$D$1123:$D$1132&lt;&gt;"")*('Teacher Calendar'!$D$1123:$D$1132&lt;&gt;0),ROW('Teacher Calendar'!$D$1123:$D$1132)-ROW('Teacher Calendar'!$D$1123)+1),7)),"")</f>
        <v/>
      </c>
      <c r="B346" s="131" t="str">
        <f t="array" ref="B346">IFERROR(INDEX('Teacher Calendar'!$E$1123:$E$1132,SMALL(IF(('Teacher Calendar'!$E$1123:$E$1132&lt;&gt;"")*('Teacher Calendar'!$E$1123:$E$1132&lt;&gt;0),ROW('Teacher Calendar'!$E$1123:$E$1132)-ROW('Teacher Calendar'!$E$1123)+1),7)),"")</f>
        <v/>
      </c>
      <c r="C346" s="131" t="str">
        <f t="array" ref="C346">IFERROR(INDEX('Teacher Calendar'!$F$1123:$F$1132,SMALL(IF(('Teacher Calendar'!$F$1123:$F$1132&lt;&gt;"")*('Teacher Calendar'!$F$1123:$F$1132&lt;&gt;0),ROW('Teacher Calendar'!$F$1123:$F$1132)-ROW('Teacher Calendar'!$F$1123)+1),7)),"")</f>
        <v/>
      </c>
      <c r="D346" s="131" t="str">
        <f t="array" ref="D346">IFERROR(INDEX('Teacher Calendar'!$G$1123:$G$1132,SMALL(IF(('Teacher Calendar'!$G$1123:$G$1132&lt;&gt;"")*('Teacher Calendar'!$G$1123:$G$1132&lt;&gt;0),ROW('Teacher Calendar'!$G$1123:$G$1132)-ROW('Teacher Calendar'!$G$1123)+1),7)),"")</f>
        <v/>
      </c>
      <c r="E346" s="131" t="str">
        <f t="array" ref="E346">IFERROR(INDEX('Teacher Calendar'!$H$1123:$H$1132,SMALL(IF(('Teacher Calendar'!$H$1123:$H$1132&lt;&gt;"")*('Teacher Calendar'!$H$1123:$H$1132&lt;&gt;0),ROW('Teacher Calendar'!$H$1123:$H$1132)-ROW('Teacher Calendar'!$H$1123)+1),7)),"")</f>
        <v/>
      </c>
    </row>
    <row r="347" ht="15.75" customHeight="1">
      <c r="A347" s="146">
        <f>'Teacher Calendar'!D1149</f>
        <v>46559</v>
      </c>
      <c r="B347" s="146">
        <f>'Teacher Calendar'!E1149</f>
        <v>46560</v>
      </c>
      <c r="C347" s="146">
        <f>'Teacher Calendar'!F1149</f>
        <v>46561</v>
      </c>
      <c r="D347" s="146">
        <f>'Teacher Calendar'!G1149</f>
        <v>46562</v>
      </c>
      <c r="E347" s="146">
        <f>'Teacher Calendar'!H1149</f>
        <v>46563</v>
      </c>
    </row>
    <row r="348" ht="15.75" customHeight="1">
      <c r="A348" s="131" t="str">
        <f t="array" ref="A348">IFERROR(INDEX('Teacher Calendar'!$D$1150:$D$1159,SMALL(IF(('Teacher Calendar'!$D$1150:$D$1159&lt;&gt;"")*('Teacher Calendar'!$D$1150:$D$1159&lt;&gt;0),ROW('Teacher Calendar'!$D$1150:$D$1159)-ROW('Teacher Calendar'!$D$1150)+1),1)),"")</f>
        <v/>
      </c>
      <c r="B348" s="131" t="str">
        <f t="array" ref="B348">IFERROR(INDEX('Teacher Calendar'!$E$1150:$E$1159,SMALL(IF(('Teacher Calendar'!$E$1150:$E$1159&lt;&gt;"")*('Teacher Calendar'!$E$1150:$E$1159&lt;&gt;0),ROW('Teacher Calendar'!$E$1150:$E$1159)-ROW('Teacher Calendar'!$E$1150)+1),1)),"")</f>
        <v/>
      </c>
      <c r="C348" s="131" t="str">
        <f t="array" ref="C348">IFERROR(INDEX('Teacher Calendar'!$F$1150:$F$1159,SMALL(IF(('Teacher Calendar'!$F$1150:$F$1159&lt;&gt;"")*('Teacher Calendar'!$F$1150:$F$1159&lt;&gt;0),ROW('Teacher Calendar'!$F$1150:$F$1159)-ROW('Teacher Calendar'!$F$1150)+1),1)),"")</f>
        <v/>
      </c>
      <c r="D348" s="131" t="str">
        <f t="array" ref="D348">IFERROR(INDEX('Teacher Calendar'!$G$1150:$G$1159,SMALL(IF(('Teacher Calendar'!$G$1150:$G$1159&lt;&gt;"")*('Teacher Calendar'!$G$1150:$G$1159&lt;&gt;0),ROW('Teacher Calendar'!$G$1150:$G$1159)-ROW('Teacher Calendar'!$G$1150)+1),1)),"")</f>
        <v/>
      </c>
      <c r="E348" s="131" t="str">
        <f t="array" ref="E348">IFERROR(INDEX('Teacher Calendar'!$H$1150:$H$1159,SMALL(IF(('Teacher Calendar'!$H$1150:$H$1159&lt;&gt;"")*('Teacher Calendar'!$H$1150:$H$1159&lt;&gt;0),ROW('Teacher Calendar'!$H$1150:$H$1159)-ROW('Teacher Calendar'!$H$1150)+1),1)),"")</f>
        <v/>
      </c>
    </row>
    <row r="349" ht="15.75" customHeight="1">
      <c r="A349" s="131" t="str">
        <f t="array" ref="A349">IFERROR(INDEX('Teacher Calendar'!$D$1150:$D$1159,SMALL(IF(('Teacher Calendar'!$D$1150:$D$1159&lt;&gt;"")*('Teacher Calendar'!$D$1150:$D$1159&lt;&gt;0),ROW('Teacher Calendar'!$D$1150:$D$1159)-ROW('Teacher Calendar'!$D$1150)+1),2)),"")</f>
        <v/>
      </c>
      <c r="B349" s="131" t="str">
        <f t="array" ref="B349">IFERROR(INDEX('Teacher Calendar'!$E$1150:$E$1159,SMALL(IF(('Teacher Calendar'!$E$1150:$E$1159&lt;&gt;"")*('Teacher Calendar'!$E$1150:$E$1159&lt;&gt;0),ROW('Teacher Calendar'!$E$1150:$E$1159)-ROW('Teacher Calendar'!$E$1150)+1),2)),"")</f>
        <v/>
      </c>
      <c r="C349" s="131" t="str">
        <f t="array" ref="C349">IFERROR(INDEX('Teacher Calendar'!$F$1150:$F$1159,SMALL(IF(('Teacher Calendar'!$F$1150:$F$1159&lt;&gt;"")*('Teacher Calendar'!$F$1150:$F$1159&lt;&gt;0),ROW('Teacher Calendar'!$F$1150:$F$1159)-ROW('Teacher Calendar'!$F$1150)+1),2)),"")</f>
        <v/>
      </c>
      <c r="D349" s="131" t="str">
        <f t="array" ref="D349">IFERROR(INDEX('Teacher Calendar'!$G$1150:$G$1159,SMALL(IF(('Teacher Calendar'!$G$1150:$G$1159&lt;&gt;"")*('Teacher Calendar'!$G$1150:$G$1159&lt;&gt;0),ROW('Teacher Calendar'!$G$1150:$G$1159)-ROW('Teacher Calendar'!$G$1150)+1),2)),"")</f>
        <v/>
      </c>
      <c r="E349" s="131" t="str">
        <f t="array" ref="E349">IFERROR(INDEX('Teacher Calendar'!$H$1150:$H$1159,SMALL(IF(('Teacher Calendar'!$H$1150:$H$1159&lt;&gt;"")*('Teacher Calendar'!$H$1150:$H$1159&lt;&gt;0),ROW('Teacher Calendar'!$H$1150:$H$1159)-ROW('Teacher Calendar'!$H$1150)+1),2)),"")</f>
        <v/>
      </c>
    </row>
    <row r="350" ht="15.75" customHeight="1">
      <c r="A350" s="131" t="str">
        <f t="array" ref="A350">IFERROR(INDEX('Teacher Calendar'!$D$1150:$D$1159,SMALL(IF(('Teacher Calendar'!$D$1150:$D$1159&lt;&gt;"")*('Teacher Calendar'!$D$1150:$D$1159&lt;&gt;0),ROW('Teacher Calendar'!$D$1150:$D$1159)-ROW('Teacher Calendar'!$D$1150)+1),3)),"")</f>
        <v/>
      </c>
      <c r="B350" s="131" t="str">
        <f t="array" ref="B350">IFERROR(INDEX('Teacher Calendar'!$E$1150:$E$1159,SMALL(IF(('Teacher Calendar'!$E$1150:$E$1159&lt;&gt;"")*('Teacher Calendar'!$E$1150:$E$1159&lt;&gt;0),ROW('Teacher Calendar'!$E$1150:$E$1159)-ROW('Teacher Calendar'!$E$1150)+1),3)),"")</f>
        <v/>
      </c>
      <c r="C350" s="131" t="str">
        <f t="array" ref="C350">IFERROR(INDEX('Teacher Calendar'!$F$1150:$F$1159,SMALL(IF(('Teacher Calendar'!$F$1150:$F$1159&lt;&gt;"")*('Teacher Calendar'!$F$1150:$F$1159&lt;&gt;0),ROW('Teacher Calendar'!$F$1150:$F$1159)-ROW('Teacher Calendar'!$F$1150)+1),3)),"")</f>
        <v/>
      </c>
      <c r="D350" s="131" t="str">
        <f t="array" ref="D350">IFERROR(INDEX('Teacher Calendar'!$G$1150:$G$1159,SMALL(IF(('Teacher Calendar'!$G$1150:$G$1159&lt;&gt;"")*('Teacher Calendar'!$G$1150:$G$1159&lt;&gt;0),ROW('Teacher Calendar'!$G$1150:$G$1159)-ROW('Teacher Calendar'!$G$1150)+1),3)),"")</f>
        <v/>
      </c>
      <c r="E350" s="131" t="str">
        <f t="array" ref="E350">IFERROR(INDEX('Teacher Calendar'!$H$1150:$H$1159,SMALL(IF(('Teacher Calendar'!$H$1150:$H$1159&lt;&gt;"")*('Teacher Calendar'!$H$1150:$H$1159&lt;&gt;0),ROW('Teacher Calendar'!$H$1150:$H$1159)-ROW('Teacher Calendar'!$H$1150)+1),3)),"")</f>
        <v/>
      </c>
    </row>
    <row r="351" ht="15.75" customHeight="1">
      <c r="A351" s="131" t="str">
        <f t="array" ref="A351">IFERROR(INDEX('Teacher Calendar'!$D$1150:$D$1159,SMALL(IF(('Teacher Calendar'!$D$1150:$D$1159&lt;&gt;"")*('Teacher Calendar'!$D$1150:$D$1159&lt;&gt;0),ROW('Teacher Calendar'!$D$1150:$D$1159)-ROW('Teacher Calendar'!$D$1150)+1),4)),"")</f>
        <v/>
      </c>
      <c r="B351" s="131" t="str">
        <f t="array" ref="B351">IFERROR(INDEX('Teacher Calendar'!$E$1150:$E$1159,SMALL(IF(('Teacher Calendar'!$E$1150:$E$1159&lt;&gt;"")*('Teacher Calendar'!$E$1150:$E$1159&lt;&gt;0),ROW('Teacher Calendar'!$E$1150:$E$1159)-ROW('Teacher Calendar'!$E$1150)+1),4)),"")</f>
        <v/>
      </c>
      <c r="C351" s="131" t="str">
        <f t="array" ref="C351">IFERROR(INDEX('Teacher Calendar'!$F$1150:$F$1159,SMALL(IF(('Teacher Calendar'!$F$1150:$F$1159&lt;&gt;"")*('Teacher Calendar'!$F$1150:$F$1159&lt;&gt;0),ROW('Teacher Calendar'!$F$1150:$F$1159)-ROW('Teacher Calendar'!$F$1150)+1),4)),"")</f>
        <v/>
      </c>
      <c r="D351" s="131" t="str">
        <f t="array" ref="D351">IFERROR(INDEX('Teacher Calendar'!$G$1150:$G$1159,SMALL(IF(('Teacher Calendar'!$G$1150:$G$1159&lt;&gt;"")*('Teacher Calendar'!$G$1150:$G$1159&lt;&gt;0),ROW('Teacher Calendar'!$G$1150:$G$1159)-ROW('Teacher Calendar'!$G$1150)+1),4)),"")</f>
        <v/>
      </c>
      <c r="E351" s="131" t="str">
        <f t="array" ref="E351">IFERROR(INDEX('Teacher Calendar'!$H$1150:$H$1159,SMALL(IF(('Teacher Calendar'!$H$1150:$H$1159&lt;&gt;"")*('Teacher Calendar'!$H$1150:$H$1159&lt;&gt;0),ROW('Teacher Calendar'!$H$1150:$H$1159)-ROW('Teacher Calendar'!$H$1150)+1),4)),"")</f>
        <v/>
      </c>
    </row>
    <row r="352" ht="15.75" customHeight="1">
      <c r="A352" s="131" t="str">
        <f t="array" ref="A352">IFERROR(INDEX('Teacher Calendar'!$D$1150:$D$1159,SMALL(IF(('Teacher Calendar'!$D$1150:$D$1159&lt;&gt;"")*('Teacher Calendar'!$D$1150:$D$1159&lt;&gt;0),ROW('Teacher Calendar'!$D$1150:$D$1159)-ROW('Teacher Calendar'!$D$1150)+1),5)),"")</f>
        <v/>
      </c>
      <c r="B352" s="131" t="str">
        <f t="array" ref="B352">IFERROR(INDEX('Teacher Calendar'!$E$1150:$E$1159,SMALL(IF(('Teacher Calendar'!$E$1150:$E$1159&lt;&gt;"")*('Teacher Calendar'!$E$1150:$E$1159&lt;&gt;0),ROW('Teacher Calendar'!$E$1150:$E$1159)-ROW('Teacher Calendar'!$E$1150)+1),5)),"")</f>
        <v/>
      </c>
      <c r="C352" s="131" t="str">
        <f t="array" ref="C352">IFERROR(INDEX('Teacher Calendar'!$F$1150:$F$1159,SMALL(IF(('Teacher Calendar'!$F$1150:$F$1159&lt;&gt;"")*('Teacher Calendar'!$F$1150:$F$1159&lt;&gt;0),ROW('Teacher Calendar'!$F$1150:$F$1159)-ROW('Teacher Calendar'!$F$1150)+1),5)),"")</f>
        <v/>
      </c>
      <c r="D352" s="131" t="str">
        <f t="array" ref="D352">IFERROR(INDEX('Teacher Calendar'!$G$1150:$G$1159,SMALL(IF(('Teacher Calendar'!$G$1150:$G$1159&lt;&gt;"")*('Teacher Calendar'!$G$1150:$G$1159&lt;&gt;0),ROW('Teacher Calendar'!$G$1150:$G$1159)-ROW('Teacher Calendar'!$G$1150)+1),5)),"")</f>
        <v/>
      </c>
      <c r="E352" s="131" t="str">
        <f t="array" ref="E352">IFERROR(INDEX('Teacher Calendar'!$H$1150:$H$1159,SMALL(IF(('Teacher Calendar'!$H$1150:$H$1159&lt;&gt;"")*('Teacher Calendar'!$H$1150:$H$1159&lt;&gt;0),ROW('Teacher Calendar'!$H$1150:$H$1159)-ROW('Teacher Calendar'!$H$1150)+1),5)),"")</f>
        <v/>
      </c>
    </row>
    <row r="353" ht="15.75" customHeight="1">
      <c r="A353" s="131" t="str">
        <f t="array" ref="A353">IFERROR(INDEX('Teacher Calendar'!$D$1150:$D$1159,SMALL(IF(('Teacher Calendar'!$D$1150:$D$1159&lt;&gt;"")*('Teacher Calendar'!$D$1150:$D$1159&lt;&gt;0),ROW('Teacher Calendar'!$D$1150:$D$1159)-ROW('Teacher Calendar'!$D$1150)+1),6)),"")</f>
        <v/>
      </c>
      <c r="B353" s="131" t="str">
        <f t="array" ref="B353">IFERROR(INDEX('Teacher Calendar'!$E$1150:$E$1159,SMALL(IF(('Teacher Calendar'!$E$1150:$E$1159&lt;&gt;"")*('Teacher Calendar'!$E$1150:$E$1159&lt;&gt;0),ROW('Teacher Calendar'!$E$1150:$E$1159)-ROW('Teacher Calendar'!$E$1150)+1),6)),"")</f>
        <v/>
      </c>
      <c r="C353" s="131" t="str">
        <f t="array" ref="C353">IFERROR(INDEX('Teacher Calendar'!$F$1150:$F$1159,SMALL(IF(('Teacher Calendar'!$F$1150:$F$1159&lt;&gt;"")*('Teacher Calendar'!$F$1150:$F$1159&lt;&gt;0),ROW('Teacher Calendar'!$F$1150:$F$1159)-ROW('Teacher Calendar'!$F$1150)+1),6)),"")</f>
        <v/>
      </c>
      <c r="D353" s="131" t="str">
        <f t="array" ref="D353">IFERROR(INDEX('Teacher Calendar'!$G$1150:$G$1159,SMALL(IF(('Teacher Calendar'!$G$1150:$G$1159&lt;&gt;"")*('Teacher Calendar'!$G$1150:$G$1159&lt;&gt;0),ROW('Teacher Calendar'!$G$1150:$G$1159)-ROW('Teacher Calendar'!$G$1150)+1),6)),"")</f>
        <v/>
      </c>
      <c r="E353" s="131" t="str">
        <f t="array" ref="E353">IFERROR(INDEX('Teacher Calendar'!$H$1150:$H$1159,SMALL(IF(('Teacher Calendar'!$H$1150:$H$1159&lt;&gt;"")*('Teacher Calendar'!$H$1150:$H$1159&lt;&gt;0),ROW('Teacher Calendar'!$H$1150:$H$1159)-ROW('Teacher Calendar'!$H$1150)+1),6)),"")</f>
        <v/>
      </c>
    </row>
    <row r="354" ht="15.75" customHeight="1">
      <c r="A354" s="131" t="str">
        <f t="array" ref="A354">IFERROR(INDEX('Teacher Calendar'!$D$1150:$D$1159,SMALL(IF(('Teacher Calendar'!$D$1150:$D$1159&lt;&gt;"")*('Teacher Calendar'!$D$1150:$D$1159&lt;&gt;0),ROW('Teacher Calendar'!$D$1150:$D$1159)-ROW('Teacher Calendar'!$D$1150)+1),7)),"")</f>
        <v/>
      </c>
      <c r="B354" s="131" t="str">
        <f t="array" ref="B354">IFERROR(INDEX('Teacher Calendar'!$E$1150:$E$1159,SMALL(IF(('Teacher Calendar'!$E$1150:$E$1159&lt;&gt;"")*('Teacher Calendar'!$E$1150:$E$1159&lt;&gt;0),ROW('Teacher Calendar'!$E$1150:$E$1159)-ROW('Teacher Calendar'!$E$1150)+1),7)),"")</f>
        <v/>
      </c>
      <c r="C354" s="131" t="str">
        <f t="array" ref="C354">IFERROR(INDEX('Teacher Calendar'!$F$1150:$F$1159,SMALL(IF(('Teacher Calendar'!$F$1150:$F$1159&lt;&gt;"")*('Teacher Calendar'!$F$1150:$F$1159&lt;&gt;0),ROW('Teacher Calendar'!$F$1150:$F$1159)-ROW('Teacher Calendar'!$F$1150)+1),7)),"")</f>
        <v/>
      </c>
      <c r="D354" s="131" t="str">
        <f t="array" ref="D354">IFERROR(INDEX('Teacher Calendar'!$G$1150:$G$1159,SMALL(IF(('Teacher Calendar'!$G$1150:$G$1159&lt;&gt;"")*('Teacher Calendar'!$G$1150:$G$1159&lt;&gt;0),ROW('Teacher Calendar'!$G$1150:$G$1159)-ROW('Teacher Calendar'!$G$1150)+1),7)),"")</f>
        <v/>
      </c>
      <c r="E354" s="131" t="str">
        <f t="array" ref="E354">IFERROR(INDEX('Teacher Calendar'!$H$1150:$H$1159,SMALL(IF(('Teacher Calendar'!$H$1150:$H$1159&lt;&gt;"")*('Teacher Calendar'!$H$1150:$H$1159&lt;&gt;0),ROW('Teacher Calendar'!$H$1150:$H$1159)-ROW('Teacher Calendar'!$H$1150)+1),7)),"")</f>
        <v/>
      </c>
    </row>
    <row r="355" ht="15.75" customHeight="1">
      <c r="A355" s="102"/>
    </row>
    <row r="356" ht="15.75" customHeight="1">
      <c r="A356" s="102"/>
    </row>
    <row r="357" ht="15.75" customHeight="1">
      <c r="A357" s="102"/>
    </row>
    <row r="358" ht="15.75" customHeight="1">
      <c r="A358" s="102"/>
    </row>
    <row r="359" ht="15.75" customHeight="1">
      <c r="A359" s="102"/>
    </row>
    <row r="360" ht="15.75" customHeight="1">
      <c r="A360" s="102"/>
    </row>
    <row r="361" ht="15.75" customHeight="1">
      <c r="A361" s="102"/>
    </row>
    <row r="362" ht="15.75" customHeight="1">
      <c r="A362" s="102"/>
    </row>
    <row r="363" ht="15.75" customHeight="1">
      <c r="A363" s="102"/>
    </row>
    <row r="364" ht="15.75" customHeight="1">
      <c r="A364" s="102"/>
    </row>
    <row r="365" ht="15.75" customHeight="1">
      <c r="A365" s="102"/>
    </row>
    <row r="366" ht="15.75" customHeight="1">
      <c r="A366" s="102"/>
    </row>
    <row r="367" ht="15.75" customHeight="1">
      <c r="A367" s="102"/>
    </row>
    <row r="368" ht="15.75" customHeight="1">
      <c r="A368" s="102"/>
    </row>
    <row r="369" ht="15.75" customHeight="1">
      <c r="A369" s="102"/>
    </row>
    <row r="370" ht="15.75" customHeight="1">
      <c r="A370" s="102"/>
    </row>
    <row r="371" ht="15.75" customHeight="1">
      <c r="A371" s="102"/>
    </row>
    <row r="372" ht="15.75" customHeight="1">
      <c r="A372" s="102"/>
    </row>
    <row r="373" ht="15.75" customHeight="1">
      <c r="A373" s="102"/>
    </row>
    <row r="374" ht="15.75" customHeight="1">
      <c r="A374" s="102"/>
    </row>
    <row r="375" ht="15.75" customHeight="1">
      <c r="A375" s="102"/>
    </row>
    <row r="376" ht="15.75" customHeight="1">
      <c r="A376" s="102"/>
    </row>
    <row r="377" ht="15.75" customHeight="1">
      <c r="A377" s="102"/>
    </row>
    <row r="378" ht="15.75" customHeight="1">
      <c r="A378" s="102"/>
    </row>
    <row r="379" ht="15.75" customHeight="1">
      <c r="A379" s="102"/>
    </row>
    <row r="380" ht="15.75" customHeight="1">
      <c r="A380" s="102"/>
    </row>
    <row r="381" ht="15.75" customHeight="1">
      <c r="A381" s="102"/>
    </row>
    <row r="382" ht="15.75" customHeight="1">
      <c r="A382" s="102"/>
    </row>
    <row r="383" ht="15.75" customHeight="1">
      <c r="A383" s="102"/>
    </row>
    <row r="384" ht="15.75" customHeight="1">
      <c r="A384" s="102"/>
    </row>
    <row r="385" ht="15.75" customHeight="1">
      <c r="A385" s="102"/>
    </row>
    <row r="386" ht="15.75" customHeight="1">
      <c r="A386" s="102"/>
    </row>
    <row r="387" ht="15.75" customHeight="1">
      <c r="A387" s="102"/>
    </row>
    <row r="388" ht="15.75" customHeight="1">
      <c r="A388" s="102"/>
    </row>
    <row r="389" ht="15.75" customHeight="1">
      <c r="A389" s="102"/>
    </row>
    <row r="390" ht="15.75" customHeight="1">
      <c r="A390" s="102"/>
    </row>
    <row r="391" ht="15.75" customHeight="1">
      <c r="A391" s="102"/>
    </row>
    <row r="392" ht="15.75" customHeight="1">
      <c r="A392" s="102"/>
    </row>
    <row r="393" ht="15.75" customHeight="1">
      <c r="A393" s="102"/>
    </row>
    <row r="394" ht="15.75" customHeight="1">
      <c r="A394" s="102"/>
    </row>
    <row r="395" ht="15.75" customHeight="1">
      <c r="A395" s="102"/>
    </row>
    <row r="396" ht="15.75" customHeight="1">
      <c r="A396" s="102"/>
    </row>
    <row r="397" ht="15.75" customHeight="1">
      <c r="A397" s="102"/>
    </row>
    <row r="398" ht="15.75" customHeight="1">
      <c r="A398" s="102"/>
    </row>
    <row r="399" ht="15.75" customHeight="1">
      <c r="A399" s="102"/>
    </row>
    <row r="400" ht="15.75" customHeight="1">
      <c r="A400" s="102"/>
    </row>
    <row r="401" ht="15.75" customHeight="1">
      <c r="A401" s="102"/>
    </row>
    <row r="402" ht="15.75" customHeight="1">
      <c r="A402" s="102"/>
    </row>
    <row r="403" ht="15.75" customHeight="1">
      <c r="A403" s="102"/>
    </row>
    <row r="404" ht="15.75" customHeight="1">
      <c r="A404" s="102"/>
    </row>
    <row r="405" ht="15.75" customHeight="1">
      <c r="A405" s="102"/>
    </row>
    <row r="406" ht="15.75" customHeight="1">
      <c r="A406" s="102"/>
    </row>
    <row r="407" ht="15.75" customHeight="1">
      <c r="A407" s="102"/>
    </row>
    <row r="408" ht="15.75" customHeight="1">
      <c r="A408" s="102"/>
    </row>
    <row r="409" ht="15.75" customHeight="1">
      <c r="A409" s="102"/>
    </row>
    <row r="410" ht="15.75" customHeight="1">
      <c r="A410" s="102"/>
    </row>
    <row r="411" ht="15.75" customHeight="1">
      <c r="A411" s="102"/>
    </row>
    <row r="412" ht="15.75" customHeight="1">
      <c r="A412" s="102"/>
    </row>
    <row r="413" ht="15.75" customHeight="1">
      <c r="A413" s="102"/>
    </row>
    <row r="414" ht="15.75" customHeight="1">
      <c r="A414" s="102"/>
    </row>
    <row r="415" ht="15.75" customHeight="1">
      <c r="A415" s="102"/>
    </row>
    <row r="416" ht="15.75" customHeight="1">
      <c r="A416" s="102"/>
    </row>
    <row r="417" ht="15.75" customHeight="1">
      <c r="A417" s="102"/>
    </row>
    <row r="418" ht="15.75" customHeight="1">
      <c r="A418" s="102"/>
    </row>
    <row r="419" ht="15.75" customHeight="1">
      <c r="A419" s="102"/>
    </row>
    <row r="420" ht="15.75" customHeight="1">
      <c r="A420" s="102"/>
    </row>
    <row r="421" ht="15.75" customHeight="1">
      <c r="A421" s="102"/>
    </row>
    <row r="422" ht="15.75" customHeight="1">
      <c r="A422" s="102"/>
    </row>
    <row r="423" ht="15.75" customHeight="1">
      <c r="A423" s="102"/>
    </row>
    <row r="424" ht="15.75" customHeight="1">
      <c r="A424" s="102"/>
    </row>
    <row r="425" ht="15.75" customHeight="1">
      <c r="A425" s="102"/>
    </row>
    <row r="426" ht="15.75" customHeight="1">
      <c r="A426" s="102"/>
    </row>
    <row r="427" ht="15.75" customHeight="1">
      <c r="A427" s="102"/>
    </row>
    <row r="428" ht="15.75" customHeight="1">
      <c r="A428" s="102"/>
    </row>
    <row r="429" ht="15.75" customHeight="1">
      <c r="A429" s="102"/>
    </row>
    <row r="430" ht="15.75" customHeight="1">
      <c r="A430" s="102"/>
    </row>
    <row r="431" ht="15.75" customHeight="1">
      <c r="A431" s="102"/>
    </row>
    <row r="432" ht="15.75" customHeight="1">
      <c r="A432" s="102"/>
    </row>
    <row r="433" ht="15.75" customHeight="1">
      <c r="A433" s="102"/>
    </row>
    <row r="434" ht="15.75" customHeight="1">
      <c r="A434" s="102"/>
    </row>
    <row r="435" ht="15.75" customHeight="1">
      <c r="A435" s="102"/>
    </row>
    <row r="436" ht="15.75" customHeight="1">
      <c r="A436" s="102"/>
    </row>
    <row r="437" ht="15.75" customHeight="1">
      <c r="A437" s="102"/>
    </row>
    <row r="438" ht="15.75" customHeight="1">
      <c r="A438" s="102"/>
    </row>
    <row r="439" ht="15.75" customHeight="1">
      <c r="A439" s="102"/>
    </row>
    <row r="440" ht="15.75" customHeight="1">
      <c r="A440" s="102"/>
    </row>
    <row r="441" ht="15.75" customHeight="1">
      <c r="A441" s="102"/>
    </row>
    <row r="442" ht="15.75" customHeight="1">
      <c r="A442" s="102"/>
    </row>
    <row r="443" ht="15.75" customHeight="1">
      <c r="A443" s="102"/>
    </row>
    <row r="444" ht="15.75" customHeight="1">
      <c r="A444" s="102"/>
    </row>
    <row r="445" ht="15.75" customHeight="1">
      <c r="A445" s="102"/>
    </row>
    <row r="446" ht="15.75" customHeight="1">
      <c r="A446" s="102"/>
    </row>
    <row r="447" ht="15.75" customHeight="1">
      <c r="A447" s="102"/>
    </row>
    <row r="448" ht="15.75" customHeight="1">
      <c r="A448" s="102"/>
    </row>
    <row r="449" ht="15.75" customHeight="1">
      <c r="A449" s="102"/>
    </row>
    <row r="450" ht="15.75" customHeight="1">
      <c r="A450" s="102"/>
    </row>
    <row r="451" ht="15.75" customHeight="1">
      <c r="A451" s="102"/>
    </row>
    <row r="452" ht="15.75" customHeight="1">
      <c r="A452" s="102"/>
    </row>
    <row r="453" ht="15.75" customHeight="1">
      <c r="A453" s="102"/>
    </row>
    <row r="454" ht="15.75" customHeight="1">
      <c r="A454" s="102"/>
    </row>
    <row r="455" ht="15.75" customHeight="1">
      <c r="A455" s="102"/>
    </row>
    <row r="456" ht="15.75" customHeight="1">
      <c r="A456" s="102"/>
    </row>
    <row r="457" ht="15.75" customHeight="1">
      <c r="A457" s="102"/>
    </row>
    <row r="458" ht="15.75" customHeight="1">
      <c r="A458" s="102"/>
    </row>
    <row r="459" ht="15.75" customHeight="1">
      <c r="A459" s="102"/>
    </row>
    <row r="460" ht="15.75" customHeight="1">
      <c r="A460" s="102"/>
    </row>
    <row r="461" ht="15.75" customHeight="1">
      <c r="A461" s="102"/>
    </row>
    <row r="462" ht="15.75" customHeight="1">
      <c r="A462" s="102"/>
    </row>
    <row r="463" ht="15.75" customHeight="1">
      <c r="A463" s="102"/>
    </row>
    <row r="464" ht="15.75" customHeight="1">
      <c r="A464" s="102"/>
    </row>
    <row r="465" ht="15.75" customHeight="1">
      <c r="A465" s="102"/>
    </row>
    <row r="466" ht="15.75" customHeight="1">
      <c r="A466" s="102"/>
    </row>
    <row r="467" ht="15.75" customHeight="1">
      <c r="A467" s="102"/>
    </row>
    <row r="468" ht="15.75" customHeight="1">
      <c r="A468" s="102"/>
    </row>
    <row r="469" ht="15.75" customHeight="1">
      <c r="A469" s="102"/>
    </row>
    <row r="470" ht="15.75" customHeight="1">
      <c r="A470" s="102"/>
    </row>
    <row r="471" ht="15.75" customHeight="1">
      <c r="A471" s="102"/>
    </row>
    <row r="472" ht="15.75" customHeight="1">
      <c r="A472" s="102"/>
    </row>
    <row r="473" ht="15.75" customHeight="1">
      <c r="A473" s="102"/>
    </row>
    <row r="474" ht="15.75" customHeight="1">
      <c r="A474" s="102"/>
    </row>
    <row r="475" ht="15.75" customHeight="1">
      <c r="A475" s="102"/>
    </row>
    <row r="476" ht="15.75" customHeight="1">
      <c r="A476" s="102"/>
    </row>
    <row r="477" ht="15.75" customHeight="1">
      <c r="A477" s="102"/>
    </row>
    <row r="478" ht="15.75" customHeight="1">
      <c r="A478" s="102"/>
    </row>
    <row r="479" ht="15.75" customHeight="1">
      <c r="A479" s="102"/>
    </row>
    <row r="480" ht="15.75" customHeight="1">
      <c r="A480" s="102"/>
    </row>
    <row r="481" ht="15.75" customHeight="1">
      <c r="A481" s="102"/>
    </row>
    <row r="482" ht="15.75" customHeight="1">
      <c r="A482" s="102"/>
    </row>
    <row r="483" ht="15.75" customHeight="1">
      <c r="A483" s="102"/>
    </row>
    <row r="484" ht="15.75" customHeight="1">
      <c r="A484" s="102"/>
    </row>
    <row r="485" ht="15.75" customHeight="1">
      <c r="A485" s="102"/>
    </row>
    <row r="486" ht="15.75" customHeight="1">
      <c r="A486" s="102"/>
    </row>
    <row r="487" ht="15.75" customHeight="1">
      <c r="A487" s="102"/>
    </row>
    <row r="488" ht="15.75" customHeight="1">
      <c r="A488" s="102"/>
    </row>
    <row r="489" ht="15.75" customHeight="1">
      <c r="A489" s="102"/>
    </row>
    <row r="490" ht="15.75" customHeight="1">
      <c r="A490" s="102"/>
    </row>
    <row r="491" ht="15.75" customHeight="1">
      <c r="A491" s="102"/>
    </row>
    <row r="492" ht="15.75" customHeight="1">
      <c r="A492" s="102"/>
    </row>
    <row r="493" ht="15.75" customHeight="1">
      <c r="A493" s="102"/>
    </row>
    <row r="494" ht="15.75" customHeight="1">
      <c r="A494" s="102"/>
    </row>
    <row r="495" ht="15.75" customHeight="1">
      <c r="A495" s="102"/>
    </row>
    <row r="496" ht="15.75" customHeight="1">
      <c r="A496" s="102"/>
    </row>
    <row r="497" ht="15.75" customHeight="1">
      <c r="A497" s="102"/>
    </row>
    <row r="498" ht="15.75" customHeight="1">
      <c r="A498" s="102"/>
    </row>
    <row r="499" ht="15.75" customHeight="1">
      <c r="A499" s="102"/>
    </row>
    <row r="500" ht="15.75" customHeight="1">
      <c r="A500" s="102"/>
    </row>
    <row r="501" ht="15.75" customHeight="1">
      <c r="A501" s="102"/>
    </row>
    <row r="502" ht="15.75" customHeight="1">
      <c r="A502" s="102"/>
    </row>
    <row r="503" ht="15.75" customHeight="1">
      <c r="A503" s="102"/>
    </row>
    <row r="504" ht="15.75" customHeight="1">
      <c r="A504" s="102"/>
    </row>
    <row r="505" ht="15.75" customHeight="1">
      <c r="A505" s="102"/>
    </row>
    <row r="506" ht="15.75" customHeight="1">
      <c r="A506" s="102"/>
    </row>
    <row r="507" ht="15.75" customHeight="1">
      <c r="A507" s="102"/>
    </row>
    <row r="508" ht="15.75" customHeight="1">
      <c r="A508" s="102"/>
    </row>
    <row r="509" ht="15.75" customHeight="1">
      <c r="A509" s="102"/>
    </row>
    <row r="510" ht="15.75" customHeight="1">
      <c r="A510" s="102"/>
    </row>
    <row r="511" ht="15.75" customHeight="1">
      <c r="A511" s="102"/>
    </row>
    <row r="512" ht="15.75" customHeight="1">
      <c r="A512" s="102"/>
    </row>
    <row r="513" ht="15.75" customHeight="1">
      <c r="A513" s="102"/>
    </row>
    <row r="514" ht="15.75" customHeight="1">
      <c r="A514" s="102"/>
    </row>
    <row r="515" ht="15.75" customHeight="1">
      <c r="A515" s="102"/>
    </row>
    <row r="516" ht="15.75" customHeight="1">
      <c r="A516" s="102"/>
    </row>
    <row r="517" ht="15.75" customHeight="1">
      <c r="A517" s="102"/>
    </row>
    <row r="518" ht="15.75" customHeight="1">
      <c r="A518" s="102"/>
    </row>
    <row r="519" ht="15.75" customHeight="1">
      <c r="A519" s="102"/>
    </row>
    <row r="520" ht="15.75" customHeight="1">
      <c r="A520" s="102"/>
    </row>
    <row r="521" ht="15.75" customHeight="1">
      <c r="A521" s="102"/>
    </row>
    <row r="522" ht="15.75" customHeight="1">
      <c r="A522" s="102"/>
    </row>
    <row r="523" ht="15.75" customHeight="1">
      <c r="A523" s="102"/>
    </row>
    <row r="524" ht="15.75" customHeight="1">
      <c r="A524" s="102"/>
    </row>
    <row r="525" ht="15.75" customHeight="1">
      <c r="A525" s="102"/>
    </row>
    <row r="526" ht="15.75" customHeight="1">
      <c r="A526" s="102"/>
    </row>
    <row r="527" ht="15.75" customHeight="1">
      <c r="A527" s="102"/>
    </row>
    <row r="528" ht="15.75" customHeight="1">
      <c r="A528" s="102"/>
    </row>
    <row r="529" ht="15.75" customHeight="1">
      <c r="A529" s="102"/>
    </row>
    <row r="530" ht="15.75" customHeight="1">
      <c r="A530" s="102"/>
    </row>
    <row r="531" ht="15.75" customHeight="1">
      <c r="A531" s="102"/>
    </row>
    <row r="532" ht="15.75" customHeight="1">
      <c r="A532" s="102"/>
    </row>
    <row r="533" ht="15.75" customHeight="1">
      <c r="A533" s="102"/>
    </row>
    <row r="534" ht="15.75" customHeight="1">
      <c r="A534" s="102"/>
    </row>
    <row r="535" ht="15.75" customHeight="1">
      <c r="A535" s="102"/>
    </row>
    <row r="536" ht="15.75" customHeight="1">
      <c r="A536" s="102"/>
    </row>
    <row r="537" ht="15.75" customHeight="1">
      <c r="A537" s="102"/>
    </row>
    <row r="538" ht="15.75" customHeight="1">
      <c r="A538" s="102"/>
    </row>
    <row r="539" ht="15.75" customHeight="1">
      <c r="A539" s="102"/>
    </row>
    <row r="540" ht="15.75" customHeight="1">
      <c r="A540" s="102"/>
    </row>
    <row r="541" ht="15.75" customHeight="1">
      <c r="A541" s="102"/>
    </row>
    <row r="542" ht="15.75" customHeight="1">
      <c r="A542" s="102"/>
    </row>
    <row r="543" ht="15.75" customHeight="1">
      <c r="A543" s="102"/>
    </row>
    <row r="544" ht="15.75" customHeight="1">
      <c r="A544" s="102"/>
    </row>
    <row r="545" ht="15.75" customHeight="1">
      <c r="A545" s="102"/>
    </row>
    <row r="546" ht="15.75" customHeight="1">
      <c r="A546" s="102"/>
    </row>
    <row r="547" ht="15.75" customHeight="1">
      <c r="A547" s="102"/>
    </row>
    <row r="548" ht="15.75" customHeight="1">
      <c r="A548" s="102"/>
    </row>
    <row r="549" ht="15.75" customHeight="1">
      <c r="A549" s="102"/>
    </row>
    <row r="550" ht="15.75" customHeight="1">
      <c r="A550" s="102"/>
    </row>
    <row r="551" ht="15.75" customHeight="1">
      <c r="A551" s="102"/>
    </row>
    <row r="552" ht="15.75" customHeight="1">
      <c r="A552" s="102"/>
    </row>
    <row r="553" ht="15.75" customHeight="1">
      <c r="A553" s="102"/>
    </row>
    <row r="554" ht="15.75" customHeight="1">
      <c r="A554" s="102"/>
    </row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0:E10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hidden="1" min="1" max="2" width="5.13"/>
    <col customWidth="1" min="3" max="3" width="5.13"/>
    <col customWidth="1" min="4" max="8" width="22.25"/>
    <col customWidth="1" hidden="1" min="9" max="13" width="4.13"/>
  </cols>
  <sheetData>
    <row r="1" ht="15.75" customHeight="1">
      <c r="A1" s="2"/>
      <c r="B1" s="2"/>
      <c r="C1" s="4" t="s">
        <v>2</v>
      </c>
      <c r="D1" s="5" t="s">
        <v>3</v>
      </c>
      <c r="E1" s="5" t="s">
        <v>4</v>
      </c>
      <c r="F1" s="5" t="s">
        <v>5</v>
      </c>
      <c r="G1" s="5" t="s">
        <v>7</v>
      </c>
      <c r="H1" s="5" t="s">
        <v>8</v>
      </c>
      <c r="I1" s="8"/>
      <c r="J1" s="8"/>
      <c r="K1" s="8"/>
      <c r="L1" s="8"/>
      <c r="M1" s="8"/>
    </row>
    <row r="2" ht="15.75" customHeight="1">
      <c r="A2" s="9">
        <f>B2+1</f>
        <v>11</v>
      </c>
      <c r="B2" s="9">
        <f t="shared" ref="B2:B9" si="1">$C$2*10</f>
        <v>10</v>
      </c>
      <c r="C2" s="13">
        <v>1.0</v>
      </c>
      <c r="D2" s="14">
        <f t="shared" ref="D2:D9" si="2">vlookup($A2,$A$15:$H$391,4)</f>
        <v>46265</v>
      </c>
      <c r="E2" s="14">
        <f t="shared" ref="E2:E9" si="3">vlookup($A2,$A$15:$H$391, 5)</f>
        <v>46266</v>
      </c>
      <c r="F2" s="14">
        <f t="shared" ref="F2:F9" si="4">vlookup($A2,$A$15:$H$391,6)</f>
        <v>46267</v>
      </c>
      <c r="G2" s="14">
        <f t="shared" ref="G2:G9" si="5">vlookup($A2,$A$15:$H$391,7)</f>
        <v>46268</v>
      </c>
      <c r="H2" s="14">
        <f t="shared" ref="H2:H9" si="6">vlookup($A2,$A$15:$H$391,8)</f>
        <v>46269</v>
      </c>
      <c r="I2" s="22"/>
    </row>
    <row r="3" ht="15.75" customHeight="1">
      <c r="A3" s="9">
        <f>B3+2</f>
        <v>12</v>
      </c>
      <c r="B3" s="9">
        <f t="shared" si="1"/>
        <v>10</v>
      </c>
      <c r="C3" s="24"/>
      <c r="D3" s="25" t="str">
        <f t="shared" si="2"/>
        <v>0.1 Get Acquainted</v>
      </c>
      <c r="E3" s="26" t="str">
        <f t="shared" si="3"/>
        <v>0.1 Get Acquainted</v>
      </c>
      <c r="F3" s="26" t="str">
        <f t="shared" si="4"/>
        <v>0.1 Get Acquainted</v>
      </c>
      <c r="G3" s="26" t="str">
        <f t="shared" si="5"/>
        <v>House Keeping</v>
      </c>
      <c r="H3" s="29" t="str">
        <f t="shared" si="6"/>
        <v/>
      </c>
      <c r="I3" s="30"/>
      <c r="J3" s="30"/>
      <c r="K3" s="30"/>
      <c r="L3" s="30"/>
      <c r="M3" s="30"/>
    </row>
    <row r="4" ht="18.0" customHeight="1">
      <c r="A4" s="9">
        <f>B4+3</f>
        <v>13</v>
      </c>
      <c r="B4" s="9">
        <f t="shared" si="1"/>
        <v>10</v>
      </c>
      <c r="C4" s="24"/>
      <c r="D4" s="32" t="str">
        <f t="shared" si="2"/>
        <v>Warm Up</v>
      </c>
      <c r="E4" s="32" t="str">
        <f t="shared" si="3"/>
        <v>Warm Up</v>
      </c>
      <c r="F4" s="32" t="str">
        <f t="shared" si="4"/>
        <v>Warm Up</v>
      </c>
      <c r="G4" s="32" t="str">
        <f t="shared" si="5"/>
        <v>Warm Up</v>
      </c>
      <c r="H4" s="34" t="str">
        <f t="shared" si="6"/>
        <v>Labor Day</v>
      </c>
      <c r="I4" s="35"/>
      <c r="J4" s="35"/>
      <c r="K4" s="35"/>
      <c r="L4" s="35"/>
      <c r="M4" s="35"/>
    </row>
    <row r="5" ht="18.0" customHeight="1">
      <c r="A5" s="9">
        <f>B5+4</f>
        <v>14</v>
      </c>
      <c r="B5" s="9">
        <f t="shared" si="1"/>
        <v>10</v>
      </c>
      <c r="C5" s="24"/>
      <c r="D5" s="37" t="str">
        <f t="shared" si="2"/>
        <v>Notes</v>
      </c>
      <c r="E5" s="38" t="str">
        <f t="shared" si="3"/>
        <v>Investigation</v>
      </c>
      <c r="F5" s="38" t="str">
        <f t="shared" si="4"/>
        <v>Investigation</v>
      </c>
      <c r="G5" s="38" t="str">
        <f t="shared" si="5"/>
        <v>Activity</v>
      </c>
      <c r="H5" s="39" t="str">
        <f t="shared" si="6"/>
        <v/>
      </c>
      <c r="I5" s="30"/>
      <c r="J5" s="30"/>
      <c r="K5" s="30"/>
      <c r="L5" s="30"/>
      <c r="M5" s="30"/>
    </row>
    <row r="6" ht="18.0" customHeight="1">
      <c r="A6" s="9">
        <f>B6+5</f>
        <v>15</v>
      </c>
      <c r="B6" s="9">
        <f t="shared" si="1"/>
        <v>10</v>
      </c>
      <c r="C6" s="24"/>
      <c r="D6" s="32" t="str">
        <f t="shared" si="2"/>
        <v>Practice Set</v>
      </c>
      <c r="E6" s="32" t="str">
        <f t="shared" si="3"/>
        <v>Practice Set</v>
      </c>
      <c r="F6" s="32" t="str">
        <f t="shared" si="4"/>
        <v>Activity</v>
      </c>
      <c r="G6" s="34" t="str">
        <f t="shared" si="5"/>
        <v>Return Portfolio</v>
      </c>
      <c r="H6" s="34" t="str">
        <f t="shared" si="6"/>
        <v/>
      </c>
      <c r="I6" s="35"/>
      <c r="J6" s="35"/>
      <c r="K6" s="35"/>
      <c r="L6" s="35"/>
      <c r="M6" s="35"/>
    </row>
    <row r="7" ht="18.0" customHeight="1">
      <c r="A7" s="9">
        <f>B7+6</f>
        <v>16</v>
      </c>
      <c r="B7" s="9">
        <f t="shared" si="1"/>
        <v>10</v>
      </c>
      <c r="C7" s="24"/>
      <c r="D7" s="43" t="str">
        <f t="shared" si="2"/>
        <v/>
      </c>
      <c r="E7" s="38" t="str">
        <f t="shared" si="3"/>
        <v>Extra Practice</v>
      </c>
      <c r="F7" s="38" t="str">
        <f t="shared" si="4"/>
        <v>Practice Set</v>
      </c>
      <c r="G7" s="38" t="str">
        <f t="shared" si="5"/>
        <v>Overview</v>
      </c>
      <c r="H7" s="39" t="str">
        <f t="shared" si="6"/>
        <v/>
      </c>
      <c r="I7" s="30"/>
      <c r="J7" s="30"/>
      <c r="K7" s="30"/>
      <c r="L7" s="30"/>
      <c r="M7" s="30"/>
    </row>
    <row r="8" ht="18.0" customHeight="1">
      <c r="A8" s="9">
        <f>B8+7</f>
        <v>17</v>
      </c>
      <c r="B8" s="9">
        <f t="shared" si="1"/>
        <v>10</v>
      </c>
      <c r="C8" s="24"/>
      <c r="D8" s="34" t="str">
        <f t="shared" si="2"/>
        <v/>
      </c>
      <c r="E8" s="34" t="str">
        <f t="shared" si="3"/>
        <v/>
      </c>
      <c r="F8" s="32" t="str">
        <f t="shared" si="4"/>
        <v>Extra Practice</v>
      </c>
      <c r="G8" s="34" t="str">
        <f t="shared" si="5"/>
        <v>Survey</v>
      </c>
      <c r="H8" s="34" t="str">
        <f t="shared" si="6"/>
        <v/>
      </c>
      <c r="I8" s="35"/>
      <c r="J8" s="35"/>
      <c r="K8" s="35"/>
      <c r="L8" s="35"/>
      <c r="M8" s="35"/>
    </row>
    <row r="9" ht="16.5" customHeight="1">
      <c r="A9" s="9">
        <f>B9+8</f>
        <v>18</v>
      </c>
      <c r="B9" s="9">
        <f t="shared" si="1"/>
        <v>10</v>
      </c>
      <c r="C9" s="24"/>
      <c r="D9" s="43" t="str">
        <f t="shared" si="2"/>
        <v/>
      </c>
      <c r="E9" s="43" t="str">
        <f t="shared" si="3"/>
        <v/>
      </c>
      <c r="F9" s="43" t="str">
        <f t="shared" si="4"/>
        <v/>
      </c>
      <c r="G9" s="43" t="str">
        <f t="shared" si="5"/>
        <v/>
      </c>
      <c r="H9" s="43" t="str">
        <f t="shared" si="6"/>
        <v/>
      </c>
      <c r="I9" s="30"/>
      <c r="J9" s="30"/>
      <c r="K9" s="30"/>
      <c r="L9" s="30"/>
      <c r="M9" s="30"/>
    </row>
    <row r="10" ht="48.75" customHeight="1">
      <c r="A10" s="49"/>
      <c r="B10" s="49"/>
      <c r="C10" s="50" t="s">
        <v>27</v>
      </c>
      <c r="H10" s="45"/>
      <c r="I10" s="51"/>
      <c r="J10" s="51"/>
      <c r="K10" s="51"/>
      <c r="L10" s="51"/>
      <c r="M10" s="51"/>
    </row>
    <row r="11" ht="18.75" customHeight="1">
      <c r="A11" s="49"/>
      <c r="B11" s="49"/>
      <c r="C11" s="52"/>
      <c r="D11" s="53">
        <v>1.0</v>
      </c>
      <c r="E11" s="53">
        <f t="shared" ref="E11:G11" si="7">D11+1</f>
        <v>2</v>
      </c>
      <c r="F11" s="53">
        <f t="shared" si="7"/>
        <v>3</v>
      </c>
      <c r="G11" s="53">
        <f t="shared" si="7"/>
        <v>4</v>
      </c>
      <c r="H11" s="53"/>
      <c r="I11" s="55">
        <f t="shared" ref="I11:M11" si="8">D11</f>
        <v>1</v>
      </c>
      <c r="J11" s="55">
        <f t="shared" si="8"/>
        <v>2</v>
      </c>
      <c r="K11" s="55">
        <f t="shared" si="8"/>
        <v>3</v>
      </c>
      <c r="L11" s="55">
        <f t="shared" si="8"/>
        <v>4</v>
      </c>
      <c r="M11" s="55" t="str">
        <f t="shared" si="8"/>
        <v/>
      </c>
    </row>
    <row r="12" ht="19.5" hidden="1" customHeight="1">
      <c r="A12" s="56"/>
      <c r="B12" s="58"/>
      <c r="C12" s="59"/>
      <c r="D12" s="61" t="s">
        <v>33</v>
      </c>
      <c r="H12" s="45"/>
      <c r="I12" s="62"/>
      <c r="J12" s="62"/>
      <c r="K12" s="62"/>
      <c r="L12" s="62"/>
      <c r="M12" s="62"/>
    </row>
    <row r="13" ht="19.5" hidden="1" customHeight="1">
      <c r="A13" s="56"/>
      <c r="B13" s="58"/>
      <c r="C13" s="59"/>
      <c r="D13" s="61" t="s">
        <v>35</v>
      </c>
      <c r="H13" s="45"/>
      <c r="I13" s="62"/>
      <c r="J13" s="62"/>
      <c r="K13" s="62"/>
      <c r="L13" s="62"/>
      <c r="M13" s="62"/>
    </row>
    <row r="14" ht="19.5" hidden="1" customHeight="1">
      <c r="A14" s="56"/>
      <c r="B14" s="58"/>
      <c r="C14" s="59"/>
      <c r="D14" s="64" t="s">
        <v>37</v>
      </c>
      <c r="E14" s="65"/>
      <c r="F14" s="65"/>
      <c r="G14" s="65"/>
      <c r="H14" s="66"/>
      <c r="I14" s="62"/>
      <c r="J14" s="62"/>
      <c r="K14" s="62"/>
      <c r="L14" s="62"/>
      <c r="M14" s="62"/>
    </row>
    <row r="15" ht="15.75" customHeight="1">
      <c r="A15" s="69">
        <f>B15+1</f>
        <v>11</v>
      </c>
      <c r="B15" s="69">
        <f t="shared" ref="B15:B22" si="10">$C$15*10</f>
        <v>10</v>
      </c>
      <c r="C15" s="71">
        <v>1.0</v>
      </c>
      <c r="D15" s="72">
        <v>46265.0</v>
      </c>
      <c r="E15" s="72">
        <f t="shared" ref="E15:H15" si="9">D15+1</f>
        <v>46266</v>
      </c>
      <c r="F15" s="72">
        <f t="shared" si="9"/>
        <v>46267</v>
      </c>
      <c r="G15" s="72">
        <f t="shared" si="9"/>
        <v>46268</v>
      </c>
      <c r="H15" s="74">
        <f t="shared" si="9"/>
        <v>46269</v>
      </c>
      <c r="I15" s="62" t="s">
        <v>42</v>
      </c>
    </row>
    <row r="16" ht="15.75" customHeight="1">
      <c r="A16" s="75">
        <f>B16+2</f>
        <v>12</v>
      </c>
      <c r="B16" s="75">
        <f t="shared" si="10"/>
        <v>10</v>
      </c>
      <c r="C16" s="76"/>
      <c r="D16" s="67" t="str">
        <f>if(isblank(I16),"",vlookup(I16,Pacing!$A$1:$Z$213,2))</f>
        <v>0.1 Get Acquainted</v>
      </c>
      <c r="E16" s="67" t="str">
        <f>if(isblank(J16),"",vlookup(J16,Pacing!$A$1:$Z$213,2))</f>
        <v>0.1 Get Acquainted</v>
      </c>
      <c r="F16" s="67" t="str">
        <f>if(isblank(K16),"",vlookup(K16,Pacing!$A$1:$Z$213,2))</f>
        <v>0.1 Get Acquainted</v>
      </c>
      <c r="G16" s="67" t="str">
        <f>if(isblank(L16),"",vlookup(L16,Pacing!$A$1:$Z$213,2))</f>
        <v>House Keeping</v>
      </c>
      <c r="H16" s="77" t="str">
        <f>if(isblank(M16),"",vlookup(M16,Pacing!$A$1:$Z$213,2))</f>
        <v/>
      </c>
      <c r="I16" s="78">
        <f t="shared" ref="I16:M16" si="11">I11</f>
        <v>1</v>
      </c>
      <c r="J16" s="78">
        <f t="shared" si="11"/>
        <v>2</v>
      </c>
      <c r="K16" s="78">
        <f t="shared" si="11"/>
        <v>3</v>
      </c>
      <c r="L16" s="78">
        <f t="shared" si="11"/>
        <v>4</v>
      </c>
      <c r="M16" s="78" t="str">
        <f t="shared" si="11"/>
        <v/>
      </c>
    </row>
    <row r="17" ht="15.75" customHeight="1">
      <c r="A17" s="69">
        <f>B17+3</f>
        <v>13</v>
      </c>
      <c r="B17" s="69">
        <f t="shared" si="10"/>
        <v>10</v>
      </c>
      <c r="C17" s="76"/>
      <c r="D17" s="79" t="str">
        <f>if(isblank(I17),"",vlookup(I17,Pacing!$A$1:$Z$213,3))</f>
        <v>Warm Up</v>
      </c>
      <c r="E17" s="81" t="str">
        <f>if(isblank(J17),"",vlookup(J17,Pacing!$A$1:$Z$213,3))</f>
        <v>Warm Up</v>
      </c>
      <c r="F17" s="81" t="str">
        <f>if(isblank(K17),"",vlookup(K17,Pacing!$A$1:$Z$213,3))</f>
        <v>Warm Up</v>
      </c>
      <c r="G17" s="81" t="str">
        <f>if(isblank(L17),"",vlookup(L17,Pacing!$A$1:$Z$213,3))</f>
        <v>Warm Up</v>
      </c>
      <c r="H17" s="85" t="s">
        <v>50</v>
      </c>
      <c r="I17" s="86">
        <f t="shared" ref="I17:M17" si="12">I16</f>
        <v>1</v>
      </c>
      <c r="J17" s="86">
        <f t="shared" si="12"/>
        <v>2</v>
      </c>
      <c r="K17" s="86">
        <f t="shared" si="12"/>
        <v>3</v>
      </c>
      <c r="L17" s="86">
        <f t="shared" si="12"/>
        <v>4</v>
      </c>
      <c r="M17" s="86" t="str">
        <f t="shared" si="12"/>
        <v/>
      </c>
    </row>
    <row r="18" ht="15.75" customHeight="1">
      <c r="A18" s="69">
        <f>B18+4</f>
        <v>14</v>
      </c>
      <c r="B18" s="69">
        <f t="shared" si="10"/>
        <v>10</v>
      </c>
      <c r="C18" s="76"/>
      <c r="D18" s="79" t="str">
        <f>if(isblank(I18),"",vlookup(I18,Pacing!$A$1:$Z$213,4))</f>
        <v>Notes</v>
      </c>
      <c r="E18" s="81" t="str">
        <f>if(isblank(J18),"",vlookup(J18,Pacing!$A$1:$Z$213,4))</f>
        <v>Investigation</v>
      </c>
      <c r="F18" s="81" t="str">
        <f>if(isblank(K18),"",vlookup(K18,Pacing!$A$1:$Z$213,4))</f>
        <v>Investigation</v>
      </c>
      <c r="G18" s="81" t="str">
        <f>if(isblank(L18),"",vlookup(L18,Pacing!$A$1:$Z$213,4))</f>
        <v>Activity</v>
      </c>
      <c r="H18" s="85" t="str">
        <f>if(isblank(M18),"",vlookup(M18,Pacing!$A$1:$Z$213,4))</f>
        <v/>
      </c>
      <c r="I18" s="86">
        <f t="shared" ref="I18:M18" si="13">I17</f>
        <v>1</v>
      </c>
      <c r="J18" s="86">
        <f t="shared" si="13"/>
        <v>2</v>
      </c>
      <c r="K18" s="86">
        <f t="shared" si="13"/>
        <v>3</v>
      </c>
      <c r="L18" s="86">
        <f t="shared" si="13"/>
        <v>4</v>
      </c>
      <c r="M18" s="86" t="str">
        <f t="shared" si="13"/>
        <v/>
      </c>
    </row>
    <row r="19" ht="15.75" customHeight="1">
      <c r="A19" s="69">
        <f>B19+5</f>
        <v>15</v>
      </c>
      <c r="B19" s="69">
        <f t="shared" si="10"/>
        <v>10</v>
      </c>
      <c r="C19" s="76"/>
      <c r="D19" s="79" t="str">
        <f>if(isblank(I19),"",vlookup(I19,Pacing!$A$1:$Z$213,5))</f>
        <v>Practice Set</v>
      </c>
      <c r="E19" s="81" t="str">
        <f>if(isblank(J19),"",vlookup(J19,Pacing!$A$1:$Z$213,5))</f>
        <v>Practice Set</v>
      </c>
      <c r="F19" s="81" t="str">
        <f>if(isblank(K19),"",vlookup(K19,Pacing!$A$1:$Z$213,5))</f>
        <v>Activity</v>
      </c>
      <c r="G19" s="89" t="str">
        <f>if(isblank(L19),"",vlookup(L19,Pacing!$A$1:$Z$213,5))</f>
        <v>Return Portfolio</v>
      </c>
      <c r="H19" s="85" t="str">
        <f>if(isblank(M19),"",vlookup(M19,Pacing!$A$1:$Z$213,5))</f>
        <v/>
      </c>
      <c r="I19" s="86">
        <f t="shared" ref="I19:M19" si="14">I18</f>
        <v>1</v>
      </c>
      <c r="J19" s="86">
        <f t="shared" si="14"/>
        <v>2</v>
      </c>
      <c r="K19" s="86">
        <f t="shared" si="14"/>
        <v>3</v>
      </c>
      <c r="L19" s="86">
        <f t="shared" si="14"/>
        <v>4</v>
      </c>
      <c r="M19" s="86" t="str">
        <f t="shared" si="14"/>
        <v/>
      </c>
    </row>
    <row r="20" ht="15.75" customHeight="1">
      <c r="A20" s="69">
        <f>B20+6</f>
        <v>16</v>
      </c>
      <c r="B20" s="69">
        <f t="shared" si="10"/>
        <v>10</v>
      </c>
      <c r="C20" s="76"/>
      <c r="D20" s="91" t="str">
        <f>if(isblank(I20),"",vlookup(I20,Pacing!$A$1:$Z$213,6))</f>
        <v/>
      </c>
      <c r="E20" s="81" t="str">
        <f>if(isblank(J20),"",vlookup(J20,Pacing!$A$1:$Z$213,6))</f>
        <v>Extra Practice</v>
      </c>
      <c r="F20" s="81" t="str">
        <f>if(isblank(K20),"",vlookup(K20,Pacing!$A$1:$Z$213,6))</f>
        <v>Practice Set</v>
      </c>
      <c r="G20" s="81" t="str">
        <f>if(isblank(L20),"",vlookup(L20,Pacing!$A$1:$Z$213,6))</f>
        <v>Overview</v>
      </c>
      <c r="H20" s="85" t="str">
        <f>if(isblank(M20),"",vlookup(M20,Pacing!$A$1:$Z$213,6))</f>
        <v/>
      </c>
      <c r="I20" s="86">
        <f t="shared" ref="I20:M20" si="15">I19</f>
        <v>1</v>
      </c>
      <c r="J20" s="86">
        <f t="shared" si="15"/>
        <v>2</v>
      </c>
      <c r="K20" s="86">
        <f t="shared" si="15"/>
        <v>3</v>
      </c>
      <c r="L20" s="86">
        <f t="shared" si="15"/>
        <v>4</v>
      </c>
      <c r="M20" s="86" t="str">
        <f t="shared" si="15"/>
        <v/>
      </c>
    </row>
    <row r="21" ht="15.75" customHeight="1">
      <c r="A21" s="69">
        <f>B21+7</f>
        <v>17</v>
      </c>
      <c r="B21" s="69">
        <f t="shared" si="10"/>
        <v>10</v>
      </c>
      <c r="C21" s="76"/>
      <c r="D21" s="91" t="str">
        <f>if(isblank(I21),"",vlookup(I21,Pacing!$A$1:$Z$213,7))</f>
        <v/>
      </c>
      <c r="E21" s="89" t="str">
        <f>if(isblank(J21),"",vlookup(J21,Pacing!$A$1:$Z$213,7))</f>
        <v/>
      </c>
      <c r="F21" s="81" t="str">
        <f>if(isblank(K21),"",vlookup(K21,Pacing!$A$1:$Z$213,7))</f>
        <v>Extra Practice</v>
      </c>
      <c r="G21" s="89" t="str">
        <f>if(isblank(L21),"",vlookup(L21,Pacing!$A$1:$Z$213,7))</f>
        <v>Survey</v>
      </c>
      <c r="H21" s="85" t="str">
        <f>if(isblank(M21),"",vlookup(M21,Pacing!$A$1:$Z$213,7))</f>
        <v/>
      </c>
      <c r="I21" s="86">
        <f t="shared" ref="I21:M21" si="16">I20</f>
        <v>1</v>
      </c>
      <c r="J21" s="86">
        <f t="shared" si="16"/>
        <v>2</v>
      </c>
      <c r="K21" s="86">
        <f t="shared" si="16"/>
        <v>3</v>
      </c>
      <c r="L21" s="86">
        <f t="shared" si="16"/>
        <v>4</v>
      </c>
      <c r="M21" s="86" t="str">
        <f t="shared" si="16"/>
        <v/>
      </c>
    </row>
    <row r="22" ht="15.75" customHeight="1">
      <c r="A22" s="69">
        <f>B22+8</f>
        <v>18</v>
      </c>
      <c r="B22" s="69">
        <f t="shared" si="10"/>
        <v>10</v>
      </c>
      <c r="C22" s="95"/>
      <c r="D22" s="91" t="str">
        <f>if(isblank(I22),"",vlookup(I22,Pacing!$A$1:$Z$213,8))</f>
        <v/>
      </c>
      <c r="E22" s="89" t="str">
        <f>if(isblank(J22),"",vlookup(J22,Pacing!$A$1:$Z$213,8))</f>
        <v/>
      </c>
      <c r="F22" s="89" t="str">
        <f>if(isblank(K22),"",vlookup(K22,Pacing!$A$1:$Z$213,8))</f>
        <v/>
      </c>
      <c r="G22" s="89" t="str">
        <f>if(isblank(L22),"",vlookup(L22,Pacing!$A$1:$Z$213,8))</f>
        <v/>
      </c>
      <c r="H22" s="85" t="str">
        <f>if(isblank(M22),"",vlookup(M22,Pacing!$A$1:$Z$213,8))</f>
        <v/>
      </c>
      <c r="I22" s="86">
        <f t="shared" ref="I22:M22" si="17">I21</f>
        <v>1</v>
      </c>
      <c r="J22" s="86">
        <f t="shared" si="17"/>
        <v>2</v>
      </c>
      <c r="K22" s="86">
        <f t="shared" si="17"/>
        <v>3</v>
      </c>
      <c r="L22" s="86">
        <f t="shared" si="17"/>
        <v>4</v>
      </c>
      <c r="M22" s="86" t="str">
        <f t="shared" si="17"/>
        <v/>
      </c>
    </row>
    <row r="23" ht="15.75" customHeight="1">
      <c r="A23" s="69"/>
      <c r="B23" s="69"/>
      <c r="C23" s="71"/>
      <c r="D23" s="91" t="str">
        <f>if(isblank(I23),"",vlookup(I23,Pacing!$A$1:$Z$213,9))</f>
        <v/>
      </c>
      <c r="E23" s="89" t="str">
        <f>if(isblank(J23),"",vlookup(J23,Pacing!$A$1:$Z$213,9))</f>
        <v/>
      </c>
      <c r="F23" s="89" t="str">
        <f>if(isblank(K23),"",vlookup(K23,Pacing!$A$1:$Z$213,9))</f>
        <v/>
      </c>
      <c r="G23" s="89" t="str">
        <f>if(isblank(L23),"",vlookup(L23,Pacing!$A$1:$Z$213,9))</f>
        <v/>
      </c>
      <c r="H23" s="85" t="str">
        <f>if(isblank(M23),"",vlookup(M23,Pacing!$A$1:$Z$213,9))</f>
        <v/>
      </c>
      <c r="I23" s="86">
        <f t="shared" ref="I23:M23" si="18">I22</f>
        <v>1</v>
      </c>
      <c r="J23" s="86">
        <f t="shared" si="18"/>
        <v>2</v>
      </c>
      <c r="K23" s="86">
        <f t="shared" si="18"/>
        <v>3</v>
      </c>
      <c r="L23" s="86">
        <f t="shared" si="18"/>
        <v>4</v>
      </c>
      <c r="M23" s="86" t="str">
        <f t="shared" si="18"/>
        <v/>
      </c>
    </row>
    <row r="24" ht="15.75" customHeight="1">
      <c r="A24" s="69"/>
      <c r="B24" s="69"/>
      <c r="C24" s="71"/>
      <c r="D24" s="91" t="str">
        <f>if(isblank(I24),"",vlookup(I24,Pacing!$A$1:$Z$213,10))</f>
        <v/>
      </c>
      <c r="E24" s="89" t="str">
        <f>if(isblank(J24),"",vlookup(J24,Pacing!$A$1:$Z$213,10))</f>
        <v/>
      </c>
      <c r="F24" s="89" t="str">
        <f>if(isblank(K24),"",vlookup(K24,Pacing!$A$1:$Z$213,10))</f>
        <v/>
      </c>
      <c r="G24" s="89" t="str">
        <f>if(isblank(L24),"",vlookup(L24,Pacing!$A$1:$Z$213,10))</f>
        <v/>
      </c>
      <c r="H24" s="85" t="str">
        <f>if(isblank(M24),"",vlookup(M24,Pacing!$A$1:$Z$213,10))</f>
        <v/>
      </c>
      <c r="I24" s="86">
        <f t="shared" ref="I24:M24" si="19">I23</f>
        <v>1</v>
      </c>
      <c r="J24" s="86">
        <f t="shared" si="19"/>
        <v>2</v>
      </c>
      <c r="K24" s="86">
        <f t="shared" si="19"/>
        <v>3</v>
      </c>
      <c r="L24" s="86">
        <f t="shared" si="19"/>
        <v>4</v>
      </c>
      <c r="M24" s="86" t="str">
        <f t="shared" si="19"/>
        <v/>
      </c>
    </row>
    <row r="25" ht="15.75" customHeight="1">
      <c r="A25" s="69"/>
      <c r="B25" s="69"/>
      <c r="C25" s="71"/>
      <c r="D25" s="91" t="str">
        <f>if(isblank(I25),"",vlookup(I25,Pacing!$A$1:$Z$213,11))</f>
        <v/>
      </c>
      <c r="E25" s="89" t="str">
        <f>if(isblank(J25),"",vlookup(J25,Pacing!$A$1:$Z$213,11))</f>
        <v/>
      </c>
      <c r="F25" s="89" t="str">
        <f>if(isblank(K25),"",vlookup(K25,Pacing!$A$1:$Z$213,11))</f>
        <v/>
      </c>
      <c r="G25" s="89" t="str">
        <f>if(isblank(L25),"",vlookup(L25,Pacing!$A$1:$Z$213,11))</f>
        <v/>
      </c>
      <c r="H25" s="85" t="str">
        <f>if(isblank(M25),"",vlookup(M25,Pacing!$A$1:$Z$213,11))</f>
        <v/>
      </c>
      <c r="I25" s="86">
        <f t="shared" ref="I25:M25" si="20">I24</f>
        <v>1</v>
      </c>
      <c r="J25" s="86">
        <f t="shared" si="20"/>
        <v>2</v>
      </c>
      <c r="K25" s="86">
        <f t="shared" si="20"/>
        <v>3</v>
      </c>
      <c r="L25" s="86">
        <f t="shared" si="20"/>
        <v>4</v>
      </c>
      <c r="M25" s="86" t="str">
        <f t="shared" si="20"/>
        <v/>
      </c>
    </row>
    <row r="26" ht="15.75" customHeight="1">
      <c r="A26" s="69"/>
      <c r="B26" s="69"/>
      <c r="C26" s="71"/>
      <c r="D26" s="91" t="str">
        <f>if(isblank(I26),"",vlookup(I26,Pacing!$A$1:$Z$213,12))</f>
        <v/>
      </c>
      <c r="E26" s="91" t="str">
        <f>if(isblank(J26),"",vlookup(J26,Pacing!$A$1:$Z$213,12))</f>
        <v/>
      </c>
      <c r="F26" s="91" t="str">
        <f>if(isblank(K26),"",vlookup(K26,Pacing!$A$1:$Z$213,12))</f>
        <v/>
      </c>
      <c r="G26" s="91" t="str">
        <f>if(isblank(L26),"",vlookup(L26,Pacing!$A$1:$Z$213,12))</f>
        <v/>
      </c>
      <c r="H26" s="129" t="str">
        <f>if(isblank(M26),"",vlookup(M26,Pacing!$A$1:$Z$213,12))</f>
        <v/>
      </c>
      <c r="I26" s="86">
        <f t="shared" ref="I26:M26" si="21">I25</f>
        <v>1</v>
      </c>
      <c r="J26" s="86">
        <f t="shared" si="21"/>
        <v>2</v>
      </c>
      <c r="K26" s="86">
        <f t="shared" si="21"/>
        <v>3</v>
      </c>
      <c r="L26" s="86">
        <f t="shared" si="21"/>
        <v>4</v>
      </c>
      <c r="M26" s="86" t="str">
        <f t="shared" si="21"/>
        <v/>
      </c>
    </row>
    <row r="27" ht="15.75" customHeight="1">
      <c r="A27" s="69"/>
      <c r="B27" s="69"/>
      <c r="C27" s="71"/>
      <c r="D27" s="91" t="str">
        <f>if(isblank(I27),"",vlookup(I27,Pacing!$A$1:$Z$213,13))</f>
        <v/>
      </c>
      <c r="E27" s="91" t="str">
        <f>if(isblank(J27),"",vlookup(J27,Pacing!$A$1:$Z$213,13))</f>
        <v/>
      </c>
      <c r="F27" s="91" t="str">
        <f>if(isblank(K27),"",vlookup(K27,Pacing!$A$1:$Z$213,13))</f>
        <v/>
      </c>
      <c r="G27" s="91" t="str">
        <f>if(isblank(L27),"",vlookup(L27,Pacing!$A$1:$Z$213,13))</f>
        <v/>
      </c>
      <c r="H27" s="129" t="str">
        <f>if(isblank(M27),"",vlookup(M27,Pacing!$A$1:$Z$213,13))</f>
        <v/>
      </c>
      <c r="I27" s="86">
        <f t="shared" ref="I27:M27" si="22">I26</f>
        <v>1</v>
      </c>
      <c r="J27" s="86">
        <f t="shared" si="22"/>
        <v>2</v>
      </c>
      <c r="K27" s="86">
        <f t="shared" si="22"/>
        <v>3</v>
      </c>
      <c r="L27" s="86">
        <f t="shared" si="22"/>
        <v>4</v>
      </c>
      <c r="M27" s="86" t="str">
        <f t="shared" si="22"/>
        <v/>
      </c>
    </row>
    <row r="28" ht="15.75" customHeight="1">
      <c r="A28" s="69"/>
      <c r="B28" s="69"/>
      <c r="C28" s="71"/>
      <c r="D28" s="79" t="str">
        <f>if(isblank(I28),"",vlookup(I28,Pacing!$A$1:$Z$213,14))</f>
        <v>Notes Teacher</v>
      </c>
      <c r="E28" s="81" t="str">
        <f>if(isblank(J28),"",vlookup(J28,Pacing!$A$1:$Z$213,14))</f>
        <v>Invest Teacher</v>
      </c>
      <c r="F28" s="81" t="str">
        <f>if(isblank(K28),"",vlookup(K28,Pacing!$A$1:$Z$213,14))</f>
        <v>Invest Teacher</v>
      </c>
      <c r="G28" s="89" t="str">
        <f>if(isblank(L28),"",vlookup(L28,Pacing!$A$1:$Z$213,14))</f>
        <v/>
      </c>
      <c r="H28" s="85" t="str">
        <f>if(isblank(M28),"",vlookup(M28,Pacing!$A$1:$Z$213,14))</f>
        <v/>
      </c>
      <c r="I28" s="86">
        <f t="shared" ref="I28:M28" si="23">I27</f>
        <v>1</v>
      </c>
      <c r="J28" s="86">
        <f t="shared" si="23"/>
        <v>2</v>
      </c>
      <c r="K28" s="86">
        <f t="shared" si="23"/>
        <v>3</v>
      </c>
      <c r="L28" s="86">
        <f t="shared" si="23"/>
        <v>4</v>
      </c>
      <c r="M28" s="86" t="str">
        <f t="shared" si="23"/>
        <v/>
      </c>
    </row>
    <row r="29" ht="15.75" customHeight="1">
      <c r="A29" s="69"/>
      <c r="B29" s="69"/>
      <c r="C29" s="71"/>
      <c r="D29" s="79" t="str">
        <f>if(isblank(I29),"",vlookup(I29,Pacing!$A$1:$Z$213,15))</f>
        <v>Exit Ticket</v>
      </c>
      <c r="E29" s="81" t="str">
        <f>if(isblank(J29),"",vlookup(J29,Pacing!$A$1:$Z$213,15))</f>
        <v>Exit Ticket</v>
      </c>
      <c r="F29" s="81" t="str">
        <f>if(isblank(K29),"",vlookup(K29,Pacing!$A$1:$Z$213,15))</f>
        <v>Exit Ticket</v>
      </c>
      <c r="G29" s="89" t="str">
        <f>if(isblank(L29),"",vlookup(L29,Pacing!$A$1:$Z$213,15))</f>
        <v/>
      </c>
      <c r="H29" s="85" t="str">
        <f>if(isblank(M29),"",vlookup(M29,Pacing!$A$1:$Z$213,15))</f>
        <v/>
      </c>
      <c r="I29" s="86">
        <f t="shared" ref="I29:M29" si="24">I28</f>
        <v>1</v>
      </c>
      <c r="J29" s="86">
        <f t="shared" si="24"/>
        <v>2</v>
      </c>
      <c r="K29" s="86">
        <f t="shared" si="24"/>
        <v>3</v>
      </c>
      <c r="L29" s="86">
        <f t="shared" si="24"/>
        <v>4</v>
      </c>
      <c r="M29" s="86" t="str">
        <f t="shared" si="24"/>
        <v/>
      </c>
    </row>
    <row r="30" ht="15.75" customHeight="1">
      <c r="A30" s="69"/>
      <c r="B30" s="69"/>
      <c r="C30" s="71"/>
      <c r="D30" s="91" t="str">
        <f>if(isblank(I30),"",vlookup(I30,Pacing!$A$1:$Z$213,16))</f>
        <v>Give Exit Ticket</v>
      </c>
      <c r="E30" s="89" t="str">
        <f>if(isblank(J30),"",vlookup(J30,Pacing!$A$1:$Z$213,16))</f>
        <v>all 3 days.</v>
      </c>
      <c r="F30" s="89" t="str">
        <f>if(isblank(K30),"",vlookup(K30,Pacing!$A$1:$Z$213,16))</f>
        <v/>
      </c>
      <c r="G30" s="89" t="str">
        <f>if(isblank(L30),"",vlookup(L30,Pacing!$A$1:$Z$213,16))</f>
        <v/>
      </c>
      <c r="H30" s="85" t="str">
        <f>if(isblank(M30),"",vlookup(M30,Pacing!$A$1:$Z$213,16))</f>
        <v/>
      </c>
      <c r="I30" s="86">
        <f t="shared" ref="I30:M30" si="25">I29</f>
        <v>1</v>
      </c>
      <c r="J30" s="86">
        <f t="shared" si="25"/>
        <v>2</v>
      </c>
      <c r="K30" s="86">
        <f t="shared" si="25"/>
        <v>3</v>
      </c>
      <c r="L30" s="86">
        <f t="shared" si="25"/>
        <v>4</v>
      </c>
      <c r="M30" s="86" t="str">
        <f t="shared" si="25"/>
        <v/>
      </c>
    </row>
    <row r="31" ht="15.75" customHeight="1">
      <c r="A31" s="69"/>
      <c r="B31" s="69"/>
      <c r="C31" s="71"/>
      <c r="D31" s="91" t="str">
        <f>if(isblank(I31),"",vlookup(I31,Pacing!$A$1:$Z$213,17))</f>
        <v>PT Teacher</v>
      </c>
      <c r="E31" s="89" t="str">
        <f>if(isblank(J31),"",vlookup(J31,Pacing!$A$1:$Z$213,17))</f>
        <v>PT Teacher</v>
      </c>
      <c r="F31" s="89" t="str">
        <f>if(isblank(K31),"",vlookup(K31,Pacing!$A$1:$Z$213,17))</f>
        <v>PT Teacher</v>
      </c>
      <c r="G31" s="89" t="str">
        <f>if(isblank(L31),"",vlookup(L31,Pacing!$A$1:$Z$213,17))</f>
        <v/>
      </c>
      <c r="H31" s="85" t="str">
        <f>if(isblank(M31),"",vlookup(M31,Pacing!$A$1:$Z$213,17))</f>
        <v/>
      </c>
      <c r="I31" s="86">
        <f t="shared" ref="I31:M31" si="26">I30</f>
        <v>1</v>
      </c>
      <c r="J31" s="86">
        <f t="shared" si="26"/>
        <v>2</v>
      </c>
      <c r="K31" s="86">
        <f t="shared" si="26"/>
        <v>3</v>
      </c>
      <c r="L31" s="86">
        <f t="shared" si="26"/>
        <v>4</v>
      </c>
      <c r="M31" s="86" t="str">
        <f t="shared" si="26"/>
        <v/>
      </c>
    </row>
    <row r="32" ht="15.75" customHeight="1">
      <c r="A32" s="69"/>
      <c r="B32" s="69"/>
      <c r="C32" s="71"/>
      <c r="D32" s="91" t="str">
        <f>if(isblank(I32),"",vlookup(I32,Pacing!$A$1:$Z$213,18))</f>
        <v>Assess Plan</v>
      </c>
      <c r="E32" s="91" t="str">
        <f>if(isblank(J32),"",vlookup(J32,Pacing!$A$1:$Z$213,18))</f>
        <v>Assess Plan</v>
      </c>
      <c r="F32" s="91" t="str">
        <f>if(isblank(K32),"",vlookup(K32,Pacing!$A$1:$Z$213,18))</f>
        <v>Assess Plan</v>
      </c>
      <c r="G32" s="91" t="str">
        <f>if(isblank(L32),"",vlookup(L32,Pacing!$A$1:$Z$213,18))</f>
        <v/>
      </c>
      <c r="H32" s="129" t="str">
        <f>if(isblank(M32),"",vlookup(M32,Pacing!$A$1:$Z$213,18))</f>
        <v/>
      </c>
      <c r="I32" s="86">
        <f t="shared" ref="I32:M32" si="27">I31</f>
        <v>1</v>
      </c>
      <c r="J32" s="86">
        <f t="shared" si="27"/>
        <v>2</v>
      </c>
      <c r="K32" s="86">
        <f t="shared" si="27"/>
        <v>3</v>
      </c>
      <c r="L32" s="86">
        <f t="shared" si="27"/>
        <v>4</v>
      </c>
      <c r="M32" s="86" t="str">
        <f t="shared" si="27"/>
        <v/>
      </c>
    </row>
    <row r="33" ht="15.75" customHeight="1">
      <c r="A33" s="69"/>
      <c r="B33" s="69"/>
      <c r="C33" s="71"/>
      <c r="D33" s="91" t="str">
        <f>if(isblank(I33),"",vlookup(I33,Pacing!$A$1:$Z$213,19))</f>
        <v>Perform Task</v>
      </c>
      <c r="E33" s="89" t="str">
        <f>if(isblank(J33),"",vlookup(J33,Pacing!$A$1:$Z$213,19))</f>
        <v>Perform Task</v>
      </c>
      <c r="F33" s="89" t="str">
        <f>if(isblank(K33),"",vlookup(K33,Pacing!$A$1:$Z$213,19))</f>
        <v>Perform Task</v>
      </c>
      <c r="G33" s="89" t="str">
        <f>if(isblank(L33),"",vlookup(L33,Pacing!$A$1:$Z$213,19))</f>
        <v/>
      </c>
      <c r="H33" s="85" t="str">
        <f>if(isblank(M33),"",vlookup(M33,Pacing!$A$1:$Z$213,19))</f>
        <v/>
      </c>
      <c r="I33" s="86">
        <f t="shared" ref="I33:M33" si="28">I32</f>
        <v>1</v>
      </c>
      <c r="J33" s="86">
        <f t="shared" si="28"/>
        <v>2</v>
      </c>
      <c r="K33" s="86">
        <f t="shared" si="28"/>
        <v>3</v>
      </c>
      <c r="L33" s="86">
        <f t="shared" si="28"/>
        <v>4</v>
      </c>
      <c r="M33" s="86" t="str">
        <f t="shared" si="28"/>
        <v/>
      </c>
    </row>
    <row r="34" ht="15.75" customHeight="1">
      <c r="A34" s="69"/>
      <c r="B34" s="69"/>
      <c r="C34" s="71"/>
      <c r="D34" s="91" t="str">
        <f>if(isblank(I34),"",vlookup(I34,Pacing!$A$1:$Z$213,20))</f>
        <v>Quick Check</v>
      </c>
      <c r="E34" s="89" t="str">
        <f>if(isblank(J34),"",vlookup(J34,Pacing!$A$1:$Z$213,20))</f>
        <v>Quick Check</v>
      </c>
      <c r="F34" s="89" t="str">
        <f>if(isblank(K34),"",vlookup(K34,Pacing!$A$1:$Z$213,20))</f>
        <v>Quick Check</v>
      </c>
      <c r="G34" s="89" t="str">
        <f>if(isblank(L34),"",vlookup(L34,Pacing!$A$1:$Z$213,20))</f>
        <v/>
      </c>
      <c r="H34" s="85" t="str">
        <f>if(isblank(M34),"",vlookup(M34,Pacing!$A$1:$Z$213,20))</f>
        <v/>
      </c>
      <c r="I34" s="86">
        <f t="shared" ref="I34:M34" si="29">I33</f>
        <v>1</v>
      </c>
      <c r="J34" s="86">
        <f t="shared" si="29"/>
        <v>2</v>
      </c>
      <c r="K34" s="86">
        <f t="shared" si="29"/>
        <v>3</v>
      </c>
      <c r="L34" s="86">
        <f t="shared" si="29"/>
        <v>4</v>
      </c>
      <c r="M34" s="86" t="str">
        <f t="shared" si="29"/>
        <v/>
      </c>
    </row>
    <row r="35" ht="15.75" customHeight="1">
      <c r="A35" s="69"/>
      <c r="B35" s="69"/>
      <c r="C35" s="71"/>
      <c r="D35" s="91" t="str">
        <f>if(isblank(I35),"",vlookup(I35,Pacing!$A$1:$Z$213,21))</f>
        <v>Exit Ticket</v>
      </c>
      <c r="E35" s="89" t="str">
        <f>if(isblank(J35),"",vlookup(J35,Pacing!$A$1:$Z$213,21))</f>
        <v>Exit Ticket</v>
      </c>
      <c r="F35" s="89" t="str">
        <f>if(isblank(K35),"",vlookup(K35,Pacing!$A$1:$Z$213,21))</f>
        <v>Exit Ticket</v>
      </c>
      <c r="G35" s="89" t="str">
        <f>if(isblank(L35),"",vlookup(L35,Pacing!$A$1:$Z$213,21))</f>
        <v/>
      </c>
      <c r="H35" s="85" t="str">
        <f>if(isblank(M35),"",vlookup(M35,Pacing!$A$1:$Z$213,21))</f>
        <v/>
      </c>
      <c r="I35" s="86">
        <f t="shared" ref="I35:M35" si="30">I34</f>
        <v>1</v>
      </c>
      <c r="J35" s="86">
        <f t="shared" si="30"/>
        <v>2</v>
      </c>
      <c r="K35" s="86">
        <f t="shared" si="30"/>
        <v>3</v>
      </c>
      <c r="L35" s="86">
        <f t="shared" si="30"/>
        <v>4</v>
      </c>
      <c r="M35" s="86" t="str">
        <f t="shared" si="30"/>
        <v/>
      </c>
    </row>
    <row r="36" ht="15.75" customHeight="1">
      <c r="A36" s="69"/>
      <c r="B36" s="69"/>
      <c r="C36" s="71"/>
      <c r="D36" s="91" t="str">
        <f>if(isblank(I36),"",vlookup(I36,Pacing!$A$1:$Z$213,22))</f>
        <v>Practice 2</v>
      </c>
      <c r="E36" s="91" t="str">
        <f>if(isblank(J36),"",vlookup(J36,Pacing!$A$1:$Z$213,22))</f>
        <v>Practice 2</v>
      </c>
      <c r="F36" s="91" t="str">
        <f>if(isblank(K36),"",vlookup(K36,Pacing!$A$1:$Z$213,22))</f>
        <v>Practice 2</v>
      </c>
      <c r="G36" s="91" t="str">
        <f>if(isblank(L36),"",vlookup(L36,Pacing!$A$1:$Z$213,22))</f>
        <v/>
      </c>
      <c r="H36" s="129" t="str">
        <f>if(isblank(M36),"",vlookup(M36,Pacing!$A$1:$Z$213,22))</f>
        <v/>
      </c>
      <c r="I36" s="86">
        <f t="shared" ref="I36:M36" si="31">I35</f>
        <v>1</v>
      </c>
      <c r="J36" s="86">
        <f t="shared" si="31"/>
        <v>2</v>
      </c>
      <c r="K36" s="86">
        <f t="shared" si="31"/>
        <v>3</v>
      </c>
      <c r="L36" s="86">
        <f t="shared" si="31"/>
        <v>4</v>
      </c>
      <c r="M36" s="86" t="str">
        <f t="shared" si="31"/>
        <v/>
      </c>
    </row>
    <row r="37" ht="15.75" customHeight="1">
      <c r="A37" s="69"/>
      <c r="B37" s="69"/>
      <c r="C37" s="71"/>
      <c r="D37" s="91" t="str">
        <f>if(isblank(I37),"",vlookup(I37,Pacing!$A$1:$Z$213,23))</f>
        <v>Practice 3</v>
      </c>
      <c r="E37" s="89" t="str">
        <f>if(isblank(J37),"",vlookup(J37,Pacing!$A$1:$Z$213,23))</f>
        <v>Practice 3</v>
      </c>
      <c r="F37" s="89" t="str">
        <f>if(isblank(K37),"",vlookup(K37,Pacing!$A$1:$Z$213,23))</f>
        <v>Practice 3</v>
      </c>
      <c r="G37" s="89" t="str">
        <f>if(isblank(L37),"",vlookup(L37,Pacing!$A$1:$Z$213,23))</f>
        <v/>
      </c>
      <c r="H37" s="85" t="str">
        <f>if(isblank(M37),"",vlookup(M37,Pacing!$A$1:$Z$213,23))</f>
        <v/>
      </c>
      <c r="I37" s="86">
        <f t="shared" ref="I37:M37" si="32">I36</f>
        <v>1</v>
      </c>
      <c r="J37" s="86">
        <f t="shared" si="32"/>
        <v>2</v>
      </c>
      <c r="K37" s="86">
        <f t="shared" si="32"/>
        <v>3</v>
      </c>
      <c r="L37" s="86">
        <f t="shared" si="32"/>
        <v>4</v>
      </c>
      <c r="M37" s="86" t="str">
        <f t="shared" si="32"/>
        <v/>
      </c>
    </row>
    <row r="38" ht="15.75" customHeight="1">
      <c r="A38" s="69"/>
      <c r="B38" s="69"/>
      <c r="C38" s="71"/>
      <c r="D38" s="91" t="str">
        <f>if(isblank(I38),"",vlookup(I38,Pacing!$A$1:$Z$213,24))</f>
        <v/>
      </c>
      <c r="E38" s="89" t="str">
        <f>if(isblank(J38),"",vlookup(J38,Pacing!$A$1:$Z$213,24))</f>
        <v/>
      </c>
      <c r="F38" s="89" t="str">
        <f>if(isblank(K38),"",vlookup(K38,Pacing!$A$1:$Z$213,24))</f>
        <v/>
      </c>
      <c r="G38" s="89" t="str">
        <f>if(isblank(L38),"",vlookup(L38,Pacing!$A$1:$Z$213,24))</f>
        <v/>
      </c>
      <c r="H38" s="85" t="str">
        <f>if(isblank(M38),"",vlookup(M38,Pacing!$A$1:$Z$213,24))</f>
        <v/>
      </c>
      <c r="I38" s="86">
        <f t="shared" ref="I38:M38" si="33">I37</f>
        <v>1</v>
      </c>
      <c r="J38" s="86">
        <f t="shared" si="33"/>
        <v>2</v>
      </c>
      <c r="K38" s="86">
        <f t="shared" si="33"/>
        <v>3</v>
      </c>
      <c r="L38" s="86">
        <f t="shared" si="33"/>
        <v>4</v>
      </c>
      <c r="M38" s="86" t="str">
        <f t="shared" si="33"/>
        <v/>
      </c>
    </row>
    <row r="39" ht="15.75" customHeight="1">
      <c r="A39" s="69"/>
      <c r="B39" s="69"/>
      <c r="C39" s="71"/>
      <c r="D39" s="91" t="str">
        <f>if(isblank(I39),"",vlookup(I39,Pacing!$A$1:$Z$213,25))</f>
        <v/>
      </c>
      <c r="E39" s="89" t="str">
        <f>if(isblank(J39),"",vlookup(J39,Pacing!$A$1:$Z$213,25))</f>
        <v/>
      </c>
      <c r="F39" s="89" t="str">
        <f>if(isblank(K39),"",vlookup(K39,Pacing!$A$1:$Z$213,25))</f>
        <v/>
      </c>
      <c r="G39" s="89" t="str">
        <f>if(isblank(L39),"",vlookup(L39,Pacing!$A$1:$Z$213,25))</f>
        <v/>
      </c>
      <c r="H39" s="85" t="str">
        <f>if(isblank(M39),"",vlookup(M39,Pacing!$A$1:$Z$213,25))</f>
        <v/>
      </c>
      <c r="I39" s="86">
        <f t="shared" ref="I39:M39" si="34">I38</f>
        <v>1</v>
      </c>
      <c r="J39" s="86">
        <f t="shared" si="34"/>
        <v>2</v>
      </c>
      <c r="K39" s="86">
        <f t="shared" si="34"/>
        <v>3</v>
      </c>
      <c r="L39" s="86">
        <f t="shared" si="34"/>
        <v>4</v>
      </c>
      <c r="M39" s="86" t="str">
        <f t="shared" si="34"/>
        <v/>
      </c>
    </row>
    <row r="40" ht="15.75" customHeight="1">
      <c r="A40" s="69"/>
      <c r="B40" s="69"/>
      <c r="C40" s="71"/>
      <c r="D40" s="91" t="str">
        <f>if(isblank(I40),"",vlookup(I40,Pacing!$A$1:$Z$213,26))</f>
        <v/>
      </c>
      <c r="E40" s="89" t="str">
        <f>if(isblank(J40),"",vlookup(J40,Pacing!$A$1:$Z$213,26))</f>
        <v/>
      </c>
      <c r="F40" s="89" t="str">
        <f>if(isblank(K40),"",vlookup(K40,Pacing!$A$1:$Z$213,26))</f>
        <v/>
      </c>
      <c r="G40" s="89" t="str">
        <f>if(isblank(L40),"",vlookup(L40,Pacing!$A$1:$Z$213,26))</f>
        <v/>
      </c>
      <c r="H40" s="85" t="str">
        <f>if(isblank(M40),"",vlookup(M40,Pacing!$A$1:$Z$213,26))</f>
        <v/>
      </c>
      <c r="I40" s="86">
        <f t="shared" ref="I40:M40" si="35">I39</f>
        <v>1</v>
      </c>
      <c r="J40" s="86">
        <f t="shared" si="35"/>
        <v>2</v>
      </c>
      <c r="K40" s="86">
        <f t="shared" si="35"/>
        <v>3</v>
      </c>
      <c r="L40" s="86">
        <f t="shared" si="35"/>
        <v>4</v>
      </c>
      <c r="M40" s="86" t="str">
        <f t="shared" si="35"/>
        <v/>
      </c>
    </row>
    <row r="41" ht="15.75" customHeight="1">
      <c r="A41" s="137"/>
      <c r="B41" s="137"/>
      <c r="C41" s="138"/>
      <c r="D41" s="139"/>
      <c r="E41" s="139">
        <f>G11+1</f>
        <v>5</v>
      </c>
      <c r="F41" s="139">
        <f t="shared" ref="F41:H41" si="36">E41+1</f>
        <v>6</v>
      </c>
      <c r="G41" s="139">
        <f t="shared" si="36"/>
        <v>7</v>
      </c>
      <c r="H41" s="139">
        <f t="shared" si="36"/>
        <v>8</v>
      </c>
      <c r="I41" s="55" t="str">
        <f t="shared" ref="I41:M41" si="37">D41</f>
        <v/>
      </c>
      <c r="J41" s="55">
        <f t="shared" si="37"/>
        <v>5</v>
      </c>
      <c r="K41" s="55">
        <f t="shared" si="37"/>
        <v>6</v>
      </c>
      <c r="L41" s="55">
        <f t="shared" si="37"/>
        <v>7</v>
      </c>
      <c r="M41" s="55">
        <f t="shared" si="37"/>
        <v>8</v>
      </c>
    </row>
    <row r="42" ht="15.75" customHeight="1">
      <c r="A42" s="69">
        <f>B42+1</f>
        <v>21</v>
      </c>
      <c r="B42" s="69">
        <f t="shared" ref="B42:B49" si="39">$C$42*10</f>
        <v>20</v>
      </c>
      <c r="C42" s="71">
        <f>C15+1</f>
        <v>2</v>
      </c>
      <c r="D42" s="74">
        <f>D15+7</f>
        <v>46272</v>
      </c>
      <c r="E42" s="72">
        <f t="shared" ref="E42:H42" si="38">D42+1</f>
        <v>46273</v>
      </c>
      <c r="F42" s="72">
        <f t="shared" si="38"/>
        <v>46274</v>
      </c>
      <c r="G42" s="72">
        <f t="shared" si="38"/>
        <v>46275</v>
      </c>
      <c r="H42" s="72">
        <f t="shared" si="38"/>
        <v>46276</v>
      </c>
      <c r="I42" s="62" t="s">
        <v>42</v>
      </c>
    </row>
    <row r="43" ht="15.75" customHeight="1">
      <c r="A43" s="75">
        <f>B43+2</f>
        <v>22</v>
      </c>
      <c r="B43" s="75">
        <f t="shared" si="39"/>
        <v>20</v>
      </c>
      <c r="C43" s="76"/>
      <c r="D43" s="77" t="str">
        <f>if(isblank(I43),"",vlookup(I43,Pacing!$A$1:$Z$213,2))</f>
        <v/>
      </c>
      <c r="E43" s="67" t="str">
        <f>if(isblank(J43),"",vlookup(J43,Pacing!$A$1:$Z$213,2))</f>
        <v>1.1: Think Physics</v>
      </c>
      <c r="F43" s="67" t="str">
        <f>if(isblank(K43),"",vlookup(K43,Pacing!$A$1:$Z$213,2))</f>
        <v>1.1: Think Physics</v>
      </c>
      <c r="G43" s="131" t="str">
        <f>if(isblank(L43),"",vlookup(L43,Pacing!$A$1:$Z$213,2))</f>
        <v>1.1: Think Physics</v>
      </c>
      <c r="H43" s="131" t="str">
        <f>if(isblank(M43),"",vlookup(M43,Pacing!$A$1:$Z$213,2))</f>
        <v>1.2: Forces &amp; N1L</v>
      </c>
      <c r="I43" s="78" t="str">
        <f t="shared" ref="I43:M43" si="40">I41</f>
        <v/>
      </c>
      <c r="J43" s="78">
        <f t="shared" si="40"/>
        <v>5</v>
      </c>
      <c r="K43" s="78">
        <f t="shared" si="40"/>
        <v>6</v>
      </c>
      <c r="L43" s="78">
        <f t="shared" si="40"/>
        <v>7</v>
      </c>
      <c r="M43" s="78">
        <f t="shared" si="40"/>
        <v>8</v>
      </c>
    </row>
    <row r="44" ht="15.75" customHeight="1">
      <c r="A44" s="69">
        <f>B44+3</f>
        <v>23</v>
      </c>
      <c r="B44" s="69">
        <f t="shared" si="39"/>
        <v>20</v>
      </c>
      <c r="C44" s="76"/>
      <c r="D44" s="129" t="str">
        <f>if(isblank(I44),"",vlookup(I44,Pacing!$A$1:$Z$213,3))</f>
        <v/>
      </c>
      <c r="E44" s="81" t="str">
        <f>if(isblank(J44),"",vlookup(J44,Pacing!$A$1:$Z$213,3))</f>
        <v>Warm Up</v>
      </c>
      <c r="F44" s="81" t="str">
        <f>if(isblank(K44),"",vlookup(K44,Pacing!$A$1:$Z$213,3))</f>
        <v>Warm Up</v>
      </c>
      <c r="G44" s="81" t="str">
        <f>if(isblank(L44),"",vlookup(L44,Pacing!$A$1:$Z$213,3))</f>
        <v>Warm Up</v>
      </c>
      <c r="H44" s="81" t="str">
        <f>if(isblank(M44),"",vlookup(M44,Pacing!$A$1:$Z$213,3))</f>
        <v>Warm Up</v>
      </c>
      <c r="I44" s="86" t="str">
        <f t="shared" ref="I44:M44" si="41">I43</f>
        <v/>
      </c>
      <c r="J44" s="86">
        <f t="shared" si="41"/>
        <v>5</v>
      </c>
      <c r="K44" s="86">
        <f t="shared" si="41"/>
        <v>6</v>
      </c>
      <c r="L44" s="86">
        <f t="shared" si="41"/>
        <v>7</v>
      </c>
      <c r="M44" s="86">
        <f t="shared" si="41"/>
        <v>8</v>
      </c>
    </row>
    <row r="45" ht="15.75" customHeight="1">
      <c r="A45" s="69">
        <f>B45+4</f>
        <v>24</v>
      </c>
      <c r="B45" s="69">
        <f t="shared" si="39"/>
        <v>20</v>
      </c>
      <c r="C45" s="76"/>
      <c r="D45" s="129" t="str">
        <f>if(isblank(I45),"",vlookup(I45,Pacing!$A$1:$Z$213,4))</f>
        <v/>
      </c>
      <c r="E45" s="81" t="str">
        <f>if(isblank(J45),"",vlookup(J45,Pacing!$A$1:$Z$213,4))</f>
        <v>Demo</v>
      </c>
      <c r="F45" s="81" t="str">
        <f>if(isblank(K45),"",vlookup(K45,Pacing!$A$1:$Z$213,4))</f>
        <v>Demo</v>
      </c>
      <c r="G45" s="81" t="str">
        <f>if(isblank(L45),"",vlookup(L45,Pacing!$A$1:$Z$213,4))</f>
        <v>Demo</v>
      </c>
      <c r="H45" s="81" t="str">
        <f>if(isblank(M45),"",vlookup(M45,Pacing!$A$1:$Z$213,4))</f>
        <v>Demo</v>
      </c>
      <c r="I45" s="86" t="str">
        <f t="shared" ref="I45:M45" si="42">I44</f>
        <v/>
      </c>
      <c r="J45" s="86">
        <f t="shared" si="42"/>
        <v>5</v>
      </c>
      <c r="K45" s="86">
        <f t="shared" si="42"/>
        <v>6</v>
      </c>
      <c r="L45" s="86">
        <f t="shared" si="42"/>
        <v>7</v>
      </c>
      <c r="M45" s="86">
        <f t="shared" si="42"/>
        <v>8</v>
      </c>
    </row>
    <row r="46" ht="15.75" customHeight="1">
      <c r="A46" s="69">
        <f>B46+5</f>
        <v>25</v>
      </c>
      <c r="B46" s="69">
        <f t="shared" si="39"/>
        <v>20</v>
      </c>
      <c r="C46" s="76"/>
      <c r="D46" s="129" t="str">
        <f>if(isblank(I46),"",vlookup(I46,Pacing!$A$1:$Z$213,5))</f>
        <v/>
      </c>
      <c r="E46" s="81" t="str">
        <f>if(isblank(J46),"",vlookup(J46,Pacing!$A$1:$Z$213,5))</f>
        <v>Notes</v>
      </c>
      <c r="F46" s="81" t="str">
        <f>if(isblank(K46),"",vlookup(K46,Pacing!$A$1:$Z$213,5))</f>
        <v>Notes</v>
      </c>
      <c r="G46" s="81" t="str">
        <f>if(isblank(L46),"",vlookup(L46,Pacing!$A$1:$Z$213,5))</f>
        <v>Notes</v>
      </c>
      <c r="H46" s="81" t="str">
        <f>if(isblank(M46),"",vlookup(M46,Pacing!$A$1:$Z$213,5))</f>
        <v>Notes</v>
      </c>
      <c r="I46" s="86" t="str">
        <f t="shared" ref="I46:M46" si="43">I45</f>
        <v/>
      </c>
      <c r="J46" s="86">
        <f t="shared" si="43"/>
        <v>5</v>
      </c>
      <c r="K46" s="86">
        <f t="shared" si="43"/>
        <v>6</v>
      </c>
      <c r="L46" s="86">
        <f t="shared" si="43"/>
        <v>7</v>
      </c>
      <c r="M46" s="86">
        <f t="shared" si="43"/>
        <v>8</v>
      </c>
    </row>
    <row r="47" ht="15.75" customHeight="1">
      <c r="A47" s="69">
        <f>B47+6</f>
        <v>26</v>
      </c>
      <c r="B47" s="69">
        <f t="shared" si="39"/>
        <v>20</v>
      </c>
      <c r="C47" s="76"/>
      <c r="D47" s="129" t="str">
        <f>if(isblank(I47),"",vlookup(I47,Pacing!$A$1:$Z$213,6))</f>
        <v/>
      </c>
      <c r="E47" s="81" t="str">
        <f>if(isblank(J47),"",vlookup(J47,Pacing!$A$1:$Z$213,6))</f>
        <v>Investigation</v>
      </c>
      <c r="F47" s="81" t="str">
        <f>if(isblank(K47),"",vlookup(K47,Pacing!$A$1:$Z$213,6))</f>
        <v>Investigation</v>
      </c>
      <c r="G47" s="81" t="str">
        <f>if(isblank(L47),"",vlookup(L47,Pacing!$A$1:$Z$213,6))</f>
        <v>Investigation</v>
      </c>
      <c r="H47" s="81" t="str">
        <f>if(isblank(M47),"",vlookup(M47,Pacing!$A$1:$Z$213,6))</f>
        <v>Investigation</v>
      </c>
      <c r="I47" s="86" t="str">
        <f t="shared" ref="I47:M47" si="44">I46</f>
        <v/>
      </c>
      <c r="J47" s="86">
        <f t="shared" si="44"/>
        <v>5</v>
      </c>
      <c r="K47" s="86">
        <f t="shared" si="44"/>
        <v>6</v>
      </c>
      <c r="L47" s="86">
        <f t="shared" si="44"/>
        <v>7</v>
      </c>
      <c r="M47" s="86">
        <f t="shared" si="44"/>
        <v>8</v>
      </c>
    </row>
    <row r="48" ht="15.75" customHeight="1">
      <c r="A48" s="69">
        <f>B48+7</f>
        <v>27</v>
      </c>
      <c r="B48" s="69">
        <f t="shared" si="39"/>
        <v>20</v>
      </c>
      <c r="C48" s="76"/>
      <c r="D48" s="129" t="str">
        <f>if(isblank(I48),"",vlookup(I48,Pacing!$A$1:$Z$213,7))</f>
        <v/>
      </c>
      <c r="E48" s="81" t="str">
        <f>if(isblank(J48),"",vlookup(J48,Pacing!$A$1:$Z$213,7))</f>
        <v>Activity</v>
      </c>
      <c r="F48" s="81" t="str">
        <f>if(isblank(K48),"",vlookup(K48,Pacing!$A$1:$Z$213,7))</f>
        <v>Activity</v>
      </c>
      <c r="G48" s="81" t="str">
        <f>if(isblank(L48),"",vlookup(L48,Pacing!$A$1:$Z$213,7))</f>
        <v>Activity</v>
      </c>
      <c r="H48" s="81" t="str">
        <f>if(isblank(M48),"",vlookup(M48,Pacing!$A$1:$Z$213,7))</f>
        <v>Activity</v>
      </c>
      <c r="I48" s="86" t="str">
        <f t="shared" ref="I48:M48" si="45">I47</f>
        <v/>
      </c>
      <c r="J48" s="86">
        <f t="shared" si="45"/>
        <v>5</v>
      </c>
      <c r="K48" s="86">
        <f t="shared" si="45"/>
        <v>6</v>
      </c>
      <c r="L48" s="86">
        <f t="shared" si="45"/>
        <v>7</v>
      </c>
      <c r="M48" s="86">
        <f t="shared" si="45"/>
        <v>8</v>
      </c>
    </row>
    <row r="49" ht="15.75" customHeight="1">
      <c r="A49" s="69">
        <f>B49+8</f>
        <v>28</v>
      </c>
      <c r="B49" s="69">
        <f t="shared" si="39"/>
        <v>20</v>
      </c>
      <c r="C49" s="95"/>
      <c r="D49" s="129" t="str">
        <f>if(isblank(I49),"",vlookup(I49,Pacing!$A$1:$Z$213,8))</f>
        <v/>
      </c>
      <c r="E49" s="81" t="str">
        <f>if(isblank(J49),"",vlookup(J49,Pacing!$A$1:$Z$213,8))</f>
        <v>Practice Set</v>
      </c>
      <c r="F49" s="81" t="str">
        <f>if(isblank(K49),"",vlookup(K49,Pacing!$A$1:$Z$213,8))</f>
        <v>Practice Set</v>
      </c>
      <c r="G49" s="81" t="str">
        <f>if(isblank(L49),"",vlookup(L49,Pacing!$A$1:$Z$213,8))</f>
        <v>Practice Set</v>
      </c>
      <c r="H49" s="81" t="str">
        <f>if(isblank(M49),"",vlookup(M49,Pacing!$A$1:$Z$213,8))</f>
        <v>Practice Set</v>
      </c>
      <c r="I49" s="86" t="str">
        <f t="shared" ref="I49:M49" si="46">I48</f>
        <v/>
      </c>
      <c r="J49" s="86">
        <f t="shared" si="46"/>
        <v>5</v>
      </c>
      <c r="K49" s="86">
        <f t="shared" si="46"/>
        <v>6</v>
      </c>
      <c r="L49" s="86">
        <f t="shared" si="46"/>
        <v>7</v>
      </c>
      <c r="M49" s="86">
        <f t="shared" si="46"/>
        <v>8</v>
      </c>
    </row>
    <row r="50" ht="15.75" customHeight="1">
      <c r="A50" s="69"/>
      <c r="B50" s="69"/>
      <c r="C50" s="71"/>
      <c r="D50" s="129" t="str">
        <f>if(isblank(I50),"",vlookup(I50,Pacing!$A$1:$Z$213,9))</f>
        <v/>
      </c>
      <c r="E50" s="81" t="str">
        <f>if(isblank(J50),"",vlookup(J50,Pacing!$A$1:$Z$213,9))</f>
        <v>Extra Practice</v>
      </c>
      <c r="F50" s="81" t="str">
        <f>if(isblank(K50),"",vlookup(K50,Pacing!$A$1:$Z$213,9))</f>
        <v>Extra Practice</v>
      </c>
      <c r="G50" s="81" t="str">
        <f>if(isblank(L50),"",vlookup(L50,Pacing!$A$1:$Z$213,9))</f>
        <v>Extra Practice</v>
      </c>
      <c r="H50" s="81" t="str">
        <f>if(isblank(M50),"",vlookup(M50,Pacing!$A$1:$Z$213,9))</f>
        <v>Extra Practice</v>
      </c>
      <c r="I50" s="86" t="str">
        <f t="shared" ref="I50:M50" si="47">I49</f>
        <v/>
      </c>
      <c r="J50" s="86">
        <f t="shared" si="47"/>
        <v>5</v>
      </c>
      <c r="K50" s="86">
        <f t="shared" si="47"/>
        <v>6</v>
      </c>
      <c r="L50" s="86">
        <f t="shared" si="47"/>
        <v>7</v>
      </c>
      <c r="M50" s="86">
        <f t="shared" si="47"/>
        <v>8</v>
      </c>
    </row>
    <row r="51" ht="15.75" customHeight="1">
      <c r="A51" s="69"/>
      <c r="B51" s="69"/>
      <c r="C51" s="71"/>
      <c r="D51" s="129" t="str">
        <f>if(isblank(I51),"",vlookup(I51,Pacing!$A$1:$Z$213,10))</f>
        <v/>
      </c>
      <c r="E51" s="81" t="str">
        <f>if(isblank(J51),"",vlookup(J51,Pacing!$A$1:$Z$213,10))</f>
        <v>CYU</v>
      </c>
      <c r="F51" s="81" t="str">
        <f>if(isblank(K51),"",vlookup(K51,Pacing!$A$1:$Z$213,10))</f>
        <v>CYU</v>
      </c>
      <c r="G51" s="81" t="str">
        <f>if(isblank(L51),"",vlookup(L51,Pacing!$A$1:$Z$213,10))</f>
        <v>CYU</v>
      </c>
      <c r="H51" s="81" t="str">
        <f>if(isblank(M51),"",vlookup(M51,Pacing!$A$1:$Z$213,10))</f>
        <v>CYU</v>
      </c>
      <c r="I51" s="86" t="str">
        <f t="shared" ref="I51:M51" si="48">I50</f>
        <v/>
      </c>
      <c r="J51" s="86">
        <f t="shared" si="48"/>
        <v>5</v>
      </c>
      <c r="K51" s="86">
        <f t="shared" si="48"/>
        <v>6</v>
      </c>
      <c r="L51" s="86">
        <f t="shared" si="48"/>
        <v>7</v>
      </c>
      <c r="M51" s="86">
        <f t="shared" si="48"/>
        <v>8</v>
      </c>
    </row>
    <row r="52" ht="15.75" customHeight="1">
      <c r="A52" s="69"/>
      <c r="B52" s="69"/>
      <c r="C52" s="71"/>
      <c r="D52" s="129" t="str">
        <f>if(isblank(I52),"",vlookup(I52,Pacing!$A$1:$Z$213,11))</f>
        <v/>
      </c>
      <c r="E52" s="81" t="str">
        <f>if(isblank(J52),"",vlookup(J52,Pacing!$A$1:$Z$213,11))</f>
        <v>Progress</v>
      </c>
      <c r="F52" s="81" t="str">
        <f>if(isblank(K52),"",vlookup(K52,Pacing!$A$1:$Z$213,11))</f>
        <v>Progress</v>
      </c>
      <c r="G52" s="81" t="str">
        <f>if(isblank(L52),"",vlookup(L52,Pacing!$A$1:$Z$213,11))</f>
        <v>Progress</v>
      </c>
      <c r="H52" s="81" t="str">
        <f>if(isblank(M52),"",vlookup(M52,Pacing!$A$1:$Z$213,11))</f>
        <v>Progress</v>
      </c>
      <c r="I52" s="86" t="str">
        <f t="shared" ref="I52:M52" si="49">I51</f>
        <v/>
      </c>
      <c r="J52" s="86">
        <f t="shared" si="49"/>
        <v>5</v>
      </c>
      <c r="K52" s="86">
        <f t="shared" si="49"/>
        <v>6</v>
      </c>
      <c r="L52" s="86">
        <f t="shared" si="49"/>
        <v>7</v>
      </c>
      <c r="M52" s="86">
        <f t="shared" si="49"/>
        <v>8</v>
      </c>
    </row>
    <row r="53" ht="15.75" customHeight="1">
      <c r="A53" s="69"/>
      <c r="B53" s="69"/>
      <c r="C53" s="71"/>
      <c r="D53" s="129" t="str">
        <f>if(isblank(I53),"",vlookup(I53,Pacing!$A$1:$Z$213,12))</f>
        <v/>
      </c>
      <c r="E53" s="81" t="str">
        <f>if(isblank(J53),"",vlookup(J53,Pacing!$A$1:$Z$213,12))</f>
        <v>Review</v>
      </c>
      <c r="F53" s="81" t="str">
        <f>if(isblank(K53),"",vlookup(K53,Pacing!$A$1:$Z$213,12))</f>
        <v>Review</v>
      </c>
      <c r="G53" s="81" t="str">
        <f>if(isblank(L53),"",vlookup(L53,Pacing!$A$1:$Z$213,12))</f>
        <v>Review</v>
      </c>
      <c r="H53" s="81" t="str">
        <f>if(isblank(M53),"",vlookup(M53,Pacing!$A$1:$Z$213,12))</f>
        <v>Review</v>
      </c>
      <c r="I53" s="86" t="str">
        <f t="shared" ref="I53:M53" si="50">I52</f>
        <v/>
      </c>
      <c r="J53" s="86">
        <f t="shared" si="50"/>
        <v>5</v>
      </c>
      <c r="K53" s="86">
        <f t="shared" si="50"/>
        <v>6</v>
      </c>
      <c r="L53" s="86">
        <f t="shared" si="50"/>
        <v>7</v>
      </c>
      <c r="M53" s="86">
        <f t="shared" si="50"/>
        <v>8</v>
      </c>
    </row>
    <row r="54" ht="15.75" customHeight="1">
      <c r="A54" s="69"/>
      <c r="B54" s="69"/>
      <c r="C54" s="71"/>
      <c r="D54" s="129" t="str">
        <f>if(isblank(I54),"",vlookup(I54,Pacing!$A$1:$Z$213,13))</f>
        <v/>
      </c>
      <c r="E54" s="91" t="str">
        <f>if(isblank(J54),"",vlookup(J54,Pacing!$A$1:$Z$213,13))</f>
        <v/>
      </c>
      <c r="F54" s="91" t="str">
        <f>if(isblank(K54),"",vlookup(K54,Pacing!$A$1:$Z$213,13))</f>
        <v/>
      </c>
      <c r="G54" s="91" t="str">
        <f>if(isblank(L54),"",vlookup(L54,Pacing!$A$1:$Z$213,13))</f>
        <v/>
      </c>
      <c r="H54" s="91" t="str">
        <f>if(isblank(M54),"",vlookup(M54,Pacing!$A$1:$Z$213,13))</f>
        <v/>
      </c>
      <c r="I54" s="86" t="str">
        <f t="shared" ref="I54:M54" si="51">I53</f>
        <v/>
      </c>
      <c r="J54" s="86">
        <f t="shared" si="51"/>
        <v>5</v>
      </c>
      <c r="K54" s="86">
        <f t="shared" si="51"/>
        <v>6</v>
      </c>
      <c r="L54" s="86">
        <f t="shared" si="51"/>
        <v>7</v>
      </c>
      <c r="M54" s="86">
        <f t="shared" si="51"/>
        <v>8</v>
      </c>
    </row>
    <row r="55" ht="15.75" customHeight="1">
      <c r="A55" s="69"/>
      <c r="B55" s="69"/>
      <c r="C55" s="71"/>
      <c r="D55" s="129" t="str">
        <f>if(isblank(I55),"",vlookup(I55,Pacing!$A$1:$Z$213,14))</f>
        <v/>
      </c>
      <c r="E55" s="81" t="str">
        <f>if(isblank(J55),"",vlookup(J55,Pacing!$A$1:$Z$213,14))</f>
        <v>Notes Teacher</v>
      </c>
      <c r="F55" s="81" t="str">
        <f>if(isblank(K55),"",vlookup(K55,Pacing!$A$1:$Z$213,14))</f>
        <v>Notes Teacher</v>
      </c>
      <c r="G55" s="81" t="str">
        <f>if(isblank(L55),"",vlookup(L55,Pacing!$A$1:$Z$213,14))</f>
        <v>Notes Teacher</v>
      </c>
      <c r="H55" s="81" t="str">
        <f>if(isblank(M55),"",vlookup(M55,Pacing!$A$1:$Z$213,14))</f>
        <v>Notes Teacher</v>
      </c>
      <c r="I55" s="86" t="str">
        <f t="shared" ref="I55:M55" si="52">I54</f>
        <v/>
      </c>
      <c r="J55" s="86">
        <f t="shared" si="52"/>
        <v>5</v>
      </c>
      <c r="K55" s="86">
        <f t="shared" si="52"/>
        <v>6</v>
      </c>
      <c r="L55" s="86">
        <f t="shared" si="52"/>
        <v>7</v>
      </c>
      <c r="M55" s="86">
        <f t="shared" si="52"/>
        <v>8</v>
      </c>
    </row>
    <row r="56" ht="15.75" customHeight="1">
      <c r="A56" s="69"/>
      <c r="B56" s="69"/>
      <c r="C56" s="71"/>
      <c r="D56" s="129" t="str">
        <f>if(isblank(I56),"",vlookup(I56,Pacing!$A$1:$Z$213,15))</f>
        <v/>
      </c>
      <c r="E56" s="81" t="str">
        <f>if(isblank(J56),"",vlookup(J56,Pacing!$A$1:$Z$213,15))</f>
        <v>Demo Teacher</v>
      </c>
      <c r="F56" s="81" t="str">
        <f>if(isblank(K56),"",vlookup(K56,Pacing!$A$1:$Z$213,15))</f>
        <v>Demo Teacher</v>
      </c>
      <c r="G56" s="81" t="str">
        <f>if(isblank(L56),"",vlookup(L56,Pacing!$A$1:$Z$213,15))</f>
        <v>Demo Teacher</v>
      </c>
      <c r="H56" s="81" t="str">
        <f>if(isblank(M56),"",vlookup(M56,Pacing!$A$1:$Z$213,15))</f>
        <v>Demo Teacher</v>
      </c>
      <c r="I56" s="86" t="str">
        <f t="shared" ref="I56:M56" si="53">I55</f>
        <v/>
      </c>
      <c r="J56" s="86">
        <f t="shared" si="53"/>
        <v>5</v>
      </c>
      <c r="K56" s="86">
        <f t="shared" si="53"/>
        <v>6</v>
      </c>
      <c r="L56" s="86">
        <f t="shared" si="53"/>
        <v>7</v>
      </c>
      <c r="M56" s="86">
        <f t="shared" si="53"/>
        <v>8</v>
      </c>
    </row>
    <row r="57" ht="15.75" customHeight="1">
      <c r="A57" s="69"/>
      <c r="B57" s="69"/>
      <c r="C57" s="71"/>
      <c r="D57" s="129" t="str">
        <f>if(isblank(I57),"",vlookup(I57,Pacing!$A$1:$Z$213,16))</f>
        <v/>
      </c>
      <c r="E57" s="81" t="str">
        <f>if(isblank(J57),"",vlookup(J57,Pacing!$A$1:$Z$213,16))</f>
        <v>Invest Teacher</v>
      </c>
      <c r="F57" s="81" t="str">
        <f>if(isblank(K57),"",vlookup(K57,Pacing!$A$1:$Z$213,16))</f>
        <v>Invest Teacher</v>
      </c>
      <c r="G57" s="81" t="str">
        <f>if(isblank(L57),"",vlookup(L57,Pacing!$A$1:$Z$213,16))</f>
        <v>Invest Teacher</v>
      </c>
      <c r="H57" s="81" t="str">
        <f>if(isblank(M57),"",vlookup(M57,Pacing!$A$1:$Z$213,16))</f>
        <v>Invest Teacher</v>
      </c>
      <c r="I57" s="86" t="str">
        <f t="shared" ref="I57:M57" si="54">I56</f>
        <v/>
      </c>
      <c r="J57" s="86">
        <f t="shared" si="54"/>
        <v>5</v>
      </c>
      <c r="K57" s="86">
        <f t="shared" si="54"/>
        <v>6</v>
      </c>
      <c r="L57" s="86">
        <f t="shared" si="54"/>
        <v>7</v>
      </c>
      <c r="M57" s="86">
        <f t="shared" si="54"/>
        <v>8</v>
      </c>
    </row>
    <row r="58" ht="15.75" customHeight="1">
      <c r="A58" s="69"/>
      <c r="B58" s="69"/>
      <c r="C58" s="71"/>
      <c r="D58" s="129" t="str">
        <f>if(isblank(I58),"",vlookup(I58,Pacing!$A$1:$Z$213,17))</f>
        <v/>
      </c>
      <c r="E58" s="81" t="str">
        <f>if(isblank(J58),"",vlookup(J58,Pacing!$A$1:$Z$213,17))</f>
        <v>PT Teacher</v>
      </c>
      <c r="F58" s="81" t="str">
        <f>if(isblank(K58),"",vlookup(K58,Pacing!$A$1:$Z$213,17))</f>
        <v>PT Teacher</v>
      </c>
      <c r="G58" s="81" t="str">
        <f>if(isblank(L58),"",vlookup(L58,Pacing!$A$1:$Z$213,17))</f>
        <v>PT Teacher</v>
      </c>
      <c r="H58" s="81" t="str">
        <f>if(isblank(M58),"",vlookup(M58,Pacing!$A$1:$Z$213,17))</f>
        <v>PT Teacher</v>
      </c>
      <c r="I58" s="86" t="str">
        <f t="shared" ref="I58:M58" si="55">I57</f>
        <v/>
      </c>
      <c r="J58" s="86">
        <f t="shared" si="55"/>
        <v>5</v>
      </c>
      <c r="K58" s="86">
        <f t="shared" si="55"/>
        <v>6</v>
      </c>
      <c r="L58" s="86">
        <f t="shared" si="55"/>
        <v>7</v>
      </c>
      <c r="M58" s="86">
        <f t="shared" si="55"/>
        <v>8</v>
      </c>
    </row>
    <row r="59" ht="15.75" customHeight="1">
      <c r="A59" s="69"/>
      <c r="B59" s="69"/>
      <c r="C59" s="71"/>
      <c r="D59" s="129" t="str">
        <f>if(isblank(I59),"",vlookup(I59,Pacing!$A$1:$Z$213,18))</f>
        <v/>
      </c>
      <c r="E59" s="81" t="str">
        <f>if(isblank(J59),"",vlookup(J59,Pacing!$A$1:$Z$213,18))</f>
        <v>Assess Plan</v>
      </c>
      <c r="F59" s="81" t="str">
        <f>if(isblank(K59),"",vlookup(K59,Pacing!$A$1:$Z$213,18))</f>
        <v>Assess Plan</v>
      </c>
      <c r="G59" s="81" t="str">
        <f>if(isblank(L59),"",vlookup(L59,Pacing!$A$1:$Z$213,18))</f>
        <v>Assess Plan</v>
      </c>
      <c r="H59" s="81" t="str">
        <f>if(isblank(M59),"",vlookup(M59,Pacing!$A$1:$Z$213,18))</f>
        <v>Assess Plan</v>
      </c>
      <c r="I59" s="86" t="str">
        <f t="shared" ref="I59:M59" si="56">I58</f>
        <v/>
      </c>
      <c r="J59" s="86">
        <f t="shared" si="56"/>
        <v>5</v>
      </c>
      <c r="K59" s="86">
        <f t="shared" si="56"/>
        <v>6</v>
      </c>
      <c r="L59" s="86">
        <f t="shared" si="56"/>
        <v>7</v>
      </c>
      <c r="M59" s="86">
        <f t="shared" si="56"/>
        <v>8</v>
      </c>
    </row>
    <row r="60" ht="15.75" customHeight="1">
      <c r="A60" s="69"/>
      <c r="B60" s="69"/>
      <c r="C60" s="71"/>
      <c r="D60" s="129" t="str">
        <f>if(isblank(I60),"",vlookup(I60,Pacing!$A$1:$Z$213,19))</f>
        <v/>
      </c>
      <c r="E60" s="81" t="str">
        <f>if(isblank(J60),"",vlookup(J60,Pacing!$A$1:$Z$213,19))</f>
        <v>Perform Task</v>
      </c>
      <c r="F60" s="81" t="str">
        <f>if(isblank(K60),"",vlookup(K60,Pacing!$A$1:$Z$213,19))</f>
        <v>Perform Task</v>
      </c>
      <c r="G60" s="81" t="str">
        <f>if(isblank(L60),"",vlookup(L60,Pacing!$A$1:$Z$213,19))</f>
        <v>Perform Task</v>
      </c>
      <c r="H60" s="81" t="str">
        <f>if(isblank(M60),"",vlookup(M60,Pacing!$A$1:$Z$213,19))</f>
        <v>Perform Task</v>
      </c>
      <c r="I60" s="86" t="str">
        <f t="shared" ref="I60:M60" si="57">I59</f>
        <v/>
      </c>
      <c r="J60" s="86">
        <f t="shared" si="57"/>
        <v>5</v>
      </c>
      <c r="K60" s="86">
        <f t="shared" si="57"/>
        <v>6</v>
      </c>
      <c r="L60" s="86">
        <f t="shared" si="57"/>
        <v>7</v>
      </c>
      <c r="M60" s="86">
        <f t="shared" si="57"/>
        <v>8</v>
      </c>
    </row>
    <row r="61" ht="15.75" customHeight="1">
      <c r="A61" s="69"/>
      <c r="B61" s="69"/>
      <c r="C61" s="71"/>
      <c r="D61" s="129" t="str">
        <f>if(isblank(I61),"",vlookup(I61,Pacing!$A$1:$Z$213,20))</f>
        <v/>
      </c>
      <c r="E61" s="81" t="str">
        <f>if(isblank(J61),"",vlookup(J61,Pacing!$A$1:$Z$213,20))</f>
        <v>Quick Check</v>
      </c>
      <c r="F61" s="81" t="str">
        <f>if(isblank(K61),"",vlookup(K61,Pacing!$A$1:$Z$213,20))</f>
        <v>Quick Check</v>
      </c>
      <c r="G61" s="81" t="str">
        <f>if(isblank(L61),"",vlookup(L61,Pacing!$A$1:$Z$213,20))</f>
        <v>Quick Check</v>
      </c>
      <c r="H61" s="81" t="str">
        <f>if(isblank(M61),"",vlookup(M61,Pacing!$A$1:$Z$213,20))</f>
        <v>Quick Check</v>
      </c>
      <c r="I61" s="86" t="str">
        <f t="shared" ref="I61:M61" si="58">I60</f>
        <v/>
      </c>
      <c r="J61" s="86">
        <f t="shared" si="58"/>
        <v>5</v>
      </c>
      <c r="K61" s="86">
        <f t="shared" si="58"/>
        <v>6</v>
      </c>
      <c r="L61" s="86">
        <f t="shared" si="58"/>
        <v>7</v>
      </c>
      <c r="M61" s="86">
        <f t="shared" si="58"/>
        <v>8</v>
      </c>
    </row>
    <row r="62" ht="15.75" customHeight="1">
      <c r="A62" s="69"/>
      <c r="B62" s="69"/>
      <c r="C62" s="71"/>
      <c r="D62" s="129" t="str">
        <f>if(isblank(I62),"",vlookup(I62,Pacing!$A$1:$Z$213,21))</f>
        <v/>
      </c>
      <c r="E62" s="81" t="str">
        <f>if(isblank(J62),"",vlookup(J62,Pacing!$A$1:$Z$213,21))</f>
        <v>Exit Ticket</v>
      </c>
      <c r="F62" s="81" t="str">
        <f>if(isblank(K62),"",vlookup(K62,Pacing!$A$1:$Z$213,21))</f>
        <v>Exit Ticket</v>
      </c>
      <c r="G62" s="81" t="str">
        <f>if(isblank(L62),"",vlookup(L62,Pacing!$A$1:$Z$213,21))</f>
        <v>Exit Ticket</v>
      </c>
      <c r="H62" s="81" t="str">
        <f>if(isblank(M62),"",vlookup(M62,Pacing!$A$1:$Z$213,21))</f>
        <v>Exit Ticket</v>
      </c>
      <c r="I62" s="86" t="str">
        <f t="shared" ref="I62:M62" si="59">I61</f>
        <v/>
      </c>
      <c r="J62" s="86">
        <f t="shared" si="59"/>
        <v>5</v>
      </c>
      <c r="K62" s="86">
        <f t="shared" si="59"/>
        <v>6</v>
      </c>
      <c r="L62" s="86">
        <f t="shared" si="59"/>
        <v>7</v>
      </c>
      <c r="M62" s="86">
        <f t="shared" si="59"/>
        <v>8</v>
      </c>
    </row>
    <row r="63" ht="15.75" customHeight="1">
      <c r="A63" s="69"/>
      <c r="B63" s="69"/>
      <c r="C63" s="71"/>
      <c r="D63" s="129" t="str">
        <f>if(isblank(I63),"",vlookup(I63,Pacing!$A$1:$Z$213,22))</f>
        <v/>
      </c>
      <c r="E63" s="81" t="str">
        <f>if(isblank(J63),"",vlookup(J63,Pacing!$A$1:$Z$213,22))</f>
        <v>Practice 2</v>
      </c>
      <c r="F63" s="81" t="str">
        <f>if(isblank(K63),"",vlookup(K63,Pacing!$A$1:$Z$213,22))</f>
        <v>Practice 2</v>
      </c>
      <c r="G63" s="81" t="str">
        <f>if(isblank(L63),"",vlookup(L63,Pacing!$A$1:$Z$213,22))</f>
        <v>Practice 2</v>
      </c>
      <c r="H63" s="81" t="str">
        <f>if(isblank(M63),"",vlookup(M63,Pacing!$A$1:$Z$213,22))</f>
        <v>Practice 2</v>
      </c>
      <c r="I63" s="86" t="str">
        <f t="shared" ref="I63:M63" si="60">I62</f>
        <v/>
      </c>
      <c r="J63" s="86">
        <f t="shared" si="60"/>
        <v>5</v>
      </c>
      <c r="K63" s="86">
        <f t="shared" si="60"/>
        <v>6</v>
      </c>
      <c r="L63" s="86">
        <f t="shared" si="60"/>
        <v>7</v>
      </c>
      <c r="M63" s="86">
        <f t="shared" si="60"/>
        <v>8</v>
      </c>
    </row>
    <row r="64" ht="15.75" customHeight="1">
      <c r="A64" s="69"/>
      <c r="B64" s="69"/>
      <c r="C64" s="71"/>
      <c r="D64" s="129" t="str">
        <f>if(isblank(I64),"",vlookup(I64,Pacing!$A$1:$Z$213,23))</f>
        <v/>
      </c>
      <c r="E64" s="81" t="str">
        <f>if(isblank(J64),"",vlookup(J64,Pacing!$A$1:$Z$213,23))</f>
        <v>Practice 3</v>
      </c>
      <c r="F64" s="81" t="str">
        <f>if(isblank(K64),"",vlookup(K64,Pacing!$A$1:$Z$213,23))</f>
        <v>Practice 3</v>
      </c>
      <c r="G64" s="81" t="str">
        <f>if(isblank(L64),"",vlookup(L64,Pacing!$A$1:$Z$213,23))</f>
        <v>Practice 3</v>
      </c>
      <c r="H64" s="81" t="str">
        <f>if(isblank(M64),"",vlookup(M64,Pacing!$A$1:$Z$213,23))</f>
        <v>Practice 3</v>
      </c>
      <c r="I64" s="86" t="str">
        <f t="shared" ref="I64:M64" si="61">I63</f>
        <v/>
      </c>
      <c r="J64" s="86">
        <f t="shared" si="61"/>
        <v>5</v>
      </c>
      <c r="K64" s="86">
        <f t="shared" si="61"/>
        <v>6</v>
      </c>
      <c r="L64" s="86">
        <f t="shared" si="61"/>
        <v>7</v>
      </c>
      <c r="M64" s="86">
        <f t="shared" si="61"/>
        <v>8</v>
      </c>
    </row>
    <row r="65" ht="15.75" customHeight="1">
      <c r="A65" s="69"/>
      <c r="B65" s="69"/>
      <c r="C65" s="71"/>
      <c r="D65" s="129" t="str">
        <f>if(isblank(I65),"",vlookup(I65,Pacing!$A$1:$Z$213,24))</f>
        <v/>
      </c>
      <c r="E65" s="81" t="str">
        <f>if(isblank(J65),"",vlookup(J65,Pacing!$A$1:$Z$213,24))</f>
        <v>Sum Assess</v>
      </c>
      <c r="F65" s="81" t="str">
        <f>if(isblank(K65),"",vlookup(K65,Pacing!$A$1:$Z$213,24))</f>
        <v>Sum Assess</v>
      </c>
      <c r="G65" s="81" t="str">
        <f>if(isblank(L65),"",vlookup(L65,Pacing!$A$1:$Z$213,24))</f>
        <v>Sum Assess</v>
      </c>
      <c r="H65" s="81" t="str">
        <f>if(isblank(M65),"",vlookup(M65,Pacing!$A$1:$Z$213,24))</f>
        <v>Sum Assess</v>
      </c>
      <c r="I65" s="86" t="str">
        <f t="shared" ref="I65:M65" si="62">I64</f>
        <v/>
      </c>
      <c r="J65" s="86">
        <f t="shared" si="62"/>
        <v>5</v>
      </c>
      <c r="K65" s="86">
        <f t="shared" si="62"/>
        <v>6</v>
      </c>
      <c r="L65" s="86">
        <f t="shared" si="62"/>
        <v>7</v>
      </c>
      <c r="M65" s="86">
        <f t="shared" si="62"/>
        <v>8</v>
      </c>
    </row>
    <row r="66" ht="15.75" customHeight="1">
      <c r="A66" s="69"/>
      <c r="B66" s="69"/>
      <c r="C66" s="71"/>
      <c r="D66" s="129" t="str">
        <f>if(isblank(I66),"",vlookup(I66,Pacing!$A$1:$Z$213,25))</f>
        <v/>
      </c>
      <c r="E66" s="81" t="str">
        <f>if(isblank(J66),"",vlookup(J66,Pacing!$A$1:$Z$213,25))</f>
        <v>Bank</v>
      </c>
      <c r="F66" s="81" t="str">
        <f>if(isblank(K66),"",vlookup(K66,Pacing!$A$1:$Z$213,25))</f>
        <v>Bank</v>
      </c>
      <c r="G66" s="81" t="str">
        <f>if(isblank(L66),"",vlookup(L66,Pacing!$A$1:$Z$213,25))</f>
        <v>Bank</v>
      </c>
      <c r="H66" s="81" t="str">
        <f>if(isblank(M66),"",vlookup(M66,Pacing!$A$1:$Z$213,25))</f>
        <v>Bank</v>
      </c>
      <c r="I66" s="86" t="str">
        <f t="shared" ref="I66:M66" si="63">I65</f>
        <v/>
      </c>
      <c r="J66" s="86">
        <f t="shared" si="63"/>
        <v>5</v>
      </c>
      <c r="K66" s="86">
        <f t="shared" si="63"/>
        <v>6</v>
      </c>
      <c r="L66" s="86">
        <f t="shared" si="63"/>
        <v>7</v>
      </c>
      <c r="M66" s="86">
        <f t="shared" si="63"/>
        <v>8</v>
      </c>
    </row>
    <row r="67" ht="15.75" customHeight="1">
      <c r="A67" s="69"/>
      <c r="B67" s="69"/>
      <c r="C67" s="71"/>
      <c r="D67" s="129" t="str">
        <f>if(isblank(I67),"",vlookup(I67,Pacing!$A$1:$Z$213,26))</f>
        <v/>
      </c>
      <c r="E67" s="89" t="str">
        <f>if(isblank(J67),"",vlookup(J67,Pacing!$A$1:$Z$213,26))</f>
        <v/>
      </c>
      <c r="F67" s="89" t="str">
        <f>if(isblank(K67),"",vlookup(K67,Pacing!$A$1:$Z$213,26))</f>
        <v/>
      </c>
      <c r="G67" s="89" t="str">
        <f>if(isblank(L67),"",vlookup(L67,Pacing!$A$1:$Z$213,26))</f>
        <v/>
      </c>
      <c r="H67" s="89" t="str">
        <f>if(isblank(M67),"",vlookup(M67,Pacing!$A$1:$Z$213,26))</f>
        <v/>
      </c>
      <c r="I67" s="86" t="str">
        <f t="shared" ref="I67:M67" si="64">I66</f>
        <v/>
      </c>
      <c r="J67" s="86">
        <f t="shared" si="64"/>
        <v>5</v>
      </c>
      <c r="K67" s="86">
        <f t="shared" si="64"/>
        <v>6</v>
      </c>
      <c r="L67" s="86">
        <f t="shared" si="64"/>
        <v>7</v>
      </c>
      <c r="M67" s="86">
        <f t="shared" si="64"/>
        <v>8</v>
      </c>
    </row>
    <row r="68" ht="15.75" customHeight="1">
      <c r="A68" s="137"/>
      <c r="B68" s="137"/>
      <c r="C68" s="138"/>
      <c r="D68" s="139">
        <f>H41+1</f>
        <v>9</v>
      </c>
      <c r="E68" s="139">
        <f t="shared" ref="E68:H68" si="65">D68+1</f>
        <v>10</v>
      </c>
      <c r="F68" s="139">
        <f t="shared" si="65"/>
        <v>11</v>
      </c>
      <c r="G68" s="139">
        <f t="shared" si="65"/>
        <v>12</v>
      </c>
      <c r="H68" s="139">
        <f t="shared" si="65"/>
        <v>13</v>
      </c>
      <c r="I68" s="55">
        <f t="shared" ref="I68:M68" si="66">D68</f>
        <v>9</v>
      </c>
      <c r="J68" s="55">
        <f t="shared" si="66"/>
        <v>10</v>
      </c>
      <c r="K68" s="55">
        <f t="shared" si="66"/>
        <v>11</v>
      </c>
      <c r="L68" s="55">
        <f t="shared" si="66"/>
        <v>12</v>
      </c>
      <c r="M68" s="55">
        <f t="shared" si="66"/>
        <v>13</v>
      </c>
    </row>
    <row r="69" ht="15.75" customHeight="1">
      <c r="A69" s="69">
        <f>B69+1</f>
        <v>31</v>
      </c>
      <c r="B69" s="69">
        <f t="shared" ref="B69:B76" si="68">$C$69*10</f>
        <v>30</v>
      </c>
      <c r="C69" s="71">
        <f>C42+1</f>
        <v>3</v>
      </c>
      <c r="D69" s="72">
        <f>D42+7</f>
        <v>46279</v>
      </c>
      <c r="E69" s="72">
        <f t="shared" ref="E69:H69" si="67">D69+1</f>
        <v>46280</v>
      </c>
      <c r="F69" s="72">
        <f t="shared" si="67"/>
        <v>46281</v>
      </c>
      <c r="G69" s="72">
        <f t="shared" si="67"/>
        <v>46282</v>
      </c>
      <c r="H69" s="72">
        <f t="shared" si="67"/>
        <v>46283</v>
      </c>
      <c r="I69" s="62" t="s">
        <v>42</v>
      </c>
    </row>
    <row r="70" ht="15.75" customHeight="1">
      <c r="A70" s="75">
        <f>B70+2</f>
        <v>32</v>
      </c>
      <c r="B70" s="75">
        <f t="shared" si="68"/>
        <v>30</v>
      </c>
      <c r="C70" s="76"/>
      <c r="D70" s="131" t="str">
        <f>if(isblank(I70),"",vlookup(I70,Pacing!$A$1:$Z$213,2))</f>
        <v>1.2: Forces &amp; N1L</v>
      </c>
      <c r="E70" s="131" t="str">
        <f>if(isblank(J70),"",vlookup(J70,Pacing!$A$1:$Z$213,2))</f>
        <v>1.2: Forces &amp; N1L</v>
      </c>
      <c r="F70" s="131" t="str">
        <f>if(isblank(K70),"",vlookup(K70,Pacing!$A$1:$Z$213,2))</f>
        <v>1.3: Net Force &amp; Vec</v>
      </c>
      <c r="G70" s="131" t="str">
        <f>if(isblank(L70),"",vlookup(L70,Pacing!$A$1:$Z$213,2))</f>
        <v>1.3: Net Force &amp; Vec</v>
      </c>
      <c r="H70" s="131" t="str">
        <f>if(isblank(M70),"",vlookup(M70,Pacing!$A$1:$Z$213,2))</f>
        <v>1.3: Net Force &amp; Vec</v>
      </c>
      <c r="I70" s="78">
        <f t="shared" ref="I70:M70" si="69">I68</f>
        <v>9</v>
      </c>
      <c r="J70" s="78">
        <f t="shared" si="69"/>
        <v>10</v>
      </c>
      <c r="K70" s="78">
        <f t="shared" si="69"/>
        <v>11</v>
      </c>
      <c r="L70" s="78">
        <f t="shared" si="69"/>
        <v>12</v>
      </c>
      <c r="M70" s="78">
        <f t="shared" si="69"/>
        <v>13</v>
      </c>
    </row>
    <row r="71" ht="15.75" customHeight="1">
      <c r="A71" s="69">
        <f>B71+3</f>
        <v>33</v>
      </c>
      <c r="B71" s="69">
        <f t="shared" si="68"/>
        <v>30</v>
      </c>
      <c r="C71" s="76"/>
      <c r="D71" s="81" t="str">
        <f>if(isblank(I71),"",vlookup(I71,Pacing!$A$1:$Z$213,3))</f>
        <v>Warm Up</v>
      </c>
      <c r="E71" s="81" t="str">
        <f>if(isblank(J71),"",vlookup(J71,Pacing!$A$1:$Z$213,3))</f>
        <v>Warm Up</v>
      </c>
      <c r="F71" s="81" t="str">
        <f>if(isblank(K71),"",vlookup(K71,Pacing!$A$1:$Z$213,3))</f>
        <v>Warm Up</v>
      </c>
      <c r="G71" s="81" t="str">
        <f>if(isblank(L71),"",vlookup(L71,Pacing!$A$1:$Z$213,3))</f>
        <v>Warm Up</v>
      </c>
      <c r="H71" s="81" t="str">
        <f>if(isblank(M71),"",vlookup(M71,Pacing!$A$1:$Z$213,3))</f>
        <v>Warm Up</v>
      </c>
      <c r="I71" s="86">
        <f t="shared" ref="I71:M71" si="70">I70</f>
        <v>9</v>
      </c>
      <c r="J71" s="86">
        <f t="shared" si="70"/>
        <v>10</v>
      </c>
      <c r="K71" s="86">
        <f t="shared" si="70"/>
        <v>11</v>
      </c>
      <c r="L71" s="86">
        <f t="shared" si="70"/>
        <v>12</v>
      </c>
      <c r="M71" s="86">
        <f t="shared" si="70"/>
        <v>13</v>
      </c>
    </row>
    <row r="72" ht="15.75" customHeight="1">
      <c r="A72" s="69">
        <f>B72+4</f>
        <v>34</v>
      </c>
      <c r="B72" s="69">
        <f t="shared" si="68"/>
        <v>30</v>
      </c>
      <c r="C72" s="76"/>
      <c r="D72" s="81" t="str">
        <f>if(isblank(I72),"",vlookup(I72,Pacing!$A$1:$Z$213,4))</f>
        <v>Demo</v>
      </c>
      <c r="E72" s="81" t="str">
        <f>if(isblank(J72),"",vlookup(J72,Pacing!$A$1:$Z$213,4))</f>
        <v>Demo</v>
      </c>
      <c r="F72" s="81" t="str">
        <f>if(isblank(K72),"",vlookup(K72,Pacing!$A$1:$Z$213,4))</f>
        <v>Demo</v>
      </c>
      <c r="G72" s="81" t="str">
        <f>if(isblank(L72),"",vlookup(L72,Pacing!$A$1:$Z$213,4))</f>
        <v>Demo</v>
      </c>
      <c r="H72" s="81" t="str">
        <f>if(isblank(M72),"",vlookup(M72,Pacing!$A$1:$Z$213,4))</f>
        <v>Demo</v>
      </c>
      <c r="I72" s="86">
        <f t="shared" ref="I72:M72" si="71">I71</f>
        <v>9</v>
      </c>
      <c r="J72" s="86">
        <f t="shared" si="71"/>
        <v>10</v>
      </c>
      <c r="K72" s="86">
        <f t="shared" si="71"/>
        <v>11</v>
      </c>
      <c r="L72" s="86">
        <f t="shared" si="71"/>
        <v>12</v>
      </c>
      <c r="M72" s="86">
        <f t="shared" si="71"/>
        <v>13</v>
      </c>
    </row>
    <row r="73" ht="15.75" customHeight="1">
      <c r="A73" s="69">
        <f>B73+5</f>
        <v>35</v>
      </c>
      <c r="B73" s="69">
        <f t="shared" si="68"/>
        <v>30</v>
      </c>
      <c r="C73" s="76"/>
      <c r="D73" s="81" t="str">
        <f>if(isblank(I73),"",vlookup(I73,Pacing!$A$1:$Z$213,5))</f>
        <v>Notes</v>
      </c>
      <c r="E73" s="81" t="str">
        <f>if(isblank(J73),"",vlookup(J73,Pacing!$A$1:$Z$213,5))</f>
        <v>Notes</v>
      </c>
      <c r="F73" s="81" t="str">
        <f>if(isblank(K73),"",vlookup(K73,Pacing!$A$1:$Z$213,5))</f>
        <v>Notes</v>
      </c>
      <c r="G73" s="81" t="str">
        <f>if(isblank(L73),"",vlookup(L73,Pacing!$A$1:$Z$213,5))</f>
        <v>Notes</v>
      </c>
      <c r="H73" s="81" t="str">
        <f>if(isblank(M73),"",vlookup(M73,Pacing!$A$1:$Z$213,5))</f>
        <v>Notes</v>
      </c>
      <c r="I73" s="86">
        <f t="shared" ref="I73:M73" si="72">I72</f>
        <v>9</v>
      </c>
      <c r="J73" s="86">
        <f t="shared" si="72"/>
        <v>10</v>
      </c>
      <c r="K73" s="86">
        <f t="shared" si="72"/>
        <v>11</v>
      </c>
      <c r="L73" s="86">
        <f t="shared" si="72"/>
        <v>12</v>
      </c>
      <c r="M73" s="86">
        <f t="shared" si="72"/>
        <v>13</v>
      </c>
    </row>
    <row r="74" ht="15.75" customHeight="1">
      <c r="A74" s="69">
        <f>B74+6</f>
        <v>36</v>
      </c>
      <c r="B74" s="69">
        <f t="shared" si="68"/>
        <v>30</v>
      </c>
      <c r="C74" s="76"/>
      <c r="D74" s="81" t="str">
        <f>if(isblank(I74),"",vlookup(I74,Pacing!$A$1:$Z$213,6))</f>
        <v>Investigation</v>
      </c>
      <c r="E74" s="81" t="str">
        <f>if(isblank(J74),"",vlookup(J74,Pacing!$A$1:$Z$213,6))</f>
        <v>Investigation</v>
      </c>
      <c r="F74" s="81" t="str">
        <f>if(isblank(K74),"",vlookup(K74,Pacing!$A$1:$Z$213,6))</f>
        <v>Investigation</v>
      </c>
      <c r="G74" s="81" t="str">
        <f>if(isblank(L74),"",vlookup(L74,Pacing!$A$1:$Z$213,6))</f>
        <v>Investigation</v>
      </c>
      <c r="H74" s="81" t="str">
        <f>if(isblank(M74),"",vlookup(M74,Pacing!$A$1:$Z$213,6))</f>
        <v>Investigation</v>
      </c>
      <c r="I74" s="86">
        <f t="shared" ref="I74:M74" si="73">I73</f>
        <v>9</v>
      </c>
      <c r="J74" s="86">
        <f t="shared" si="73"/>
        <v>10</v>
      </c>
      <c r="K74" s="86">
        <f t="shared" si="73"/>
        <v>11</v>
      </c>
      <c r="L74" s="86">
        <f t="shared" si="73"/>
        <v>12</v>
      </c>
      <c r="M74" s="86">
        <f t="shared" si="73"/>
        <v>13</v>
      </c>
    </row>
    <row r="75" ht="15.75" customHeight="1">
      <c r="A75" s="69">
        <f>B75+7</f>
        <v>37</v>
      </c>
      <c r="B75" s="69">
        <f t="shared" si="68"/>
        <v>30</v>
      </c>
      <c r="C75" s="76"/>
      <c r="D75" s="81" t="str">
        <f>if(isblank(I75),"",vlookup(I75,Pacing!$A$1:$Z$213,7))</f>
        <v>Activity</v>
      </c>
      <c r="E75" s="81" t="str">
        <f>if(isblank(J75),"",vlookup(J75,Pacing!$A$1:$Z$213,7))</f>
        <v>Activity</v>
      </c>
      <c r="F75" s="81" t="str">
        <f>if(isblank(K75),"",vlookup(K75,Pacing!$A$1:$Z$213,7))</f>
        <v>Activity</v>
      </c>
      <c r="G75" s="81" t="str">
        <f>if(isblank(L75),"",vlookup(L75,Pacing!$A$1:$Z$213,7))</f>
        <v>Activity</v>
      </c>
      <c r="H75" s="81" t="str">
        <f>if(isblank(M75),"",vlookup(M75,Pacing!$A$1:$Z$213,7))</f>
        <v>Activity</v>
      </c>
      <c r="I75" s="86">
        <f t="shared" ref="I75:M75" si="74">I74</f>
        <v>9</v>
      </c>
      <c r="J75" s="86">
        <f t="shared" si="74"/>
        <v>10</v>
      </c>
      <c r="K75" s="86">
        <f t="shared" si="74"/>
        <v>11</v>
      </c>
      <c r="L75" s="86">
        <f t="shared" si="74"/>
        <v>12</v>
      </c>
      <c r="M75" s="86">
        <f t="shared" si="74"/>
        <v>13</v>
      </c>
    </row>
    <row r="76" ht="15.75" customHeight="1">
      <c r="A76" s="69">
        <f>B76+8</f>
        <v>38</v>
      </c>
      <c r="B76" s="69">
        <f t="shared" si="68"/>
        <v>30</v>
      </c>
      <c r="C76" s="95"/>
      <c r="D76" s="81" t="str">
        <f>if(isblank(I76),"",vlookup(I76,Pacing!$A$1:$Z$213,8))</f>
        <v>Practice Set</v>
      </c>
      <c r="E76" s="81" t="str">
        <f>if(isblank(J76),"",vlookup(J76,Pacing!$A$1:$Z$213,8))</f>
        <v>Practice Set</v>
      </c>
      <c r="F76" s="81" t="str">
        <f>if(isblank(K76),"",vlookup(K76,Pacing!$A$1:$Z$213,8))</f>
        <v>Practice Set</v>
      </c>
      <c r="G76" s="81" t="str">
        <f>if(isblank(L76),"",vlookup(L76,Pacing!$A$1:$Z$213,8))</f>
        <v>Practice Set</v>
      </c>
      <c r="H76" s="81" t="str">
        <f>if(isblank(M76),"",vlookup(M76,Pacing!$A$1:$Z$213,8))</f>
        <v>Practice Set</v>
      </c>
      <c r="I76" s="86">
        <f t="shared" ref="I76:M76" si="75">I75</f>
        <v>9</v>
      </c>
      <c r="J76" s="86">
        <f t="shared" si="75"/>
        <v>10</v>
      </c>
      <c r="K76" s="86">
        <f t="shared" si="75"/>
        <v>11</v>
      </c>
      <c r="L76" s="86">
        <f t="shared" si="75"/>
        <v>12</v>
      </c>
      <c r="M76" s="86">
        <f t="shared" si="75"/>
        <v>13</v>
      </c>
    </row>
    <row r="77" ht="15.75" customHeight="1">
      <c r="A77" s="69"/>
      <c r="B77" s="69"/>
      <c r="C77" s="71"/>
      <c r="D77" s="81" t="str">
        <f>if(isblank(I77),"",vlookup(I77,Pacing!$A$1:$Z$213,9))</f>
        <v>Extra Practice</v>
      </c>
      <c r="E77" s="81" t="str">
        <f>if(isblank(J77),"",vlookup(J77,Pacing!$A$1:$Z$213,9))</f>
        <v>Extra Practice</v>
      </c>
      <c r="F77" s="81" t="str">
        <f>if(isblank(K77),"",vlookup(K77,Pacing!$A$1:$Z$213,9))</f>
        <v>Extra Practice</v>
      </c>
      <c r="G77" s="81" t="str">
        <f>if(isblank(L77),"",vlookup(L77,Pacing!$A$1:$Z$213,9))</f>
        <v>Extra Practice</v>
      </c>
      <c r="H77" s="81" t="str">
        <f>if(isblank(M77),"",vlookup(M77,Pacing!$A$1:$Z$213,9))</f>
        <v>Extra Practice</v>
      </c>
      <c r="I77" s="86">
        <f t="shared" ref="I77:M77" si="76">I76</f>
        <v>9</v>
      </c>
      <c r="J77" s="86">
        <f t="shared" si="76"/>
        <v>10</v>
      </c>
      <c r="K77" s="86">
        <f t="shared" si="76"/>
        <v>11</v>
      </c>
      <c r="L77" s="86">
        <f t="shared" si="76"/>
        <v>12</v>
      </c>
      <c r="M77" s="86">
        <f t="shared" si="76"/>
        <v>13</v>
      </c>
    </row>
    <row r="78" ht="15.75" customHeight="1">
      <c r="A78" s="69"/>
      <c r="B78" s="69"/>
      <c r="C78" s="71"/>
      <c r="D78" s="81" t="str">
        <f>if(isblank(I78),"",vlookup(I78,Pacing!$A$1:$Z$213,10))</f>
        <v>CYU</v>
      </c>
      <c r="E78" s="81" t="str">
        <f>if(isblank(J78),"",vlookup(J78,Pacing!$A$1:$Z$213,10))</f>
        <v>CYU</v>
      </c>
      <c r="F78" s="81" t="str">
        <f>if(isblank(K78),"",vlookup(K78,Pacing!$A$1:$Z$213,10))</f>
        <v>CYU</v>
      </c>
      <c r="G78" s="81" t="str">
        <f>if(isblank(L78),"",vlookup(L78,Pacing!$A$1:$Z$213,10))</f>
        <v>CYU</v>
      </c>
      <c r="H78" s="81" t="str">
        <f>if(isblank(M78),"",vlookup(M78,Pacing!$A$1:$Z$213,10))</f>
        <v>CYU</v>
      </c>
      <c r="I78" s="86">
        <f t="shared" ref="I78:M78" si="77">I77</f>
        <v>9</v>
      </c>
      <c r="J78" s="86">
        <f t="shared" si="77"/>
        <v>10</v>
      </c>
      <c r="K78" s="86">
        <f t="shared" si="77"/>
        <v>11</v>
      </c>
      <c r="L78" s="86">
        <f t="shared" si="77"/>
        <v>12</v>
      </c>
      <c r="M78" s="86">
        <f t="shared" si="77"/>
        <v>13</v>
      </c>
    </row>
    <row r="79" ht="15.75" customHeight="1">
      <c r="A79" s="69"/>
      <c r="B79" s="69"/>
      <c r="C79" s="71"/>
      <c r="D79" s="81" t="str">
        <f>if(isblank(I79),"",vlookup(I79,Pacing!$A$1:$Z$213,11))</f>
        <v>Progress</v>
      </c>
      <c r="E79" s="81" t="str">
        <f>if(isblank(J79),"",vlookup(J79,Pacing!$A$1:$Z$213,11))</f>
        <v>Progress</v>
      </c>
      <c r="F79" s="81" t="str">
        <f>if(isblank(K79),"",vlookup(K79,Pacing!$A$1:$Z$213,11))</f>
        <v>Progress</v>
      </c>
      <c r="G79" s="81" t="str">
        <f>if(isblank(L79),"",vlookup(L79,Pacing!$A$1:$Z$213,11))</f>
        <v>Progress</v>
      </c>
      <c r="H79" s="81" t="str">
        <f>if(isblank(M79),"",vlookup(M79,Pacing!$A$1:$Z$213,11))</f>
        <v>Progress</v>
      </c>
      <c r="I79" s="86">
        <f t="shared" ref="I79:M79" si="78">I78</f>
        <v>9</v>
      </c>
      <c r="J79" s="86">
        <f t="shared" si="78"/>
        <v>10</v>
      </c>
      <c r="K79" s="86">
        <f t="shared" si="78"/>
        <v>11</v>
      </c>
      <c r="L79" s="86">
        <f t="shared" si="78"/>
        <v>12</v>
      </c>
      <c r="M79" s="86">
        <f t="shared" si="78"/>
        <v>13</v>
      </c>
    </row>
    <row r="80" ht="15.75" customHeight="1">
      <c r="A80" s="69"/>
      <c r="B80" s="69"/>
      <c r="C80" s="71"/>
      <c r="D80" s="81" t="str">
        <f>if(isblank(I80),"",vlookup(I80,Pacing!$A$1:$Z$213,12))</f>
        <v>Review</v>
      </c>
      <c r="E80" s="81" t="str">
        <f>if(isblank(J80),"",vlookup(J80,Pacing!$A$1:$Z$213,12))</f>
        <v>Review</v>
      </c>
      <c r="F80" s="81" t="str">
        <f>if(isblank(K80),"",vlookup(K80,Pacing!$A$1:$Z$213,12))</f>
        <v>Review</v>
      </c>
      <c r="G80" s="81" t="str">
        <f>if(isblank(L80),"",vlookup(L80,Pacing!$A$1:$Z$213,12))</f>
        <v>Review</v>
      </c>
      <c r="H80" s="81" t="str">
        <f>if(isblank(M80),"",vlookup(M80,Pacing!$A$1:$Z$213,12))</f>
        <v>Review</v>
      </c>
      <c r="I80" s="86">
        <f t="shared" ref="I80:M80" si="79">I79</f>
        <v>9</v>
      </c>
      <c r="J80" s="86">
        <f t="shared" si="79"/>
        <v>10</v>
      </c>
      <c r="K80" s="86">
        <f t="shared" si="79"/>
        <v>11</v>
      </c>
      <c r="L80" s="86">
        <f t="shared" si="79"/>
        <v>12</v>
      </c>
      <c r="M80" s="86">
        <f t="shared" si="79"/>
        <v>13</v>
      </c>
    </row>
    <row r="81" ht="15.75" customHeight="1">
      <c r="A81" s="69"/>
      <c r="B81" s="69"/>
      <c r="C81" s="71"/>
      <c r="D81" s="91" t="str">
        <f>if(isblank(I81),"",vlookup(I81,Pacing!$A$1:$Z$213,13))</f>
        <v/>
      </c>
      <c r="E81" s="91" t="str">
        <f>if(isblank(J81),"",vlookup(J81,Pacing!$A$1:$Z$213,13))</f>
        <v/>
      </c>
      <c r="F81" s="91" t="str">
        <f>if(isblank(K81),"",vlookup(K81,Pacing!$A$1:$Z$213,13))</f>
        <v/>
      </c>
      <c r="G81" s="91" t="str">
        <f>if(isblank(L81),"",vlookup(L81,Pacing!$A$1:$Z$213,13))</f>
        <v/>
      </c>
      <c r="H81" s="91" t="str">
        <f>if(isblank(M81),"",vlookup(M81,Pacing!$A$1:$Z$213,13))</f>
        <v/>
      </c>
      <c r="I81" s="86">
        <f t="shared" ref="I81:M81" si="80">I80</f>
        <v>9</v>
      </c>
      <c r="J81" s="86">
        <f t="shared" si="80"/>
        <v>10</v>
      </c>
      <c r="K81" s="86">
        <f t="shared" si="80"/>
        <v>11</v>
      </c>
      <c r="L81" s="86">
        <f t="shared" si="80"/>
        <v>12</v>
      </c>
      <c r="M81" s="86">
        <f t="shared" si="80"/>
        <v>13</v>
      </c>
    </row>
    <row r="82" ht="15.75" customHeight="1">
      <c r="A82" s="69"/>
      <c r="B82" s="69"/>
      <c r="C82" s="71"/>
      <c r="D82" s="81" t="str">
        <f>if(isblank(I82),"",vlookup(I82,Pacing!$A$1:$Z$213,14))</f>
        <v>Notes Teacher</v>
      </c>
      <c r="E82" s="81" t="str">
        <f>if(isblank(J82),"",vlookup(J82,Pacing!$A$1:$Z$213,14))</f>
        <v>Notes Teacher</v>
      </c>
      <c r="F82" s="81" t="str">
        <f>if(isblank(K82),"",vlookup(K82,Pacing!$A$1:$Z$213,14))</f>
        <v>Notes Teacher</v>
      </c>
      <c r="G82" s="81" t="str">
        <f>if(isblank(L82),"",vlookup(L82,Pacing!$A$1:$Z$213,14))</f>
        <v>Notes Teacher</v>
      </c>
      <c r="H82" s="81" t="str">
        <f>if(isblank(M82),"",vlookup(M82,Pacing!$A$1:$Z$213,14))</f>
        <v>Notes Teacher</v>
      </c>
      <c r="I82" s="86">
        <f t="shared" ref="I82:M82" si="81">I81</f>
        <v>9</v>
      </c>
      <c r="J82" s="86">
        <f t="shared" si="81"/>
        <v>10</v>
      </c>
      <c r="K82" s="86">
        <f t="shared" si="81"/>
        <v>11</v>
      </c>
      <c r="L82" s="86">
        <f t="shared" si="81"/>
        <v>12</v>
      </c>
      <c r="M82" s="86">
        <f t="shared" si="81"/>
        <v>13</v>
      </c>
    </row>
    <row r="83" ht="15.75" customHeight="1">
      <c r="A83" s="69"/>
      <c r="B83" s="69"/>
      <c r="C83" s="71"/>
      <c r="D83" s="81" t="str">
        <f>if(isblank(I83),"",vlookup(I83,Pacing!$A$1:$Z$213,15))</f>
        <v>Demo Teacher</v>
      </c>
      <c r="E83" s="81" t="str">
        <f>if(isblank(J83),"",vlookup(J83,Pacing!$A$1:$Z$213,15))</f>
        <v>Demo Teacher</v>
      </c>
      <c r="F83" s="81" t="str">
        <f>if(isblank(K83),"",vlookup(K83,Pacing!$A$1:$Z$213,15))</f>
        <v>Demo Teacher</v>
      </c>
      <c r="G83" s="81" t="str">
        <f>if(isblank(L83),"",vlookup(L83,Pacing!$A$1:$Z$213,15))</f>
        <v>Demo Teacher</v>
      </c>
      <c r="H83" s="81" t="str">
        <f>if(isblank(M83),"",vlookup(M83,Pacing!$A$1:$Z$213,15))</f>
        <v>Demo Teacher</v>
      </c>
      <c r="I83" s="86">
        <f t="shared" ref="I83:M83" si="82">I82</f>
        <v>9</v>
      </c>
      <c r="J83" s="86">
        <f t="shared" si="82"/>
        <v>10</v>
      </c>
      <c r="K83" s="86">
        <f t="shared" si="82"/>
        <v>11</v>
      </c>
      <c r="L83" s="86">
        <f t="shared" si="82"/>
        <v>12</v>
      </c>
      <c r="M83" s="86">
        <f t="shared" si="82"/>
        <v>13</v>
      </c>
    </row>
    <row r="84" ht="15.75" customHeight="1">
      <c r="A84" s="69"/>
      <c r="B84" s="69"/>
      <c r="C84" s="71"/>
      <c r="D84" s="81" t="str">
        <f>if(isblank(I84),"",vlookup(I84,Pacing!$A$1:$Z$213,16))</f>
        <v>Invest Teacher</v>
      </c>
      <c r="E84" s="81" t="str">
        <f>if(isblank(J84),"",vlookup(J84,Pacing!$A$1:$Z$213,16))</f>
        <v>Invest Teacher</v>
      </c>
      <c r="F84" s="81" t="str">
        <f>if(isblank(K84),"",vlookup(K84,Pacing!$A$1:$Z$213,16))</f>
        <v>Invest Teacher</v>
      </c>
      <c r="G84" s="81" t="str">
        <f>if(isblank(L84),"",vlookup(L84,Pacing!$A$1:$Z$213,16))</f>
        <v>Invest Teacher</v>
      </c>
      <c r="H84" s="81" t="str">
        <f>if(isblank(M84),"",vlookup(M84,Pacing!$A$1:$Z$213,16))</f>
        <v>Invest Teacher</v>
      </c>
      <c r="I84" s="86">
        <f t="shared" ref="I84:M84" si="83">I83</f>
        <v>9</v>
      </c>
      <c r="J84" s="86">
        <f t="shared" si="83"/>
        <v>10</v>
      </c>
      <c r="K84" s="86">
        <f t="shared" si="83"/>
        <v>11</v>
      </c>
      <c r="L84" s="86">
        <f t="shared" si="83"/>
        <v>12</v>
      </c>
      <c r="M84" s="86">
        <f t="shared" si="83"/>
        <v>13</v>
      </c>
    </row>
    <row r="85" ht="15.75" customHeight="1">
      <c r="A85" s="69"/>
      <c r="B85" s="69"/>
      <c r="C85" s="71"/>
      <c r="D85" s="81" t="str">
        <f>if(isblank(I85),"",vlookup(I85,Pacing!$A$1:$Z$213,17))</f>
        <v>PT Teacher</v>
      </c>
      <c r="E85" s="81" t="str">
        <f>if(isblank(J85),"",vlookup(J85,Pacing!$A$1:$Z$213,17))</f>
        <v>PT Teacher</v>
      </c>
      <c r="F85" s="81" t="str">
        <f>if(isblank(K85),"",vlookup(K85,Pacing!$A$1:$Z$213,17))</f>
        <v>PT Teacher</v>
      </c>
      <c r="G85" s="81" t="str">
        <f>if(isblank(L85),"",vlookup(L85,Pacing!$A$1:$Z$213,17))</f>
        <v>PT Teacher</v>
      </c>
      <c r="H85" s="81" t="str">
        <f>if(isblank(M85),"",vlookup(M85,Pacing!$A$1:$Z$213,17))</f>
        <v>PT Teacher</v>
      </c>
      <c r="I85" s="86">
        <f t="shared" ref="I85:M85" si="84">I84</f>
        <v>9</v>
      </c>
      <c r="J85" s="86">
        <f t="shared" si="84"/>
        <v>10</v>
      </c>
      <c r="K85" s="86">
        <f t="shared" si="84"/>
        <v>11</v>
      </c>
      <c r="L85" s="86">
        <f t="shared" si="84"/>
        <v>12</v>
      </c>
      <c r="M85" s="86">
        <f t="shared" si="84"/>
        <v>13</v>
      </c>
    </row>
    <row r="86" ht="15.75" customHeight="1">
      <c r="A86" s="69"/>
      <c r="B86" s="69"/>
      <c r="C86" s="71"/>
      <c r="D86" s="81" t="str">
        <f>if(isblank(I86),"",vlookup(I86,Pacing!$A$1:$Z$213,18))</f>
        <v>Assess Plan</v>
      </c>
      <c r="E86" s="81" t="str">
        <f>if(isblank(J86),"",vlookup(J86,Pacing!$A$1:$Z$213,18))</f>
        <v>Assess Plan</v>
      </c>
      <c r="F86" s="81" t="str">
        <f>if(isblank(K86),"",vlookup(K86,Pacing!$A$1:$Z$213,18))</f>
        <v>Assess Plan</v>
      </c>
      <c r="G86" s="81" t="str">
        <f>if(isblank(L86),"",vlookup(L86,Pacing!$A$1:$Z$213,18))</f>
        <v>Assess Plan</v>
      </c>
      <c r="H86" s="81" t="str">
        <f>if(isblank(M86),"",vlookup(M86,Pacing!$A$1:$Z$213,18))</f>
        <v>Assess Plan</v>
      </c>
      <c r="I86" s="86">
        <f t="shared" ref="I86:M86" si="85">I85</f>
        <v>9</v>
      </c>
      <c r="J86" s="86">
        <f t="shared" si="85"/>
        <v>10</v>
      </c>
      <c r="K86" s="86">
        <f t="shared" si="85"/>
        <v>11</v>
      </c>
      <c r="L86" s="86">
        <f t="shared" si="85"/>
        <v>12</v>
      </c>
      <c r="M86" s="86">
        <f t="shared" si="85"/>
        <v>13</v>
      </c>
    </row>
    <row r="87" ht="15.75" customHeight="1">
      <c r="A87" s="69"/>
      <c r="B87" s="69"/>
      <c r="C87" s="71"/>
      <c r="D87" s="81" t="str">
        <f>if(isblank(I87),"",vlookup(I87,Pacing!$A$1:$Z$213,19))</f>
        <v>Perform Task</v>
      </c>
      <c r="E87" s="81" t="str">
        <f>if(isblank(J87),"",vlookup(J87,Pacing!$A$1:$Z$213,19))</f>
        <v>Perform Task</v>
      </c>
      <c r="F87" s="81" t="str">
        <f>if(isblank(K87),"",vlookup(K87,Pacing!$A$1:$Z$213,19))</f>
        <v>Perform Task</v>
      </c>
      <c r="G87" s="81" t="str">
        <f>if(isblank(L87),"",vlookup(L87,Pacing!$A$1:$Z$213,19))</f>
        <v>Perform Task</v>
      </c>
      <c r="H87" s="81" t="str">
        <f>if(isblank(M87),"",vlookup(M87,Pacing!$A$1:$Z$213,19))</f>
        <v>Perform Task</v>
      </c>
      <c r="I87" s="86">
        <f t="shared" ref="I87:M87" si="86">I86</f>
        <v>9</v>
      </c>
      <c r="J87" s="86">
        <f t="shared" si="86"/>
        <v>10</v>
      </c>
      <c r="K87" s="86">
        <f t="shared" si="86"/>
        <v>11</v>
      </c>
      <c r="L87" s="86">
        <f t="shared" si="86"/>
        <v>12</v>
      </c>
      <c r="M87" s="86">
        <f t="shared" si="86"/>
        <v>13</v>
      </c>
    </row>
    <row r="88" ht="15.75" customHeight="1">
      <c r="A88" s="69"/>
      <c r="B88" s="69"/>
      <c r="C88" s="71"/>
      <c r="D88" s="81" t="str">
        <f>if(isblank(I88),"",vlookup(I88,Pacing!$A$1:$Z$213,20))</f>
        <v>Quick Check</v>
      </c>
      <c r="E88" s="81" t="str">
        <f>if(isblank(J88),"",vlookup(J88,Pacing!$A$1:$Z$213,20))</f>
        <v>Quick Check</v>
      </c>
      <c r="F88" s="81" t="str">
        <f>if(isblank(K88),"",vlookup(K88,Pacing!$A$1:$Z$213,20))</f>
        <v>Quick Check</v>
      </c>
      <c r="G88" s="81" t="str">
        <f>if(isblank(L88),"",vlookup(L88,Pacing!$A$1:$Z$213,20))</f>
        <v>Quick Check</v>
      </c>
      <c r="H88" s="81" t="str">
        <f>if(isblank(M88),"",vlookup(M88,Pacing!$A$1:$Z$213,20))</f>
        <v>Quick Check</v>
      </c>
      <c r="I88" s="86">
        <f t="shared" ref="I88:M88" si="87">I87</f>
        <v>9</v>
      </c>
      <c r="J88" s="86">
        <f t="shared" si="87"/>
        <v>10</v>
      </c>
      <c r="K88" s="86">
        <f t="shared" si="87"/>
        <v>11</v>
      </c>
      <c r="L88" s="86">
        <f t="shared" si="87"/>
        <v>12</v>
      </c>
      <c r="M88" s="86">
        <f t="shared" si="87"/>
        <v>13</v>
      </c>
    </row>
    <row r="89" ht="15.75" customHeight="1">
      <c r="A89" s="69"/>
      <c r="B89" s="69"/>
      <c r="C89" s="71"/>
      <c r="D89" s="81" t="str">
        <f>if(isblank(I89),"",vlookup(I89,Pacing!$A$1:$Z$213,21))</f>
        <v>Exit Ticket</v>
      </c>
      <c r="E89" s="81" t="str">
        <f>if(isblank(J89),"",vlookup(J89,Pacing!$A$1:$Z$213,21))</f>
        <v>Exit Ticket</v>
      </c>
      <c r="F89" s="81" t="str">
        <f>if(isblank(K89),"",vlookup(K89,Pacing!$A$1:$Z$213,21))</f>
        <v>Exit Ticket</v>
      </c>
      <c r="G89" s="81" t="str">
        <f>if(isblank(L89),"",vlookup(L89,Pacing!$A$1:$Z$213,21))</f>
        <v>Exit Ticket</v>
      </c>
      <c r="H89" s="81" t="str">
        <f>if(isblank(M89),"",vlookup(M89,Pacing!$A$1:$Z$213,21))</f>
        <v>Exit Ticket</v>
      </c>
      <c r="I89" s="86">
        <f t="shared" ref="I89:M89" si="88">I88</f>
        <v>9</v>
      </c>
      <c r="J89" s="86">
        <f t="shared" si="88"/>
        <v>10</v>
      </c>
      <c r="K89" s="86">
        <f t="shared" si="88"/>
        <v>11</v>
      </c>
      <c r="L89" s="86">
        <f t="shared" si="88"/>
        <v>12</v>
      </c>
      <c r="M89" s="86">
        <f t="shared" si="88"/>
        <v>13</v>
      </c>
    </row>
    <row r="90" ht="15.75" customHeight="1">
      <c r="A90" s="69"/>
      <c r="B90" s="69"/>
      <c r="C90" s="71"/>
      <c r="D90" s="81" t="str">
        <f>if(isblank(I90),"",vlookup(I90,Pacing!$A$1:$Z$213,22))</f>
        <v>Practice 2</v>
      </c>
      <c r="E90" s="81" t="str">
        <f>if(isblank(J90),"",vlookup(J90,Pacing!$A$1:$Z$213,22))</f>
        <v>Practice 2</v>
      </c>
      <c r="F90" s="81" t="str">
        <f>if(isblank(K90),"",vlookup(K90,Pacing!$A$1:$Z$213,22))</f>
        <v>Practice 2</v>
      </c>
      <c r="G90" s="81" t="str">
        <f>if(isblank(L90),"",vlookup(L90,Pacing!$A$1:$Z$213,22))</f>
        <v>Practice 2</v>
      </c>
      <c r="H90" s="81" t="str">
        <f>if(isblank(M90),"",vlookup(M90,Pacing!$A$1:$Z$213,22))</f>
        <v>Practice 2</v>
      </c>
      <c r="I90" s="86">
        <f t="shared" ref="I90:M90" si="89">I89</f>
        <v>9</v>
      </c>
      <c r="J90" s="86">
        <f t="shared" si="89"/>
        <v>10</v>
      </c>
      <c r="K90" s="86">
        <f t="shared" si="89"/>
        <v>11</v>
      </c>
      <c r="L90" s="86">
        <f t="shared" si="89"/>
        <v>12</v>
      </c>
      <c r="M90" s="86">
        <f t="shared" si="89"/>
        <v>13</v>
      </c>
    </row>
    <row r="91" ht="15.75" customHeight="1">
      <c r="A91" s="69"/>
      <c r="B91" s="69"/>
      <c r="C91" s="71"/>
      <c r="D91" s="81" t="str">
        <f>if(isblank(I91),"",vlookup(I91,Pacing!$A$1:$Z$213,23))</f>
        <v>Practice 3</v>
      </c>
      <c r="E91" s="81" t="str">
        <f>if(isblank(J91),"",vlookup(J91,Pacing!$A$1:$Z$213,23))</f>
        <v>Practice 3</v>
      </c>
      <c r="F91" s="81" t="str">
        <f>if(isblank(K91),"",vlookup(K91,Pacing!$A$1:$Z$213,23))</f>
        <v>Practice 3</v>
      </c>
      <c r="G91" s="81" t="str">
        <f>if(isblank(L91),"",vlookup(L91,Pacing!$A$1:$Z$213,23))</f>
        <v>Practice 3</v>
      </c>
      <c r="H91" s="81" t="str">
        <f>if(isblank(M91),"",vlookup(M91,Pacing!$A$1:$Z$213,23))</f>
        <v>Practice 3</v>
      </c>
      <c r="I91" s="86">
        <f t="shared" ref="I91:M91" si="90">I90</f>
        <v>9</v>
      </c>
      <c r="J91" s="86">
        <f t="shared" si="90"/>
        <v>10</v>
      </c>
      <c r="K91" s="86">
        <f t="shared" si="90"/>
        <v>11</v>
      </c>
      <c r="L91" s="86">
        <f t="shared" si="90"/>
        <v>12</v>
      </c>
      <c r="M91" s="86">
        <f t="shared" si="90"/>
        <v>13</v>
      </c>
    </row>
    <row r="92" ht="15.75" customHeight="1">
      <c r="A92" s="69"/>
      <c r="B92" s="69"/>
      <c r="C92" s="71"/>
      <c r="D92" s="81" t="str">
        <f>if(isblank(I92),"",vlookup(I92,Pacing!$A$1:$Z$213,24))</f>
        <v>Sum Assess</v>
      </c>
      <c r="E92" s="81" t="str">
        <f>if(isblank(J92),"",vlookup(J92,Pacing!$A$1:$Z$213,24))</f>
        <v>Sum Assess</v>
      </c>
      <c r="F92" s="81" t="str">
        <f>if(isblank(K92),"",vlookup(K92,Pacing!$A$1:$Z$213,24))</f>
        <v>Sum Assess</v>
      </c>
      <c r="G92" s="81" t="str">
        <f>if(isblank(L92),"",vlookup(L92,Pacing!$A$1:$Z$213,24))</f>
        <v>Sum Assess</v>
      </c>
      <c r="H92" s="81" t="str">
        <f>if(isblank(M92),"",vlookup(M92,Pacing!$A$1:$Z$213,24))</f>
        <v>Sum Assess</v>
      </c>
      <c r="I92" s="86">
        <f t="shared" ref="I92:M92" si="91">I91</f>
        <v>9</v>
      </c>
      <c r="J92" s="86">
        <f t="shared" si="91"/>
        <v>10</v>
      </c>
      <c r="K92" s="86">
        <f t="shared" si="91"/>
        <v>11</v>
      </c>
      <c r="L92" s="86">
        <f t="shared" si="91"/>
        <v>12</v>
      </c>
      <c r="M92" s="86">
        <f t="shared" si="91"/>
        <v>13</v>
      </c>
    </row>
    <row r="93" ht="15.75" customHeight="1">
      <c r="A93" s="69"/>
      <c r="B93" s="69"/>
      <c r="C93" s="71"/>
      <c r="D93" s="81" t="str">
        <f>if(isblank(I93),"",vlookup(I93,Pacing!$A$1:$Z$213,25))</f>
        <v>Bank</v>
      </c>
      <c r="E93" s="81" t="str">
        <f>if(isblank(J93),"",vlookup(J93,Pacing!$A$1:$Z$213,25))</f>
        <v>Bank</v>
      </c>
      <c r="F93" s="81" t="str">
        <f>if(isblank(K93),"",vlookup(K93,Pacing!$A$1:$Z$213,25))</f>
        <v>Bank</v>
      </c>
      <c r="G93" s="81" t="str">
        <f>if(isblank(L93),"",vlookup(L93,Pacing!$A$1:$Z$213,25))</f>
        <v>Bank</v>
      </c>
      <c r="H93" s="81" t="str">
        <f>if(isblank(M93),"",vlookup(M93,Pacing!$A$1:$Z$213,25))</f>
        <v>Bank</v>
      </c>
      <c r="I93" s="86">
        <f t="shared" ref="I93:M93" si="92">I92</f>
        <v>9</v>
      </c>
      <c r="J93" s="86">
        <f t="shared" si="92"/>
        <v>10</v>
      </c>
      <c r="K93" s="86">
        <f t="shared" si="92"/>
        <v>11</v>
      </c>
      <c r="L93" s="86">
        <f t="shared" si="92"/>
        <v>12</v>
      </c>
      <c r="M93" s="86">
        <f t="shared" si="92"/>
        <v>13</v>
      </c>
    </row>
    <row r="94" ht="15.75" customHeight="1">
      <c r="A94" s="69"/>
      <c r="B94" s="69"/>
      <c r="C94" s="71"/>
      <c r="D94" s="91" t="str">
        <f>if(isblank(I94),"",vlookup(I94,Pacing!$A$1:$Z$213,26))</f>
        <v/>
      </c>
      <c r="E94" s="89" t="str">
        <f>if(isblank(J94),"",vlookup(J94,Pacing!$A$1:$Z$213,26))</f>
        <v/>
      </c>
      <c r="F94" s="89" t="str">
        <f>if(isblank(K94),"",vlookup(K94,Pacing!$A$1:$Z$213,26))</f>
        <v/>
      </c>
      <c r="G94" s="89" t="str">
        <f>if(isblank(L94),"",vlookup(L94,Pacing!$A$1:$Z$213,26))</f>
        <v/>
      </c>
      <c r="H94" s="89" t="str">
        <f>if(isblank(M94),"",vlookup(M94,Pacing!$A$1:$Z$213,26))</f>
        <v/>
      </c>
      <c r="I94" s="86">
        <f t="shared" ref="I94:M94" si="93">I93</f>
        <v>9</v>
      </c>
      <c r="J94" s="86">
        <f t="shared" si="93"/>
        <v>10</v>
      </c>
      <c r="K94" s="86">
        <f t="shared" si="93"/>
        <v>11</v>
      </c>
      <c r="L94" s="86">
        <f t="shared" si="93"/>
        <v>12</v>
      </c>
      <c r="M94" s="86">
        <f t="shared" si="93"/>
        <v>13</v>
      </c>
    </row>
    <row r="95" ht="15.75" customHeight="1">
      <c r="A95" s="137"/>
      <c r="B95" s="137"/>
      <c r="C95" s="138"/>
      <c r="D95" s="139"/>
      <c r="E95" s="139">
        <f>H68+1</f>
        <v>14</v>
      </c>
      <c r="F95" s="139">
        <f t="shared" ref="F95:H95" si="94">E95+1</f>
        <v>15</v>
      </c>
      <c r="G95" s="139">
        <f t="shared" si="94"/>
        <v>16</v>
      </c>
      <c r="H95" s="139">
        <f t="shared" si="94"/>
        <v>17</v>
      </c>
      <c r="I95" s="55" t="str">
        <f t="shared" ref="I95:M95" si="95">D95</f>
        <v/>
      </c>
      <c r="J95" s="55">
        <f t="shared" si="95"/>
        <v>14</v>
      </c>
      <c r="K95" s="55">
        <f t="shared" si="95"/>
        <v>15</v>
      </c>
      <c r="L95" s="55">
        <f t="shared" si="95"/>
        <v>16</v>
      </c>
      <c r="M95" s="55">
        <f t="shared" si="95"/>
        <v>17</v>
      </c>
    </row>
    <row r="96" ht="15.75" customHeight="1">
      <c r="A96" s="69">
        <f>B96+1</f>
        <v>41</v>
      </c>
      <c r="B96" s="69">
        <f t="shared" ref="B96:B103" si="97">$C$96*10</f>
        <v>40</v>
      </c>
      <c r="C96" s="71">
        <f>C69+1</f>
        <v>4</v>
      </c>
      <c r="D96" s="74">
        <f>D69+7</f>
        <v>46286</v>
      </c>
      <c r="E96" s="72">
        <f t="shared" ref="E96:H96" si="96">D96+1</f>
        <v>46287</v>
      </c>
      <c r="F96" s="72">
        <f t="shared" si="96"/>
        <v>46288</v>
      </c>
      <c r="G96" s="72">
        <f t="shared" si="96"/>
        <v>46289</v>
      </c>
      <c r="H96" s="72">
        <f t="shared" si="96"/>
        <v>46290</v>
      </c>
      <c r="I96" s="62" t="s">
        <v>42</v>
      </c>
    </row>
    <row r="97" ht="15.75" customHeight="1">
      <c r="A97" s="75">
        <f>B97+2</f>
        <v>42</v>
      </c>
      <c r="B97" s="75">
        <f t="shared" si="97"/>
        <v>40</v>
      </c>
      <c r="C97" s="76"/>
      <c r="D97" s="77" t="str">
        <f>if(isblank(I97),"",vlookup(I97,Pacing!$A$1:$Z$213,2))</f>
        <v/>
      </c>
      <c r="E97" s="131" t="str">
        <f>if(isblank(J97),"",vlookup(J97,Pacing!$A$1:$Z$213,2))</f>
        <v>1.4: Equilibrium</v>
      </c>
      <c r="F97" s="131" t="str">
        <f>if(isblank(K97),"",vlookup(K97,Pacing!$A$1:$Z$213,2))</f>
        <v>1.4: Equilibrium</v>
      </c>
      <c r="G97" s="131" t="str">
        <f>if(isblank(L97),"",vlookup(L97,Pacing!$A$1:$Z$213,2))</f>
        <v>1.4: Equilibrium</v>
      </c>
      <c r="H97" s="131" t="str">
        <f>if(isblank(M97),"",vlookup(M97,Pacing!$A$1:$Z$213,2))</f>
        <v>1.5: Force Models</v>
      </c>
      <c r="I97" s="78" t="str">
        <f t="shared" ref="I97:M97" si="98">I95</f>
        <v/>
      </c>
      <c r="J97" s="78">
        <f t="shared" si="98"/>
        <v>14</v>
      </c>
      <c r="K97" s="78">
        <f t="shared" si="98"/>
        <v>15</v>
      </c>
      <c r="L97" s="78">
        <f t="shared" si="98"/>
        <v>16</v>
      </c>
      <c r="M97" s="78">
        <f t="shared" si="98"/>
        <v>17</v>
      </c>
    </row>
    <row r="98" ht="15.75" customHeight="1">
      <c r="A98" s="69">
        <f>B98+3</f>
        <v>43</v>
      </c>
      <c r="B98" s="69">
        <f t="shared" si="97"/>
        <v>40</v>
      </c>
      <c r="C98" s="76"/>
      <c r="D98" s="129" t="s">
        <v>155</v>
      </c>
      <c r="E98" s="81" t="str">
        <f>if(isblank(J98),"",vlookup(J98,Pacing!$A$1:$Z$213,3))</f>
        <v>Warm Up</v>
      </c>
      <c r="F98" s="81" t="str">
        <f>if(isblank(K98),"",vlookup(K98,Pacing!$A$1:$Z$213,3))</f>
        <v>Warm Up</v>
      </c>
      <c r="G98" s="81" t="str">
        <f>if(isblank(L98),"",vlookup(L98,Pacing!$A$1:$Z$213,3))</f>
        <v>Warm Up</v>
      </c>
      <c r="H98" s="81" t="str">
        <f>if(isblank(M98),"",vlookup(M98,Pacing!$A$1:$Z$213,3))</f>
        <v>Warm Up</v>
      </c>
      <c r="I98" s="86" t="str">
        <f t="shared" ref="I98:M98" si="99">I97</f>
        <v/>
      </c>
      <c r="J98" s="86">
        <f t="shared" si="99"/>
        <v>14</v>
      </c>
      <c r="K98" s="86">
        <f t="shared" si="99"/>
        <v>15</v>
      </c>
      <c r="L98" s="86">
        <f t="shared" si="99"/>
        <v>16</v>
      </c>
      <c r="M98" s="86">
        <f t="shared" si="99"/>
        <v>17</v>
      </c>
    </row>
    <row r="99" ht="15.75" customHeight="1">
      <c r="A99" s="69">
        <f>B99+4</f>
        <v>44</v>
      </c>
      <c r="B99" s="69">
        <f t="shared" si="97"/>
        <v>40</v>
      </c>
      <c r="C99" s="76"/>
      <c r="D99" s="129" t="str">
        <f>if(isblank(I99),"",vlookup(I99,Pacing!$A$1:$Z$213,4))</f>
        <v/>
      </c>
      <c r="E99" s="81" t="str">
        <f>if(isblank(J99),"",vlookup(J99,Pacing!$A$1:$Z$213,4))</f>
        <v>Demo</v>
      </c>
      <c r="F99" s="81" t="str">
        <f>if(isblank(K99),"",vlookup(K99,Pacing!$A$1:$Z$213,4))</f>
        <v>Demo</v>
      </c>
      <c r="G99" s="81" t="str">
        <f>if(isblank(L99),"",vlookup(L99,Pacing!$A$1:$Z$213,4))</f>
        <v>Demo</v>
      </c>
      <c r="H99" s="81" t="str">
        <f>if(isblank(M99),"",vlookup(M99,Pacing!$A$1:$Z$213,4))</f>
        <v>Demo</v>
      </c>
      <c r="I99" s="86" t="str">
        <f t="shared" ref="I99:M99" si="100">I98</f>
        <v/>
      </c>
      <c r="J99" s="86">
        <f t="shared" si="100"/>
        <v>14</v>
      </c>
      <c r="K99" s="86">
        <f t="shared" si="100"/>
        <v>15</v>
      </c>
      <c r="L99" s="86">
        <f t="shared" si="100"/>
        <v>16</v>
      </c>
      <c r="M99" s="86">
        <f t="shared" si="100"/>
        <v>17</v>
      </c>
    </row>
    <row r="100" ht="15.75" customHeight="1">
      <c r="A100" s="69">
        <f>B100+5</f>
        <v>45</v>
      </c>
      <c r="B100" s="69">
        <f t="shared" si="97"/>
        <v>40</v>
      </c>
      <c r="C100" s="76"/>
      <c r="D100" s="129" t="str">
        <f>if(isblank(I100),"",vlookup(I100,Pacing!$A$1:$Z$213,5))</f>
        <v/>
      </c>
      <c r="E100" s="81" t="str">
        <f>if(isblank(J100),"",vlookup(J100,Pacing!$A$1:$Z$213,5))</f>
        <v>Notes</v>
      </c>
      <c r="F100" s="81" t="str">
        <f>if(isblank(K100),"",vlookup(K100,Pacing!$A$1:$Z$213,5))</f>
        <v>Notes</v>
      </c>
      <c r="G100" s="81" t="str">
        <f>if(isblank(L100),"",vlookup(L100,Pacing!$A$1:$Z$213,5))</f>
        <v>Notes</v>
      </c>
      <c r="H100" s="81" t="str">
        <f>if(isblank(M100),"",vlookup(M100,Pacing!$A$1:$Z$213,5))</f>
        <v>Notes</v>
      </c>
      <c r="I100" s="86" t="str">
        <f t="shared" ref="I100:M100" si="101">I99</f>
        <v/>
      </c>
      <c r="J100" s="86">
        <f t="shared" si="101"/>
        <v>14</v>
      </c>
      <c r="K100" s="86">
        <f t="shared" si="101"/>
        <v>15</v>
      </c>
      <c r="L100" s="86">
        <f t="shared" si="101"/>
        <v>16</v>
      </c>
      <c r="M100" s="86">
        <f t="shared" si="101"/>
        <v>17</v>
      </c>
    </row>
    <row r="101" ht="15.75" customHeight="1">
      <c r="A101" s="69">
        <f>B101+6</f>
        <v>46</v>
      </c>
      <c r="B101" s="69">
        <f t="shared" si="97"/>
        <v>40</v>
      </c>
      <c r="C101" s="76"/>
      <c r="D101" s="129" t="str">
        <f>if(isblank(I101),"",vlookup(I101,Pacing!$A$1:$Z$213,6))</f>
        <v/>
      </c>
      <c r="E101" s="81" t="str">
        <f>if(isblank(J101),"",vlookup(J101,Pacing!$A$1:$Z$213,6))</f>
        <v>Investigation</v>
      </c>
      <c r="F101" s="81" t="str">
        <f>if(isblank(K101),"",vlookup(K101,Pacing!$A$1:$Z$213,6))</f>
        <v>Investigation</v>
      </c>
      <c r="G101" s="81" t="str">
        <f>if(isblank(L101),"",vlookup(L101,Pacing!$A$1:$Z$213,6))</f>
        <v>Investigation</v>
      </c>
      <c r="H101" s="81" t="str">
        <f>if(isblank(M101),"",vlookup(M101,Pacing!$A$1:$Z$213,6))</f>
        <v>Investigation</v>
      </c>
      <c r="I101" s="86" t="str">
        <f t="shared" ref="I101:M101" si="102">I100</f>
        <v/>
      </c>
      <c r="J101" s="86">
        <f t="shared" si="102"/>
        <v>14</v>
      </c>
      <c r="K101" s="86">
        <f t="shared" si="102"/>
        <v>15</v>
      </c>
      <c r="L101" s="86">
        <f t="shared" si="102"/>
        <v>16</v>
      </c>
      <c r="M101" s="86">
        <f t="shared" si="102"/>
        <v>17</v>
      </c>
    </row>
    <row r="102" ht="15.75" customHeight="1">
      <c r="A102" s="69">
        <f>B102+7</f>
        <v>47</v>
      </c>
      <c r="B102" s="69">
        <f t="shared" si="97"/>
        <v>40</v>
      </c>
      <c r="C102" s="76"/>
      <c r="D102" s="129" t="str">
        <f>if(isblank(I102),"",vlookup(I102,Pacing!$A$1:$Z$213,7))</f>
        <v/>
      </c>
      <c r="E102" s="81" t="str">
        <f>if(isblank(J102),"",vlookup(J102,Pacing!$A$1:$Z$213,7))</f>
        <v>Activity</v>
      </c>
      <c r="F102" s="81" t="str">
        <f>if(isblank(K102),"",vlookup(K102,Pacing!$A$1:$Z$213,7))</f>
        <v>Activity</v>
      </c>
      <c r="G102" s="81" t="str">
        <f>if(isblank(L102),"",vlookup(L102,Pacing!$A$1:$Z$213,7))</f>
        <v>Activity</v>
      </c>
      <c r="H102" s="81" t="str">
        <f>if(isblank(M102),"",vlookup(M102,Pacing!$A$1:$Z$213,7))</f>
        <v>Activity</v>
      </c>
      <c r="I102" s="86" t="str">
        <f t="shared" ref="I102:M102" si="103">I101</f>
        <v/>
      </c>
      <c r="J102" s="86">
        <f t="shared" si="103"/>
        <v>14</v>
      </c>
      <c r="K102" s="86">
        <f t="shared" si="103"/>
        <v>15</v>
      </c>
      <c r="L102" s="86">
        <f t="shared" si="103"/>
        <v>16</v>
      </c>
      <c r="M102" s="86">
        <f t="shared" si="103"/>
        <v>17</v>
      </c>
    </row>
    <row r="103" ht="15.75" customHeight="1">
      <c r="A103" s="69">
        <f>B103+8</f>
        <v>48</v>
      </c>
      <c r="B103" s="69">
        <f t="shared" si="97"/>
        <v>40</v>
      </c>
      <c r="C103" s="95"/>
      <c r="D103" s="129" t="str">
        <f>if(isblank(I103),"",vlookup(I103,Pacing!$A$1:$Z$213,8))</f>
        <v/>
      </c>
      <c r="E103" s="81" t="str">
        <f>if(isblank(J103),"",vlookup(J103,Pacing!$A$1:$Z$213,8))</f>
        <v>Practice Set</v>
      </c>
      <c r="F103" s="81" t="str">
        <f>if(isblank(K103),"",vlookup(K103,Pacing!$A$1:$Z$213,8))</f>
        <v>Practice Set</v>
      </c>
      <c r="G103" s="81" t="str">
        <f>if(isblank(L103),"",vlookup(L103,Pacing!$A$1:$Z$213,8))</f>
        <v>Practice Set</v>
      </c>
      <c r="H103" s="81" t="str">
        <f>if(isblank(M103),"",vlookup(M103,Pacing!$A$1:$Z$213,8))</f>
        <v>Practice Set</v>
      </c>
      <c r="I103" s="86" t="str">
        <f t="shared" ref="I103:M103" si="104">I102</f>
        <v/>
      </c>
      <c r="J103" s="86">
        <f t="shared" si="104"/>
        <v>14</v>
      </c>
      <c r="K103" s="86">
        <f t="shared" si="104"/>
        <v>15</v>
      </c>
      <c r="L103" s="86">
        <f t="shared" si="104"/>
        <v>16</v>
      </c>
      <c r="M103" s="86">
        <f t="shared" si="104"/>
        <v>17</v>
      </c>
    </row>
    <row r="104" ht="15.75" customHeight="1">
      <c r="A104" s="69"/>
      <c r="B104" s="69"/>
      <c r="C104" s="71"/>
      <c r="D104" s="129" t="str">
        <f>if(isblank(I104),"",vlookup(I104,Pacing!$A$1:$Z$213,9))</f>
        <v/>
      </c>
      <c r="E104" s="81" t="str">
        <f>if(isblank(J104),"",vlookup(J104,Pacing!$A$1:$Z$213,9))</f>
        <v>Extra Practice</v>
      </c>
      <c r="F104" s="81" t="str">
        <f>if(isblank(K104),"",vlookup(K104,Pacing!$A$1:$Z$213,9))</f>
        <v>Extra Practice</v>
      </c>
      <c r="G104" s="81" t="str">
        <f>if(isblank(L104),"",vlookup(L104,Pacing!$A$1:$Z$213,9))</f>
        <v>Extra Practice</v>
      </c>
      <c r="H104" s="81" t="str">
        <f>if(isblank(M104),"",vlookup(M104,Pacing!$A$1:$Z$213,9))</f>
        <v>Extra Practice</v>
      </c>
      <c r="I104" s="86" t="str">
        <f t="shared" ref="I104:M104" si="105">I103</f>
        <v/>
      </c>
      <c r="J104" s="86">
        <f t="shared" si="105"/>
        <v>14</v>
      </c>
      <c r="K104" s="86">
        <f t="shared" si="105"/>
        <v>15</v>
      </c>
      <c r="L104" s="86">
        <f t="shared" si="105"/>
        <v>16</v>
      </c>
      <c r="M104" s="86">
        <f t="shared" si="105"/>
        <v>17</v>
      </c>
    </row>
    <row r="105" ht="15.75" customHeight="1">
      <c r="A105" s="69"/>
      <c r="B105" s="69"/>
      <c r="C105" s="71"/>
      <c r="D105" s="129" t="str">
        <f>if(isblank(I105),"",vlookup(I105,Pacing!$A$1:$Z$213,10))</f>
        <v/>
      </c>
      <c r="E105" s="81" t="str">
        <f>if(isblank(J105),"",vlookup(J105,Pacing!$A$1:$Z$213,10))</f>
        <v>CYU</v>
      </c>
      <c r="F105" s="81" t="str">
        <f>if(isblank(K105),"",vlookup(K105,Pacing!$A$1:$Z$213,10))</f>
        <v>CYU</v>
      </c>
      <c r="G105" s="81" t="str">
        <f>if(isblank(L105),"",vlookup(L105,Pacing!$A$1:$Z$213,10))</f>
        <v>CYU</v>
      </c>
      <c r="H105" s="81" t="str">
        <f>if(isblank(M105),"",vlookup(M105,Pacing!$A$1:$Z$213,10))</f>
        <v>CYU</v>
      </c>
      <c r="I105" s="86" t="str">
        <f t="shared" ref="I105:M105" si="106">I104</f>
        <v/>
      </c>
      <c r="J105" s="86">
        <f t="shared" si="106"/>
        <v>14</v>
      </c>
      <c r="K105" s="86">
        <f t="shared" si="106"/>
        <v>15</v>
      </c>
      <c r="L105" s="86">
        <f t="shared" si="106"/>
        <v>16</v>
      </c>
      <c r="M105" s="86">
        <f t="shared" si="106"/>
        <v>17</v>
      </c>
    </row>
    <row r="106" ht="15.75" customHeight="1">
      <c r="A106" s="69"/>
      <c r="B106" s="69"/>
      <c r="C106" s="71"/>
      <c r="D106" s="129" t="str">
        <f>if(isblank(I106),"",vlookup(I106,Pacing!$A$1:$Z$213,11))</f>
        <v/>
      </c>
      <c r="E106" s="81" t="str">
        <f>if(isblank(J106),"",vlookup(J106,Pacing!$A$1:$Z$213,11))</f>
        <v>Progress</v>
      </c>
      <c r="F106" s="81" t="str">
        <f>if(isblank(K106),"",vlookup(K106,Pacing!$A$1:$Z$213,11))</f>
        <v>Progress</v>
      </c>
      <c r="G106" s="81" t="str">
        <f>if(isblank(L106),"",vlookup(L106,Pacing!$A$1:$Z$213,11))</f>
        <v>Progress</v>
      </c>
      <c r="H106" s="81" t="str">
        <f>if(isblank(M106),"",vlookup(M106,Pacing!$A$1:$Z$213,11))</f>
        <v>Progress</v>
      </c>
      <c r="I106" s="86" t="str">
        <f t="shared" ref="I106:M106" si="107">I105</f>
        <v/>
      </c>
      <c r="J106" s="86">
        <f t="shared" si="107"/>
        <v>14</v>
      </c>
      <c r="K106" s="86">
        <f t="shared" si="107"/>
        <v>15</v>
      </c>
      <c r="L106" s="86">
        <f t="shared" si="107"/>
        <v>16</v>
      </c>
      <c r="M106" s="86">
        <f t="shared" si="107"/>
        <v>17</v>
      </c>
    </row>
    <row r="107" ht="15.75" customHeight="1">
      <c r="A107" s="69"/>
      <c r="B107" s="69"/>
      <c r="C107" s="71"/>
      <c r="D107" s="129" t="str">
        <f>if(isblank(I107),"",vlookup(I107,Pacing!$A$1:$Z$213,12))</f>
        <v/>
      </c>
      <c r="E107" s="81" t="str">
        <f>if(isblank(J107),"",vlookup(J107,Pacing!$A$1:$Z$213,12))</f>
        <v>Review</v>
      </c>
      <c r="F107" s="81" t="str">
        <f>if(isblank(K107),"",vlookup(K107,Pacing!$A$1:$Z$213,12))</f>
        <v>Review</v>
      </c>
      <c r="G107" s="81" t="str">
        <f>if(isblank(L107),"",vlookup(L107,Pacing!$A$1:$Z$213,12))</f>
        <v>Review</v>
      </c>
      <c r="H107" s="81" t="str">
        <f>if(isblank(M107),"",vlookup(M107,Pacing!$A$1:$Z$213,12))</f>
        <v>Review</v>
      </c>
      <c r="I107" s="86" t="str">
        <f t="shared" ref="I107:M107" si="108">I106</f>
        <v/>
      </c>
      <c r="J107" s="86">
        <f t="shared" si="108"/>
        <v>14</v>
      </c>
      <c r="K107" s="86">
        <f t="shared" si="108"/>
        <v>15</v>
      </c>
      <c r="L107" s="86">
        <f t="shared" si="108"/>
        <v>16</v>
      </c>
      <c r="M107" s="86">
        <f t="shared" si="108"/>
        <v>17</v>
      </c>
    </row>
    <row r="108" ht="15.75" customHeight="1">
      <c r="A108" s="69"/>
      <c r="B108" s="69"/>
      <c r="C108" s="71"/>
      <c r="D108" s="129" t="str">
        <f>if(isblank(I108),"",vlookup(I108,Pacing!$A$1:$Z$213,13))</f>
        <v/>
      </c>
      <c r="E108" s="91" t="str">
        <f>if(isblank(J108),"",vlookup(J108,Pacing!$A$1:$Z$213,13))</f>
        <v/>
      </c>
      <c r="F108" s="91" t="str">
        <f>if(isblank(K108),"",vlookup(K108,Pacing!$A$1:$Z$213,13))</f>
        <v/>
      </c>
      <c r="G108" s="91" t="str">
        <f>if(isblank(L108),"",vlookup(L108,Pacing!$A$1:$Z$213,13))</f>
        <v/>
      </c>
      <c r="H108" s="91" t="str">
        <f>if(isblank(M108),"",vlookup(M108,Pacing!$A$1:$Z$213,13))</f>
        <v/>
      </c>
      <c r="I108" s="86" t="str">
        <f t="shared" ref="I108:M108" si="109">I107</f>
        <v/>
      </c>
      <c r="J108" s="86">
        <f t="shared" si="109"/>
        <v>14</v>
      </c>
      <c r="K108" s="86">
        <f t="shared" si="109"/>
        <v>15</v>
      </c>
      <c r="L108" s="86">
        <f t="shared" si="109"/>
        <v>16</v>
      </c>
      <c r="M108" s="86">
        <f t="shared" si="109"/>
        <v>17</v>
      </c>
    </row>
    <row r="109" ht="15.75" customHeight="1">
      <c r="A109" s="69"/>
      <c r="B109" s="69"/>
      <c r="C109" s="71"/>
      <c r="D109" s="129" t="str">
        <f>if(isblank(I109),"",vlookup(I109,Pacing!$A$1:$Z$213,14))</f>
        <v/>
      </c>
      <c r="E109" s="81" t="str">
        <f>if(isblank(J109),"",vlookup(J109,Pacing!$A$1:$Z$213,14))</f>
        <v>Notes Teacher</v>
      </c>
      <c r="F109" s="81" t="str">
        <f>if(isblank(K109),"",vlookup(K109,Pacing!$A$1:$Z$213,14))</f>
        <v>Notes Teacher</v>
      </c>
      <c r="G109" s="81" t="str">
        <f>if(isblank(L109),"",vlookup(L109,Pacing!$A$1:$Z$213,14))</f>
        <v>Notes Teacher</v>
      </c>
      <c r="H109" s="81" t="str">
        <f>if(isblank(M109),"",vlookup(M109,Pacing!$A$1:$Z$213,14))</f>
        <v>Notes Teacher</v>
      </c>
      <c r="I109" s="86" t="str">
        <f t="shared" ref="I109:M109" si="110">I108</f>
        <v/>
      </c>
      <c r="J109" s="86">
        <f t="shared" si="110"/>
        <v>14</v>
      </c>
      <c r="K109" s="86">
        <f t="shared" si="110"/>
        <v>15</v>
      </c>
      <c r="L109" s="86">
        <f t="shared" si="110"/>
        <v>16</v>
      </c>
      <c r="M109" s="86">
        <f t="shared" si="110"/>
        <v>17</v>
      </c>
    </row>
    <row r="110" ht="15.75" customHeight="1">
      <c r="A110" s="69"/>
      <c r="B110" s="69"/>
      <c r="C110" s="71"/>
      <c r="D110" s="129" t="str">
        <f>if(isblank(I110),"",vlookup(I110,Pacing!$A$1:$Z$213,15))</f>
        <v/>
      </c>
      <c r="E110" s="81" t="str">
        <f>if(isblank(J110),"",vlookup(J110,Pacing!$A$1:$Z$213,15))</f>
        <v>Demo Teacher</v>
      </c>
      <c r="F110" s="81" t="str">
        <f>if(isblank(K110),"",vlookup(K110,Pacing!$A$1:$Z$213,15))</f>
        <v>Demo Teacher</v>
      </c>
      <c r="G110" s="81" t="str">
        <f>if(isblank(L110),"",vlookup(L110,Pacing!$A$1:$Z$213,15))</f>
        <v>Demo Teacher</v>
      </c>
      <c r="H110" s="81" t="str">
        <f>if(isblank(M110),"",vlookup(M110,Pacing!$A$1:$Z$213,15))</f>
        <v>Demo Teacher</v>
      </c>
      <c r="I110" s="86" t="str">
        <f t="shared" ref="I110:M110" si="111">I109</f>
        <v/>
      </c>
      <c r="J110" s="86">
        <f t="shared" si="111"/>
        <v>14</v>
      </c>
      <c r="K110" s="86">
        <f t="shared" si="111"/>
        <v>15</v>
      </c>
      <c r="L110" s="86">
        <f t="shared" si="111"/>
        <v>16</v>
      </c>
      <c r="M110" s="86">
        <f t="shared" si="111"/>
        <v>17</v>
      </c>
    </row>
    <row r="111" ht="15.75" customHeight="1">
      <c r="A111" s="69"/>
      <c r="B111" s="69"/>
      <c r="C111" s="71"/>
      <c r="D111" s="129" t="str">
        <f>if(isblank(I111),"",vlookup(I111,Pacing!$A$1:$Z$213,16))</f>
        <v/>
      </c>
      <c r="E111" s="81" t="str">
        <f>if(isblank(J111),"",vlookup(J111,Pacing!$A$1:$Z$213,16))</f>
        <v>Invest Teacher</v>
      </c>
      <c r="F111" s="81" t="str">
        <f>if(isblank(K111),"",vlookup(K111,Pacing!$A$1:$Z$213,16))</f>
        <v>Invest Teacher</v>
      </c>
      <c r="G111" s="81" t="str">
        <f>if(isblank(L111),"",vlookup(L111,Pacing!$A$1:$Z$213,16))</f>
        <v>Invest Teacher</v>
      </c>
      <c r="H111" s="81" t="str">
        <f>if(isblank(M111),"",vlookup(M111,Pacing!$A$1:$Z$213,16))</f>
        <v>Invest Teacher</v>
      </c>
      <c r="I111" s="86" t="str">
        <f t="shared" ref="I111:M111" si="112">I110</f>
        <v/>
      </c>
      <c r="J111" s="86">
        <f t="shared" si="112"/>
        <v>14</v>
      </c>
      <c r="K111" s="86">
        <f t="shared" si="112"/>
        <v>15</v>
      </c>
      <c r="L111" s="86">
        <f t="shared" si="112"/>
        <v>16</v>
      </c>
      <c r="M111" s="86">
        <f t="shared" si="112"/>
        <v>17</v>
      </c>
    </row>
    <row r="112" ht="15.75" customHeight="1">
      <c r="A112" s="69"/>
      <c r="B112" s="69"/>
      <c r="C112" s="71"/>
      <c r="D112" s="129" t="str">
        <f>if(isblank(I112),"",vlookup(I112,Pacing!$A$1:$Z$213,17))</f>
        <v/>
      </c>
      <c r="E112" s="81" t="str">
        <f>if(isblank(J112),"",vlookup(J112,Pacing!$A$1:$Z$213,17))</f>
        <v>PT Teacher</v>
      </c>
      <c r="F112" s="81" t="str">
        <f>if(isblank(K112),"",vlookup(K112,Pacing!$A$1:$Z$213,17))</f>
        <v>PT Teacher</v>
      </c>
      <c r="G112" s="81" t="str">
        <f>if(isblank(L112),"",vlookup(L112,Pacing!$A$1:$Z$213,17))</f>
        <v>PT Teacher</v>
      </c>
      <c r="H112" s="81" t="str">
        <f>if(isblank(M112),"",vlookup(M112,Pacing!$A$1:$Z$213,17))</f>
        <v>PT Teacher</v>
      </c>
      <c r="I112" s="86" t="str">
        <f t="shared" ref="I112:M112" si="113">I111</f>
        <v/>
      </c>
      <c r="J112" s="86">
        <f t="shared" si="113"/>
        <v>14</v>
      </c>
      <c r="K112" s="86">
        <f t="shared" si="113"/>
        <v>15</v>
      </c>
      <c r="L112" s="86">
        <f t="shared" si="113"/>
        <v>16</v>
      </c>
      <c r="M112" s="86">
        <f t="shared" si="113"/>
        <v>17</v>
      </c>
    </row>
    <row r="113" ht="15.75" customHeight="1">
      <c r="A113" s="69"/>
      <c r="B113" s="69"/>
      <c r="C113" s="71"/>
      <c r="D113" s="129" t="str">
        <f>if(isblank(I113),"",vlookup(I113,Pacing!$A$1:$Z$213,18))</f>
        <v/>
      </c>
      <c r="E113" s="81" t="str">
        <f>if(isblank(J113),"",vlookup(J113,Pacing!$A$1:$Z$213,18))</f>
        <v>Assess Plan</v>
      </c>
      <c r="F113" s="81" t="str">
        <f>if(isblank(K113),"",vlookup(K113,Pacing!$A$1:$Z$213,18))</f>
        <v>Assess Plan</v>
      </c>
      <c r="G113" s="81" t="str">
        <f>if(isblank(L113),"",vlookup(L113,Pacing!$A$1:$Z$213,18))</f>
        <v>Assess Plan</v>
      </c>
      <c r="H113" s="81" t="str">
        <f>if(isblank(M113),"",vlookup(M113,Pacing!$A$1:$Z$213,18))</f>
        <v>Assess Plan</v>
      </c>
      <c r="I113" s="86" t="str">
        <f t="shared" ref="I113:M113" si="114">I112</f>
        <v/>
      </c>
      <c r="J113" s="86">
        <f t="shared" si="114"/>
        <v>14</v>
      </c>
      <c r="K113" s="86">
        <f t="shared" si="114"/>
        <v>15</v>
      </c>
      <c r="L113" s="86">
        <f t="shared" si="114"/>
        <v>16</v>
      </c>
      <c r="M113" s="86">
        <f t="shared" si="114"/>
        <v>17</v>
      </c>
    </row>
    <row r="114" ht="15.75" customHeight="1">
      <c r="A114" s="69"/>
      <c r="B114" s="69"/>
      <c r="C114" s="71"/>
      <c r="D114" s="129" t="str">
        <f>if(isblank(I114),"",vlookup(I114,Pacing!$A$1:$Z$213,19))</f>
        <v/>
      </c>
      <c r="E114" s="81" t="str">
        <f>if(isblank(J114),"",vlookup(J114,Pacing!$A$1:$Z$213,19))</f>
        <v>Perform Task</v>
      </c>
      <c r="F114" s="81" t="str">
        <f>if(isblank(K114),"",vlookup(K114,Pacing!$A$1:$Z$213,19))</f>
        <v>Perform Task</v>
      </c>
      <c r="G114" s="81" t="str">
        <f>if(isblank(L114),"",vlookup(L114,Pacing!$A$1:$Z$213,19))</f>
        <v>Perform Task</v>
      </c>
      <c r="H114" s="81" t="str">
        <f>if(isblank(M114),"",vlookup(M114,Pacing!$A$1:$Z$213,19))</f>
        <v>Perform Task</v>
      </c>
      <c r="I114" s="86" t="str">
        <f t="shared" ref="I114:M114" si="115">I113</f>
        <v/>
      </c>
      <c r="J114" s="86">
        <f t="shared" si="115"/>
        <v>14</v>
      </c>
      <c r="K114" s="86">
        <f t="shared" si="115"/>
        <v>15</v>
      </c>
      <c r="L114" s="86">
        <f t="shared" si="115"/>
        <v>16</v>
      </c>
      <c r="M114" s="86">
        <f t="shared" si="115"/>
        <v>17</v>
      </c>
    </row>
    <row r="115" ht="15.75" customHeight="1">
      <c r="A115" s="69"/>
      <c r="B115" s="69"/>
      <c r="C115" s="71"/>
      <c r="D115" s="129" t="str">
        <f>if(isblank(I115),"",vlookup(I115,Pacing!$A$1:$Z$213,20))</f>
        <v/>
      </c>
      <c r="E115" s="81" t="str">
        <f>if(isblank(J115),"",vlookup(J115,Pacing!$A$1:$Z$213,20))</f>
        <v>Quick Check</v>
      </c>
      <c r="F115" s="81" t="str">
        <f>if(isblank(K115),"",vlookup(K115,Pacing!$A$1:$Z$213,20))</f>
        <v>Quick Check</v>
      </c>
      <c r="G115" s="81" t="str">
        <f>if(isblank(L115),"",vlookup(L115,Pacing!$A$1:$Z$213,20))</f>
        <v>Quick Check</v>
      </c>
      <c r="H115" s="81" t="str">
        <f>if(isblank(M115),"",vlookup(M115,Pacing!$A$1:$Z$213,20))</f>
        <v>Quick Check</v>
      </c>
      <c r="I115" s="86" t="str">
        <f t="shared" ref="I115:M115" si="116">I114</f>
        <v/>
      </c>
      <c r="J115" s="86">
        <f t="shared" si="116"/>
        <v>14</v>
      </c>
      <c r="K115" s="86">
        <f t="shared" si="116"/>
        <v>15</v>
      </c>
      <c r="L115" s="86">
        <f t="shared" si="116"/>
        <v>16</v>
      </c>
      <c r="M115" s="86">
        <f t="shared" si="116"/>
        <v>17</v>
      </c>
    </row>
    <row r="116" ht="15.75" customHeight="1">
      <c r="A116" s="69"/>
      <c r="B116" s="69"/>
      <c r="C116" s="71"/>
      <c r="D116" s="129" t="str">
        <f>if(isblank(I116),"",vlookup(I116,Pacing!$A$1:$Z$213,21))</f>
        <v/>
      </c>
      <c r="E116" s="81" t="str">
        <f>if(isblank(J116),"",vlookup(J116,Pacing!$A$1:$Z$213,21))</f>
        <v>Exit Ticket</v>
      </c>
      <c r="F116" s="81" t="str">
        <f>if(isblank(K116),"",vlookup(K116,Pacing!$A$1:$Z$213,21))</f>
        <v>Exit Ticket</v>
      </c>
      <c r="G116" s="81" t="str">
        <f>if(isblank(L116),"",vlookup(L116,Pacing!$A$1:$Z$213,21))</f>
        <v>Exit Ticket</v>
      </c>
      <c r="H116" s="81" t="str">
        <f>if(isblank(M116),"",vlookup(M116,Pacing!$A$1:$Z$213,21))</f>
        <v>Exit Ticket</v>
      </c>
      <c r="I116" s="86" t="str">
        <f t="shared" ref="I116:M116" si="117">I115</f>
        <v/>
      </c>
      <c r="J116" s="86">
        <f t="shared" si="117"/>
        <v>14</v>
      </c>
      <c r="K116" s="86">
        <f t="shared" si="117"/>
        <v>15</v>
      </c>
      <c r="L116" s="86">
        <f t="shared" si="117"/>
        <v>16</v>
      </c>
      <c r="M116" s="86">
        <f t="shared" si="117"/>
        <v>17</v>
      </c>
    </row>
    <row r="117" ht="15.75" customHeight="1">
      <c r="A117" s="69"/>
      <c r="B117" s="69"/>
      <c r="C117" s="71"/>
      <c r="D117" s="129" t="str">
        <f>if(isblank(I117),"",vlookup(I117,Pacing!$A$1:$Z$213,22))</f>
        <v/>
      </c>
      <c r="E117" s="81" t="str">
        <f>if(isblank(J117),"",vlookup(J117,Pacing!$A$1:$Z$213,22))</f>
        <v>Practice 2</v>
      </c>
      <c r="F117" s="81" t="str">
        <f>if(isblank(K117),"",vlookup(K117,Pacing!$A$1:$Z$213,22))</f>
        <v>Practice 2</v>
      </c>
      <c r="G117" s="81" t="str">
        <f>if(isblank(L117),"",vlookup(L117,Pacing!$A$1:$Z$213,22))</f>
        <v>Practice 2</v>
      </c>
      <c r="H117" s="81" t="str">
        <f>if(isblank(M117),"",vlookup(M117,Pacing!$A$1:$Z$213,22))</f>
        <v>Practice 2</v>
      </c>
      <c r="I117" s="86" t="str">
        <f t="shared" ref="I117:M117" si="118">I116</f>
        <v/>
      </c>
      <c r="J117" s="86">
        <f t="shared" si="118"/>
        <v>14</v>
      </c>
      <c r="K117" s="86">
        <f t="shared" si="118"/>
        <v>15</v>
      </c>
      <c r="L117" s="86">
        <f t="shared" si="118"/>
        <v>16</v>
      </c>
      <c r="M117" s="86">
        <f t="shared" si="118"/>
        <v>17</v>
      </c>
    </row>
    <row r="118" ht="15.75" customHeight="1">
      <c r="A118" s="69"/>
      <c r="B118" s="69"/>
      <c r="C118" s="71"/>
      <c r="D118" s="129" t="str">
        <f>if(isblank(I118),"",vlookup(I118,Pacing!$A$1:$Z$213,23))</f>
        <v/>
      </c>
      <c r="E118" s="81" t="str">
        <f>if(isblank(J118),"",vlookup(J118,Pacing!$A$1:$Z$213,23))</f>
        <v>Practice 3</v>
      </c>
      <c r="F118" s="81" t="str">
        <f>if(isblank(K118),"",vlookup(K118,Pacing!$A$1:$Z$213,23))</f>
        <v>Practice 3</v>
      </c>
      <c r="G118" s="81" t="str">
        <f>if(isblank(L118),"",vlookup(L118,Pacing!$A$1:$Z$213,23))</f>
        <v>Practice 3</v>
      </c>
      <c r="H118" s="81" t="str">
        <f>if(isblank(M118),"",vlookup(M118,Pacing!$A$1:$Z$213,23))</f>
        <v>Practice 3</v>
      </c>
      <c r="I118" s="86" t="str">
        <f t="shared" ref="I118:M118" si="119">I117</f>
        <v/>
      </c>
      <c r="J118" s="86">
        <f t="shared" si="119"/>
        <v>14</v>
      </c>
      <c r="K118" s="86">
        <f t="shared" si="119"/>
        <v>15</v>
      </c>
      <c r="L118" s="86">
        <f t="shared" si="119"/>
        <v>16</v>
      </c>
      <c r="M118" s="86">
        <f t="shared" si="119"/>
        <v>17</v>
      </c>
    </row>
    <row r="119" ht="15.75" customHeight="1">
      <c r="A119" s="69"/>
      <c r="B119" s="69"/>
      <c r="C119" s="71"/>
      <c r="D119" s="129" t="str">
        <f>if(isblank(I119),"",vlookup(I119,Pacing!$A$1:$Z$213,24))</f>
        <v/>
      </c>
      <c r="E119" s="81" t="str">
        <f>if(isblank(J119),"",vlookup(J119,Pacing!$A$1:$Z$213,24))</f>
        <v>Sum Assess</v>
      </c>
      <c r="F119" s="81" t="str">
        <f>if(isblank(K119),"",vlookup(K119,Pacing!$A$1:$Z$213,24))</f>
        <v>Sum Assess</v>
      </c>
      <c r="G119" s="81" t="str">
        <f>if(isblank(L119),"",vlookup(L119,Pacing!$A$1:$Z$213,24))</f>
        <v>Sum Assess</v>
      </c>
      <c r="H119" s="81" t="str">
        <f>if(isblank(M119),"",vlookup(M119,Pacing!$A$1:$Z$213,24))</f>
        <v>Sum Assess</v>
      </c>
      <c r="I119" s="86" t="str">
        <f t="shared" ref="I119:M119" si="120">I118</f>
        <v/>
      </c>
      <c r="J119" s="86">
        <f t="shared" si="120"/>
        <v>14</v>
      </c>
      <c r="K119" s="86">
        <f t="shared" si="120"/>
        <v>15</v>
      </c>
      <c r="L119" s="86">
        <f t="shared" si="120"/>
        <v>16</v>
      </c>
      <c r="M119" s="86">
        <f t="shared" si="120"/>
        <v>17</v>
      </c>
    </row>
    <row r="120" ht="15.75" customHeight="1">
      <c r="A120" s="69"/>
      <c r="B120" s="69"/>
      <c r="C120" s="71"/>
      <c r="D120" s="129" t="str">
        <f>if(isblank(I120),"",vlookup(I120,Pacing!$A$1:$Z$213,25))</f>
        <v/>
      </c>
      <c r="E120" s="81" t="str">
        <f>if(isblank(J120),"",vlookup(J120,Pacing!$A$1:$Z$213,25))</f>
        <v>Bank</v>
      </c>
      <c r="F120" s="81" t="str">
        <f>if(isblank(K120),"",vlookup(K120,Pacing!$A$1:$Z$213,25))</f>
        <v>Bank</v>
      </c>
      <c r="G120" s="81" t="str">
        <f>if(isblank(L120),"",vlookup(L120,Pacing!$A$1:$Z$213,25))</f>
        <v>Bank</v>
      </c>
      <c r="H120" s="81" t="str">
        <f>if(isblank(M120),"",vlookup(M120,Pacing!$A$1:$Z$213,25))</f>
        <v>Bank</v>
      </c>
      <c r="I120" s="86" t="str">
        <f t="shared" ref="I120:M120" si="121">I119</f>
        <v/>
      </c>
      <c r="J120" s="86">
        <f t="shared" si="121"/>
        <v>14</v>
      </c>
      <c r="K120" s="86">
        <f t="shared" si="121"/>
        <v>15</v>
      </c>
      <c r="L120" s="86">
        <f t="shared" si="121"/>
        <v>16</v>
      </c>
      <c r="M120" s="86">
        <f t="shared" si="121"/>
        <v>17</v>
      </c>
    </row>
    <row r="121" ht="15.75" customHeight="1">
      <c r="A121" s="69"/>
      <c r="B121" s="69"/>
      <c r="C121" s="71"/>
      <c r="D121" s="129" t="str">
        <f>if(isblank(I121),"",vlookup(I121,Pacing!$A$1:$Z$213,26))</f>
        <v/>
      </c>
      <c r="E121" s="89" t="str">
        <f>if(isblank(J121),"",vlookup(J121,Pacing!$A$1:$Z$213,26))</f>
        <v/>
      </c>
      <c r="F121" s="89" t="str">
        <f>if(isblank(K121),"",vlookup(K121,Pacing!$A$1:$Z$213,26))</f>
        <v/>
      </c>
      <c r="G121" s="89" t="str">
        <f>if(isblank(L121),"",vlookup(L121,Pacing!$A$1:$Z$213,26))</f>
        <v/>
      </c>
      <c r="H121" s="89" t="str">
        <f>if(isblank(M121),"",vlookup(M121,Pacing!$A$1:$Z$213,26))</f>
        <v/>
      </c>
      <c r="I121" s="86" t="str">
        <f t="shared" ref="I121:M121" si="122">I120</f>
        <v/>
      </c>
      <c r="J121" s="86">
        <f t="shared" si="122"/>
        <v>14</v>
      </c>
      <c r="K121" s="86">
        <f t="shared" si="122"/>
        <v>15</v>
      </c>
      <c r="L121" s="86">
        <f t="shared" si="122"/>
        <v>16</v>
      </c>
      <c r="M121" s="86">
        <f t="shared" si="122"/>
        <v>17</v>
      </c>
    </row>
    <row r="122" ht="15.75" customHeight="1">
      <c r="A122" s="137"/>
      <c r="B122" s="137"/>
      <c r="C122" s="138"/>
      <c r="D122" s="139">
        <f>H95+1</f>
        <v>18</v>
      </c>
      <c r="E122" s="139">
        <f t="shared" ref="E122:H122" si="123">D122+1</f>
        <v>19</v>
      </c>
      <c r="F122" s="139">
        <f t="shared" si="123"/>
        <v>20</v>
      </c>
      <c r="G122" s="139">
        <f t="shared" si="123"/>
        <v>21</v>
      </c>
      <c r="H122" s="139">
        <f t="shared" si="123"/>
        <v>22</v>
      </c>
      <c r="I122" s="55">
        <f t="shared" ref="I122:M122" si="124">D122</f>
        <v>18</v>
      </c>
      <c r="J122" s="55">
        <f t="shared" si="124"/>
        <v>19</v>
      </c>
      <c r="K122" s="55">
        <f t="shared" si="124"/>
        <v>20</v>
      </c>
      <c r="L122" s="55">
        <f t="shared" si="124"/>
        <v>21</v>
      </c>
      <c r="M122" s="55">
        <f t="shared" si="124"/>
        <v>22</v>
      </c>
    </row>
    <row r="123" ht="15.75" customHeight="1">
      <c r="A123" s="69">
        <f>B123+1</f>
        <v>51</v>
      </c>
      <c r="B123" s="69">
        <f t="shared" ref="B123:B130" si="126">$C$123*10</f>
        <v>50</v>
      </c>
      <c r="C123" s="71">
        <f>C96+1</f>
        <v>5</v>
      </c>
      <c r="D123" s="72">
        <f>D96+7</f>
        <v>46293</v>
      </c>
      <c r="E123" s="72">
        <f t="shared" ref="E123:H123" si="125">D123+1</f>
        <v>46294</v>
      </c>
      <c r="F123" s="72">
        <f t="shared" si="125"/>
        <v>46295</v>
      </c>
      <c r="G123" s="72">
        <f t="shared" si="125"/>
        <v>46296</v>
      </c>
      <c r="H123" s="72">
        <f t="shared" si="125"/>
        <v>46297</v>
      </c>
      <c r="I123" s="62" t="s">
        <v>42</v>
      </c>
    </row>
    <row r="124" ht="15.75" customHeight="1">
      <c r="A124" s="75">
        <f>B124+2</f>
        <v>52</v>
      </c>
      <c r="B124" s="75">
        <f t="shared" si="126"/>
        <v>50</v>
      </c>
      <c r="C124" s="76"/>
      <c r="D124" s="131" t="str">
        <f>if(isblank(I124),"",vlookup(I124,Pacing!$A$1:$Z$213,2))</f>
        <v>1.5: Force Models</v>
      </c>
      <c r="E124" s="131" t="str">
        <f>if(isblank(J124),"",vlookup(J124,Pacing!$A$1:$Z$213,2))</f>
        <v>1.5: Force Models</v>
      </c>
      <c r="F124" s="131" t="str">
        <f>if(isblank(K124),"",vlookup(K124,Pacing!$A$1:$Z$213,2))</f>
        <v>Unit 1 Sum Assess</v>
      </c>
      <c r="G124" s="131" t="str">
        <f>if(isblank(L124),"",vlookup(L124,Pacing!$A$1:$Z$213,2))</f>
        <v>2.1: Motion &amp; Ref</v>
      </c>
      <c r="H124" s="131" t="str">
        <f>if(isblank(M124),"",vlookup(M124,Pacing!$A$1:$Z$213,2))</f>
        <v>2.1: Motion &amp; Ref</v>
      </c>
      <c r="I124" s="78">
        <f t="shared" ref="I124:M124" si="127">I122</f>
        <v>18</v>
      </c>
      <c r="J124" s="78">
        <f t="shared" si="127"/>
        <v>19</v>
      </c>
      <c r="K124" s="78">
        <f t="shared" si="127"/>
        <v>20</v>
      </c>
      <c r="L124" s="78">
        <f t="shared" si="127"/>
        <v>21</v>
      </c>
      <c r="M124" s="78">
        <f t="shared" si="127"/>
        <v>22</v>
      </c>
    </row>
    <row r="125" ht="15.75" customHeight="1">
      <c r="A125" s="69">
        <f>B125+3</f>
        <v>53</v>
      </c>
      <c r="B125" s="69">
        <f t="shared" si="126"/>
        <v>50</v>
      </c>
      <c r="C125" s="76"/>
      <c r="D125" s="81" t="str">
        <f>if(isblank(I125),"",vlookup(I125,Pacing!$A$1:$Z$213,3))</f>
        <v>Warm Up</v>
      </c>
      <c r="E125" s="81" t="str">
        <f>if(isblank(J125),"",vlookup(J125,Pacing!$A$1:$Z$213,3))</f>
        <v>Warm Up</v>
      </c>
      <c r="F125" s="89" t="str">
        <f>if(isblank(K125),"",vlookup(K125,Pacing!$A$1:$Z$213,3))</f>
        <v/>
      </c>
      <c r="G125" s="81" t="str">
        <f>if(isblank(L125),"",vlookup(L125,Pacing!$A$1:$Z$213,3))</f>
        <v>Warm Up</v>
      </c>
      <c r="H125" s="81" t="str">
        <f>if(isblank(M125),"",vlookup(M125,Pacing!$A$1:$Z$213,3))</f>
        <v>Warm Up</v>
      </c>
      <c r="I125" s="86">
        <f t="shared" ref="I125:M125" si="128">I124</f>
        <v>18</v>
      </c>
      <c r="J125" s="86">
        <f t="shared" si="128"/>
        <v>19</v>
      </c>
      <c r="K125" s="86">
        <f t="shared" si="128"/>
        <v>20</v>
      </c>
      <c r="L125" s="86">
        <f t="shared" si="128"/>
        <v>21</v>
      </c>
      <c r="M125" s="86">
        <f t="shared" si="128"/>
        <v>22</v>
      </c>
    </row>
    <row r="126" ht="15.75" customHeight="1">
      <c r="A126" s="69">
        <f>B126+4</f>
        <v>54</v>
      </c>
      <c r="B126" s="69">
        <f t="shared" si="126"/>
        <v>50</v>
      </c>
      <c r="C126" s="76"/>
      <c r="D126" s="81" t="str">
        <f>if(isblank(I126),"",vlookup(I126,Pacing!$A$1:$Z$213,4))</f>
        <v>Demo</v>
      </c>
      <c r="E126" s="81" t="str">
        <f>if(isblank(J126),"",vlookup(J126,Pacing!$A$1:$Z$213,4))</f>
        <v>Demo</v>
      </c>
      <c r="F126" s="89" t="str">
        <f>if(isblank(K126),"",vlookup(K126,Pacing!$A$1:$Z$213,4))</f>
        <v/>
      </c>
      <c r="G126" s="81" t="str">
        <f>if(isblank(L126),"",vlookup(L126,Pacing!$A$1:$Z$213,4))</f>
        <v>Demo</v>
      </c>
      <c r="H126" s="81" t="str">
        <f>if(isblank(M126),"",vlookup(M126,Pacing!$A$1:$Z$213,4))</f>
        <v>Demo</v>
      </c>
      <c r="I126" s="86">
        <f t="shared" ref="I126:M126" si="129">I125</f>
        <v>18</v>
      </c>
      <c r="J126" s="86">
        <f t="shared" si="129"/>
        <v>19</v>
      </c>
      <c r="K126" s="86">
        <f t="shared" si="129"/>
        <v>20</v>
      </c>
      <c r="L126" s="86">
        <f t="shared" si="129"/>
        <v>21</v>
      </c>
      <c r="M126" s="86">
        <f t="shared" si="129"/>
        <v>22</v>
      </c>
    </row>
    <row r="127" ht="15.75" customHeight="1">
      <c r="A127" s="69">
        <f>B127+5</f>
        <v>55</v>
      </c>
      <c r="B127" s="69">
        <f t="shared" si="126"/>
        <v>50</v>
      </c>
      <c r="C127" s="76"/>
      <c r="D127" s="81" t="str">
        <f>if(isblank(I127),"",vlookup(I127,Pacing!$A$1:$Z$213,5))</f>
        <v>Notes</v>
      </c>
      <c r="E127" s="81" t="str">
        <f>if(isblank(J127),"",vlookup(J127,Pacing!$A$1:$Z$213,5))</f>
        <v>Notes</v>
      </c>
      <c r="F127" s="89" t="str">
        <f>if(isblank(K127),"",vlookup(K127,Pacing!$A$1:$Z$213,5))</f>
        <v/>
      </c>
      <c r="G127" s="81" t="str">
        <f>if(isblank(L127),"",vlookup(L127,Pacing!$A$1:$Z$213,5))</f>
        <v>Notes</v>
      </c>
      <c r="H127" s="81" t="str">
        <f>if(isblank(M127),"",vlookup(M127,Pacing!$A$1:$Z$213,5))</f>
        <v>Notes</v>
      </c>
      <c r="I127" s="86">
        <f t="shared" ref="I127:M127" si="130">I126</f>
        <v>18</v>
      </c>
      <c r="J127" s="86">
        <f t="shared" si="130"/>
        <v>19</v>
      </c>
      <c r="K127" s="86">
        <f t="shared" si="130"/>
        <v>20</v>
      </c>
      <c r="L127" s="86">
        <f t="shared" si="130"/>
        <v>21</v>
      </c>
      <c r="M127" s="86">
        <f t="shared" si="130"/>
        <v>22</v>
      </c>
    </row>
    <row r="128" ht="15.75" customHeight="1">
      <c r="A128" s="69">
        <f>B128+6</f>
        <v>56</v>
      </c>
      <c r="B128" s="69">
        <f t="shared" si="126"/>
        <v>50</v>
      </c>
      <c r="C128" s="76"/>
      <c r="D128" s="81" t="str">
        <f>if(isblank(I128),"",vlookup(I128,Pacing!$A$1:$Z$213,6))</f>
        <v>Investigation</v>
      </c>
      <c r="E128" s="81" t="str">
        <f>if(isblank(J128),"",vlookup(J128,Pacing!$A$1:$Z$213,6))</f>
        <v>Investigation</v>
      </c>
      <c r="F128" s="89" t="str">
        <f>if(isblank(K128),"",vlookup(K128,Pacing!$A$1:$Z$213,6))</f>
        <v/>
      </c>
      <c r="G128" s="81" t="str">
        <f>if(isblank(L128),"",vlookup(L128,Pacing!$A$1:$Z$213,6))</f>
        <v>Investigation</v>
      </c>
      <c r="H128" s="81" t="str">
        <f>if(isblank(M128),"",vlookup(M128,Pacing!$A$1:$Z$213,6))</f>
        <v>Investigation</v>
      </c>
      <c r="I128" s="86">
        <f t="shared" ref="I128:M128" si="131">I127</f>
        <v>18</v>
      </c>
      <c r="J128" s="86">
        <f t="shared" si="131"/>
        <v>19</v>
      </c>
      <c r="K128" s="86">
        <f t="shared" si="131"/>
        <v>20</v>
      </c>
      <c r="L128" s="86">
        <f t="shared" si="131"/>
        <v>21</v>
      </c>
      <c r="M128" s="86">
        <f t="shared" si="131"/>
        <v>22</v>
      </c>
    </row>
    <row r="129" ht="15.75" customHeight="1">
      <c r="A129" s="69">
        <f>B129+7</f>
        <v>57</v>
      </c>
      <c r="B129" s="69">
        <f t="shared" si="126"/>
        <v>50</v>
      </c>
      <c r="C129" s="76"/>
      <c r="D129" s="81" t="str">
        <f>if(isblank(I129),"",vlookup(I129,Pacing!$A$1:$Z$213,7))</f>
        <v>Activity</v>
      </c>
      <c r="E129" s="81" t="str">
        <f>if(isblank(J129),"",vlookup(J129,Pacing!$A$1:$Z$213,7))</f>
        <v>Activity</v>
      </c>
      <c r="F129" s="89" t="str">
        <f>if(isblank(K129),"",vlookup(K129,Pacing!$A$1:$Z$213,7))</f>
        <v/>
      </c>
      <c r="G129" s="81" t="str">
        <f>if(isblank(L129),"",vlookup(L129,Pacing!$A$1:$Z$213,7))</f>
        <v>Activity</v>
      </c>
      <c r="H129" s="81" t="str">
        <f>if(isblank(M129),"",vlookup(M129,Pacing!$A$1:$Z$213,7))</f>
        <v>Activity</v>
      </c>
      <c r="I129" s="86">
        <f t="shared" ref="I129:M129" si="132">I128</f>
        <v>18</v>
      </c>
      <c r="J129" s="86">
        <f t="shared" si="132"/>
        <v>19</v>
      </c>
      <c r="K129" s="86">
        <f t="shared" si="132"/>
        <v>20</v>
      </c>
      <c r="L129" s="86">
        <f t="shared" si="132"/>
        <v>21</v>
      </c>
      <c r="M129" s="86">
        <f t="shared" si="132"/>
        <v>22</v>
      </c>
    </row>
    <row r="130" ht="15.75" customHeight="1">
      <c r="A130" s="69">
        <f>B130+8</f>
        <v>58</v>
      </c>
      <c r="B130" s="69">
        <f t="shared" si="126"/>
        <v>50</v>
      </c>
      <c r="C130" s="95"/>
      <c r="D130" s="81" t="str">
        <f>if(isblank(I130),"",vlookup(I130,Pacing!$A$1:$Z$213,8))</f>
        <v>Practice Set</v>
      </c>
      <c r="E130" s="81" t="str">
        <f>if(isblank(J130),"",vlookup(J130,Pacing!$A$1:$Z$213,8))</f>
        <v>Practice Set</v>
      </c>
      <c r="F130" s="89" t="str">
        <f>if(isblank(K130),"",vlookup(K130,Pacing!$A$1:$Z$213,8))</f>
        <v/>
      </c>
      <c r="G130" s="81" t="str">
        <f>if(isblank(L130),"",vlookup(L130,Pacing!$A$1:$Z$213,8))</f>
        <v>Practice Set</v>
      </c>
      <c r="H130" s="81" t="str">
        <f>if(isblank(M130),"",vlookup(M130,Pacing!$A$1:$Z$213,8))</f>
        <v>Practice Set</v>
      </c>
      <c r="I130" s="86">
        <f t="shared" ref="I130:M130" si="133">I129</f>
        <v>18</v>
      </c>
      <c r="J130" s="86">
        <f t="shared" si="133"/>
        <v>19</v>
      </c>
      <c r="K130" s="86">
        <f t="shared" si="133"/>
        <v>20</v>
      </c>
      <c r="L130" s="86">
        <f t="shared" si="133"/>
        <v>21</v>
      </c>
      <c r="M130" s="86">
        <f t="shared" si="133"/>
        <v>22</v>
      </c>
    </row>
    <row r="131" ht="15.75" customHeight="1">
      <c r="A131" s="69"/>
      <c r="B131" s="69"/>
      <c r="C131" s="71"/>
      <c r="D131" s="81" t="str">
        <f>if(isblank(I131),"",vlookup(I131,Pacing!$A$1:$Z$213,9))</f>
        <v>Extra Practice</v>
      </c>
      <c r="E131" s="81" t="str">
        <f>if(isblank(J131),"",vlookup(J131,Pacing!$A$1:$Z$213,9))</f>
        <v>Extra Practice</v>
      </c>
      <c r="F131" s="89" t="str">
        <f>if(isblank(K131),"",vlookup(K131,Pacing!$A$1:$Z$213,9))</f>
        <v/>
      </c>
      <c r="G131" s="81" t="str">
        <f>if(isblank(L131),"",vlookup(L131,Pacing!$A$1:$Z$213,9))</f>
        <v>Extra Practice</v>
      </c>
      <c r="H131" s="81" t="str">
        <f>if(isblank(M131),"",vlookup(M131,Pacing!$A$1:$Z$213,9))</f>
        <v>Extra Practice</v>
      </c>
      <c r="I131" s="86">
        <f t="shared" ref="I131:M131" si="134">I130</f>
        <v>18</v>
      </c>
      <c r="J131" s="86">
        <f t="shared" si="134"/>
        <v>19</v>
      </c>
      <c r="K131" s="86">
        <f t="shared" si="134"/>
        <v>20</v>
      </c>
      <c r="L131" s="86">
        <f t="shared" si="134"/>
        <v>21</v>
      </c>
      <c r="M131" s="86">
        <f t="shared" si="134"/>
        <v>22</v>
      </c>
    </row>
    <row r="132" ht="15.75" customHeight="1">
      <c r="A132" s="69"/>
      <c r="B132" s="69"/>
      <c r="C132" s="71"/>
      <c r="D132" s="81" t="str">
        <f>if(isblank(I132),"",vlookup(I132,Pacing!$A$1:$Z$213,10))</f>
        <v>CYU</v>
      </c>
      <c r="E132" s="81" t="str">
        <f>if(isblank(J132),"",vlookup(J132,Pacing!$A$1:$Z$213,10))</f>
        <v>CYU</v>
      </c>
      <c r="F132" s="89" t="str">
        <f>if(isblank(K132),"",vlookup(K132,Pacing!$A$1:$Z$213,10))</f>
        <v/>
      </c>
      <c r="G132" s="81" t="str">
        <f>if(isblank(L132),"",vlookup(L132,Pacing!$A$1:$Z$213,10))</f>
        <v>CYU</v>
      </c>
      <c r="H132" s="81" t="str">
        <f>if(isblank(M132),"",vlookup(M132,Pacing!$A$1:$Z$213,10))</f>
        <v>CYU</v>
      </c>
      <c r="I132" s="86">
        <f t="shared" ref="I132:M132" si="135">I131</f>
        <v>18</v>
      </c>
      <c r="J132" s="86">
        <f t="shared" si="135"/>
        <v>19</v>
      </c>
      <c r="K132" s="86">
        <f t="shared" si="135"/>
        <v>20</v>
      </c>
      <c r="L132" s="86">
        <f t="shared" si="135"/>
        <v>21</v>
      </c>
      <c r="M132" s="86">
        <f t="shared" si="135"/>
        <v>22</v>
      </c>
    </row>
    <row r="133" ht="15.75" customHeight="1">
      <c r="A133" s="69"/>
      <c r="B133" s="69"/>
      <c r="C133" s="71"/>
      <c r="D133" s="81" t="str">
        <f>if(isblank(I133),"",vlookup(I133,Pacing!$A$1:$Z$213,11))</f>
        <v>Progress</v>
      </c>
      <c r="E133" s="81" t="str">
        <f>if(isblank(J133),"",vlookup(J133,Pacing!$A$1:$Z$213,11))</f>
        <v>Progress</v>
      </c>
      <c r="F133" s="89" t="str">
        <f>if(isblank(K133),"",vlookup(K133,Pacing!$A$1:$Z$213,11))</f>
        <v/>
      </c>
      <c r="G133" s="81" t="str">
        <f>if(isblank(L133),"",vlookup(L133,Pacing!$A$1:$Z$213,11))</f>
        <v>Progress</v>
      </c>
      <c r="H133" s="81" t="str">
        <f>if(isblank(M133),"",vlookup(M133,Pacing!$A$1:$Z$213,11))</f>
        <v>Progress</v>
      </c>
      <c r="I133" s="86">
        <f t="shared" ref="I133:M133" si="136">I132</f>
        <v>18</v>
      </c>
      <c r="J133" s="86">
        <f t="shared" si="136"/>
        <v>19</v>
      </c>
      <c r="K133" s="86">
        <f t="shared" si="136"/>
        <v>20</v>
      </c>
      <c r="L133" s="86">
        <f t="shared" si="136"/>
        <v>21</v>
      </c>
      <c r="M133" s="86">
        <f t="shared" si="136"/>
        <v>22</v>
      </c>
    </row>
    <row r="134" ht="15.75" customHeight="1">
      <c r="A134" s="69"/>
      <c r="B134" s="69"/>
      <c r="C134" s="71"/>
      <c r="D134" s="81" t="str">
        <f>if(isblank(I134),"",vlookup(I134,Pacing!$A$1:$Z$213,12))</f>
        <v>Review</v>
      </c>
      <c r="E134" s="81" t="str">
        <f>if(isblank(J134),"",vlookup(J134,Pacing!$A$1:$Z$213,12))</f>
        <v>Review</v>
      </c>
      <c r="F134" s="91" t="str">
        <f>if(isblank(K134),"",vlookup(K134,Pacing!$A$1:$Z$213,12))</f>
        <v/>
      </c>
      <c r="G134" s="81" t="str">
        <f>if(isblank(L134),"",vlookup(L134,Pacing!$A$1:$Z$213,12))</f>
        <v>Review</v>
      </c>
      <c r="H134" s="81" t="str">
        <f>if(isblank(M134),"",vlookup(M134,Pacing!$A$1:$Z$213,12))</f>
        <v>Review</v>
      </c>
      <c r="I134" s="86">
        <f t="shared" ref="I134:M134" si="137">I133</f>
        <v>18</v>
      </c>
      <c r="J134" s="86">
        <f t="shared" si="137"/>
        <v>19</v>
      </c>
      <c r="K134" s="86">
        <f t="shared" si="137"/>
        <v>20</v>
      </c>
      <c r="L134" s="86">
        <f t="shared" si="137"/>
        <v>21</v>
      </c>
      <c r="M134" s="86">
        <f t="shared" si="137"/>
        <v>22</v>
      </c>
    </row>
    <row r="135" ht="15.75" customHeight="1">
      <c r="A135" s="69"/>
      <c r="B135" s="69"/>
      <c r="C135" s="71"/>
      <c r="D135" s="91" t="str">
        <f>if(isblank(I135),"",vlookup(I135,Pacing!$A$1:$Z$213,13))</f>
        <v/>
      </c>
      <c r="E135" s="91" t="str">
        <f>if(isblank(J135),"",vlookup(J135,Pacing!$A$1:$Z$213,13))</f>
        <v/>
      </c>
      <c r="F135" s="91" t="str">
        <f>if(isblank(K135),"",vlookup(K135,Pacing!$A$1:$Z$213,13))</f>
        <v/>
      </c>
      <c r="G135" s="91" t="str">
        <f>if(isblank(L135),"",vlookup(L135,Pacing!$A$1:$Z$213,13))</f>
        <v/>
      </c>
      <c r="H135" s="91" t="str">
        <f>if(isblank(M135),"",vlookup(M135,Pacing!$A$1:$Z$213,13))</f>
        <v/>
      </c>
      <c r="I135" s="86">
        <f t="shared" ref="I135:M135" si="138">I134</f>
        <v>18</v>
      </c>
      <c r="J135" s="86">
        <f t="shared" si="138"/>
        <v>19</v>
      </c>
      <c r="K135" s="86">
        <f t="shared" si="138"/>
        <v>20</v>
      </c>
      <c r="L135" s="86">
        <f t="shared" si="138"/>
        <v>21</v>
      </c>
      <c r="M135" s="86">
        <f t="shared" si="138"/>
        <v>22</v>
      </c>
    </row>
    <row r="136" ht="15.75" customHeight="1">
      <c r="A136" s="69"/>
      <c r="B136" s="69"/>
      <c r="C136" s="71"/>
      <c r="D136" s="81" t="str">
        <f>if(isblank(I136),"",vlookup(I136,Pacing!$A$1:$Z$213,14))</f>
        <v>Notes Teacher</v>
      </c>
      <c r="E136" s="81" t="str">
        <f>if(isblank(J136),"",vlookup(J136,Pacing!$A$1:$Z$213,14))</f>
        <v>Notes Teacher</v>
      </c>
      <c r="F136" s="81" t="str">
        <f>if(isblank(K136),"",vlookup(K136,Pacing!$A$1:$Z$213,14))</f>
        <v>Sum Assess</v>
      </c>
      <c r="G136" s="81" t="str">
        <f>if(isblank(L136),"",vlookup(L136,Pacing!$A$1:$Z$213,14))</f>
        <v>Notes Teacher</v>
      </c>
      <c r="H136" s="81" t="str">
        <f>if(isblank(M136),"",vlookup(M136,Pacing!$A$1:$Z$213,14))</f>
        <v>Notes Teacher</v>
      </c>
      <c r="I136" s="86">
        <f t="shared" ref="I136:M136" si="139">I135</f>
        <v>18</v>
      </c>
      <c r="J136" s="86">
        <f t="shared" si="139"/>
        <v>19</v>
      </c>
      <c r="K136" s="86">
        <f t="shared" si="139"/>
        <v>20</v>
      </c>
      <c r="L136" s="86">
        <f t="shared" si="139"/>
        <v>21</v>
      </c>
      <c r="M136" s="86">
        <f t="shared" si="139"/>
        <v>22</v>
      </c>
    </row>
    <row r="137" ht="15.75" customHeight="1">
      <c r="A137" s="69"/>
      <c r="B137" s="69"/>
      <c r="C137" s="71"/>
      <c r="D137" s="81" t="str">
        <f>if(isblank(I137),"",vlookup(I137,Pacing!$A$1:$Z$213,15))</f>
        <v>Demo Teacher</v>
      </c>
      <c r="E137" s="81" t="str">
        <f>if(isblank(J137),"",vlookup(J137,Pacing!$A$1:$Z$213,15))</f>
        <v>Demo Teacher</v>
      </c>
      <c r="F137" s="81" t="str">
        <f>if(isblank(K137),"",vlookup(K137,Pacing!$A$1:$Z$213,15))</f>
        <v>Bank</v>
      </c>
      <c r="G137" s="81" t="str">
        <f>if(isblank(L137),"",vlookup(L137,Pacing!$A$1:$Z$213,15))</f>
        <v>Demo Teacher</v>
      </c>
      <c r="H137" s="81" t="str">
        <f>if(isblank(M137),"",vlookup(M137,Pacing!$A$1:$Z$213,15))</f>
        <v>Demo Teacher</v>
      </c>
      <c r="I137" s="86">
        <f t="shared" ref="I137:M137" si="140">I136</f>
        <v>18</v>
      </c>
      <c r="J137" s="86">
        <f t="shared" si="140"/>
        <v>19</v>
      </c>
      <c r="K137" s="86">
        <f t="shared" si="140"/>
        <v>20</v>
      </c>
      <c r="L137" s="86">
        <f t="shared" si="140"/>
        <v>21</v>
      </c>
      <c r="M137" s="86">
        <f t="shared" si="140"/>
        <v>22</v>
      </c>
    </row>
    <row r="138" ht="15.75" customHeight="1">
      <c r="A138" s="69"/>
      <c r="B138" s="69"/>
      <c r="C138" s="71"/>
      <c r="D138" s="81" t="str">
        <f>if(isblank(I138),"",vlookup(I138,Pacing!$A$1:$Z$213,16))</f>
        <v>Invest Teacher</v>
      </c>
      <c r="E138" s="81" t="str">
        <f>if(isblank(J138),"",vlookup(J138,Pacing!$A$1:$Z$213,16))</f>
        <v>Invest Teacher</v>
      </c>
      <c r="F138" s="81" t="str">
        <f>if(isblank(K138),"",vlookup(K138,Pacing!$A$1:$Z$213,16))</f>
        <v>Assess Plan</v>
      </c>
      <c r="G138" s="81" t="str">
        <f>if(isblank(L138),"",vlookup(L138,Pacing!$A$1:$Z$213,16))</f>
        <v>Invest Teacher</v>
      </c>
      <c r="H138" s="81" t="str">
        <f>if(isblank(M138),"",vlookup(M138,Pacing!$A$1:$Z$213,16))</f>
        <v>Invest Teacher</v>
      </c>
      <c r="I138" s="86">
        <f t="shared" ref="I138:M138" si="141">I137</f>
        <v>18</v>
      </c>
      <c r="J138" s="86">
        <f t="shared" si="141"/>
        <v>19</v>
      </c>
      <c r="K138" s="86">
        <f t="shared" si="141"/>
        <v>20</v>
      </c>
      <c r="L138" s="86">
        <f t="shared" si="141"/>
        <v>21</v>
      </c>
      <c r="M138" s="86">
        <f t="shared" si="141"/>
        <v>22</v>
      </c>
    </row>
    <row r="139" ht="15.75" customHeight="1">
      <c r="A139" s="69"/>
      <c r="B139" s="69"/>
      <c r="C139" s="71"/>
      <c r="D139" s="81" t="str">
        <f>if(isblank(I139),"",vlookup(I139,Pacing!$A$1:$Z$213,17))</f>
        <v>PT Teacher</v>
      </c>
      <c r="E139" s="81" t="str">
        <f>if(isblank(J139),"",vlookup(J139,Pacing!$A$1:$Z$213,17))</f>
        <v>PT Teacher</v>
      </c>
      <c r="F139" s="89" t="str">
        <f>if(isblank(K139),"",vlookup(K139,Pacing!$A$1:$Z$213,17))</f>
        <v/>
      </c>
      <c r="G139" s="81" t="str">
        <f>if(isblank(L139),"",vlookup(L139,Pacing!$A$1:$Z$213,17))</f>
        <v>PT Teacher</v>
      </c>
      <c r="H139" s="81" t="str">
        <f>if(isblank(M139),"",vlookup(M139,Pacing!$A$1:$Z$213,17))</f>
        <v>PT Teacher</v>
      </c>
      <c r="I139" s="86">
        <f t="shared" ref="I139:M139" si="142">I138</f>
        <v>18</v>
      </c>
      <c r="J139" s="86">
        <f t="shared" si="142"/>
        <v>19</v>
      </c>
      <c r="K139" s="86">
        <f t="shared" si="142"/>
        <v>20</v>
      </c>
      <c r="L139" s="86">
        <f t="shared" si="142"/>
        <v>21</v>
      </c>
      <c r="M139" s="86">
        <f t="shared" si="142"/>
        <v>22</v>
      </c>
    </row>
    <row r="140" ht="15.75" customHeight="1">
      <c r="A140" s="69"/>
      <c r="B140" s="69"/>
      <c r="C140" s="71"/>
      <c r="D140" s="81" t="str">
        <f>if(isblank(I140),"",vlookup(I140,Pacing!$A$1:$Z$213,18))</f>
        <v>Assess Plan</v>
      </c>
      <c r="E140" s="81" t="str">
        <f>if(isblank(J140),"",vlookup(J140,Pacing!$A$1:$Z$213,18))</f>
        <v>Assess Plan</v>
      </c>
      <c r="F140" s="81" t="str">
        <f>if(isblank(K140),"",vlookup(K140,Pacing!$A$1:$Z$213,18))</f>
        <v/>
      </c>
      <c r="G140" s="81" t="str">
        <f>if(isblank(L140),"",vlookup(L140,Pacing!$A$1:$Z$213,18))</f>
        <v>Assess Plan</v>
      </c>
      <c r="H140" s="81" t="str">
        <f>if(isblank(M140),"",vlookup(M140,Pacing!$A$1:$Z$213,18))</f>
        <v>Assess Plan</v>
      </c>
      <c r="I140" s="86">
        <f t="shared" ref="I140:M140" si="143">I139</f>
        <v>18</v>
      </c>
      <c r="J140" s="86">
        <f t="shared" si="143"/>
        <v>19</v>
      </c>
      <c r="K140" s="86">
        <f t="shared" si="143"/>
        <v>20</v>
      </c>
      <c r="L140" s="86">
        <f t="shared" si="143"/>
        <v>21</v>
      </c>
      <c r="M140" s="86">
        <f t="shared" si="143"/>
        <v>22</v>
      </c>
    </row>
    <row r="141" ht="15.75" customHeight="1">
      <c r="A141" s="69"/>
      <c r="B141" s="69"/>
      <c r="C141" s="71"/>
      <c r="D141" s="81" t="str">
        <f>if(isblank(I141),"",vlookup(I141,Pacing!$A$1:$Z$213,19))</f>
        <v>Perform Task</v>
      </c>
      <c r="E141" s="81" t="str">
        <f>if(isblank(J141),"",vlookup(J141,Pacing!$A$1:$Z$213,19))</f>
        <v>Perform Task</v>
      </c>
      <c r="F141" s="89" t="str">
        <f>if(isblank(K141),"",vlookup(K141,Pacing!$A$1:$Z$213,19))</f>
        <v/>
      </c>
      <c r="G141" s="81" t="str">
        <f>if(isblank(L141),"",vlookup(L141,Pacing!$A$1:$Z$213,19))</f>
        <v>Perform Task</v>
      </c>
      <c r="H141" s="81" t="str">
        <f>if(isblank(M141),"",vlookup(M141,Pacing!$A$1:$Z$213,19))</f>
        <v>Perform Task</v>
      </c>
      <c r="I141" s="86">
        <f t="shared" ref="I141:M141" si="144">I140</f>
        <v>18</v>
      </c>
      <c r="J141" s="86">
        <f t="shared" si="144"/>
        <v>19</v>
      </c>
      <c r="K141" s="86">
        <f t="shared" si="144"/>
        <v>20</v>
      </c>
      <c r="L141" s="86">
        <f t="shared" si="144"/>
        <v>21</v>
      </c>
      <c r="M141" s="86">
        <f t="shared" si="144"/>
        <v>22</v>
      </c>
    </row>
    <row r="142" ht="15.75" customHeight="1">
      <c r="A142" s="69"/>
      <c r="B142" s="69"/>
      <c r="C142" s="71"/>
      <c r="D142" s="81" t="str">
        <f>if(isblank(I142),"",vlookup(I142,Pacing!$A$1:$Z$213,20))</f>
        <v>Quick Check</v>
      </c>
      <c r="E142" s="81" t="str">
        <f>if(isblank(J142),"",vlookup(J142,Pacing!$A$1:$Z$213,20))</f>
        <v>Quick Check</v>
      </c>
      <c r="F142" s="89" t="str">
        <f>if(isblank(K142),"",vlookup(K142,Pacing!$A$1:$Z$213,20))</f>
        <v/>
      </c>
      <c r="G142" s="81" t="str">
        <f>if(isblank(L142),"",vlookup(L142,Pacing!$A$1:$Z$213,20))</f>
        <v>Quick Check</v>
      </c>
      <c r="H142" s="81" t="str">
        <f>if(isblank(M142),"",vlookup(M142,Pacing!$A$1:$Z$213,20))</f>
        <v>Quick Check</v>
      </c>
      <c r="I142" s="86">
        <f t="shared" ref="I142:M142" si="145">I141</f>
        <v>18</v>
      </c>
      <c r="J142" s="86">
        <f t="shared" si="145"/>
        <v>19</v>
      </c>
      <c r="K142" s="86">
        <f t="shared" si="145"/>
        <v>20</v>
      </c>
      <c r="L142" s="86">
        <f t="shared" si="145"/>
        <v>21</v>
      </c>
      <c r="M142" s="86">
        <f t="shared" si="145"/>
        <v>22</v>
      </c>
    </row>
    <row r="143" ht="15.75" customHeight="1">
      <c r="A143" s="69"/>
      <c r="B143" s="69"/>
      <c r="C143" s="71"/>
      <c r="D143" s="81" t="str">
        <f>if(isblank(I143),"",vlookup(I143,Pacing!$A$1:$Z$213,21))</f>
        <v>Exit Ticket</v>
      </c>
      <c r="E143" s="81" t="str">
        <f>if(isblank(J143),"",vlookup(J143,Pacing!$A$1:$Z$213,21))</f>
        <v>Exit Ticket</v>
      </c>
      <c r="F143" s="81" t="str">
        <f>if(isblank(K143),"",vlookup(K143,Pacing!$A$1:$Z$213,21))</f>
        <v/>
      </c>
      <c r="G143" s="81" t="str">
        <f>if(isblank(L143),"",vlookup(L143,Pacing!$A$1:$Z$213,21))</f>
        <v>Exit Ticket</v>
      </c>
      <c r="H143" s="81" t="str">
        <f>if(isblank(M143),"",vlookup(M143,Pacing!$A$1:$Z$213,21))</f>
        <v>Exit Ticket</v>
      </c>
      <c r="I143" s="86">
        <f t="shared" ref="I143:M143" si="146">I142</f>
        <v>18</v>
      </c>
      <c r="J143" s="86">
        <f t="shared" si="146"/>
        <v>19</v>
      </c>
      <c r="K143" s="86">
        <f t="shared" si="146"/>
        <v>20</v>
      </c>
      <c r="L143" s="86">
        <f t="shared" si="146"/>
        <v>21</v>
      </c>
      <c r="M143" s="86">
        <f t="shared" si="146"/>
        <v>22</v>
      </c>
    </row>
    <row r="144" ht="15.75" customHeight="1">
      <c r="A144" s="69"/>
      <c r="B144" s="69"/>
      <c r="C144" s="71"/>
      <c r="D144" s="81" t="str">
        <f>if(isblank(I144),"",vlookup(I144,Pacing!$A$1:$Z$213,22))</f>
        <v>Practice 2</v>
      </c>
      <c r="E144" s="81" t="str">
        <f>if(isblank(J144),"",vlookup(J144,Pacing!$A$1:$Z$213,22))</f>
        <v>Practice 2</v>
      </c>
      <c r="F144" s="91" t="str">
        <f>if(isblank(K144),"",vlookup(K144,Pacing!$A$1:$Z$213,22))</f>
        <v/>
      </c>
      <c r="G144" s="81" t="str">
        <f>if(isblank(L144),"",vlookup(L144,Pacing!$A$1:$Z$213,22))</f>
        <v>Practice 2</v>
      </c>
      <c r="H144" s="81" t="str">
        <f>if(isblank(M144),"",vlookup(M144,Pacing!$A$1:$Z$213,22))</f>
        <v>Practice 2</v>
      </c>
      <c r="I144" s="86">
        <f t="shared" ref="I144:M144" si="147">I143</f>
        <v>18</v>
      </c>
      <c r="J144" s="86">
        <f t="shared" si="147"/>
        <v>19</v>
      </c>
      <c r="K144" s="86">
        <f t="shared" si="147"/>
        <v>20</v>
      </c>
      <c r="L144" s="86">
        <f t="shared" si="147"/>
        <v>21</v>
      </c>
      <c r="M144" s="86">
        <f t="shared" si="147"/>
        <v>22</v>
      </c>
    </row>
    <row r="145" ht="15.75" customHeight="1">
      <c r="A145" s="69"/>
      <c r="B145" s="69"/>
      <c r="C145" s="71"/>
      <c r="D145" s="81" t="str">
        <f>if(isblank(I145),"",vlookup(I145,Pacing!$A$1:$Z$213,23))</f>
        <v>Practice 3</v>
      </c>
      <c r="E145" s="81" t="str">
        <f>if(isblank(J145),"",vlookup(J145,Pacing!$A$1:$Z$213,23))</f>
        <v>Practice 3</v>
      </c>
      <c r="F145" s="89" t="str">
        <f>if(isblank(K145),"",vlookup(K145,Pacing!$A$1:$Z$213,23))</f>
        <v/>
      </c>
      <c r="G145" s="81" t="str">
        <f>if(isblank(L145),"",vlookup(L145,Pacing!$A$1:$Z$213,23))</f>
        <v>Practice 3</v>
      </c>
      <c r="H145" s="81" t="str">
        <f>if(isblank(M145),"",vlookup(M145,Pacing!$A$1:$Z$213,23))</f>
        <v>Practice 3</v>
      </c>
      <c r="I145" s="86">
        <f t="shared" ref="I145:M145" si="148">I144</f>
        <v>18</v>
      </c>
      <c r="J145" s="86">
        <f t="shared" si="148"/>
        <v>19</v>
      </c>
      <c r="K145" s="86">
        <f t="shared" si="148"/>
        <v>20</v>
      </c>
      <c r="L145" s="86">
        <f t="shared" si="148"/>
        <v>21</v>
      </c>
      <c r="M145" s="86">
        <f t="shared" si="148"/>
        <v>22</v>
      </c>
    </row>
    <row r="146" ht="15.75" customHeight="1">
      <c r="A146" s="69"/>
      <c r="B146" s="69"/>
      <c r="C146" s="71"/>
      <c r="D146" s="81" t="str">
        <f>if(isblank(I146),"",vlookup(I146,Pacing!$A$1:$Z$213,24))</f>
        <v>Sum Assess</v>
      </c>
      <c r="E146" s="81" t="str">
        <f>if(isblank(J146),"",vlookup(J146,Pacing!$A$1:$Z$213,24))</f>
        <v>Sum Assess</v>
      </c>
      <c r="F146" s="81" t="str">
        <f>if(isblank(K146),"",vlookup(K146,Pacing!$A$1:$Z$213,24))</f>
        <v/>
      </c>
      <c r="G146" s="81" t="str">
        <f>if(isblank(L146),"",vlookup(L146,Pacing!$A$1:$Z$213,24))</f>
        <v>Sum Assess</v>
      </c>
      <c r="H146" s="81" t="str">
        <f>if(isblank(M146),"",vlookup(M146,Pacing!$A$1:$Z$213,24))</f>
        <v>Sum Assess</v>
      </c>
      <c r="I146" s="86">
        <f t="shared" ref="I146:M146" si="149">I145</f>
        <v>18</v>
      </c>
      <c r="J146" s="86">
        <f t="shared" si="149"/>
        <v>19</v>
      </c>
      <c r="K146" s="86">
        <f t="shared" si="149"/>
        <v>20</v>
      </c>
      <c r="L146" s="86">
        <f t="shared" si="149"/>
        <v>21</v>
      </c>
      <c r="M146" s="86">
        <f t="shared" si="149"/>
        <v>22</v>
      </c>
    </row>
    <row r="147" ht="15.75" customHeight="1">
      <c r="A147" s="69"/>
      <c r="B147" s="69"/>
      <c r="C147" s="71"/>
      <c r="D147" s="81" t="str">
        <f>if(isblank(I147),"",vlookup(I147,Pacing!$A$1:$Z$213,25))</f>
        <v>Bank</v>
      </c>
      <c r="E147" s="81" t="str">
        <f>if(isblank(J147),"",vlookup(J147,Pacing!$A$1:$Z$213,25))</f>
        <v>Bank</v>
      </c>
      <c r="F147" s="81" t="str">
        <f>if(isblank(K147),"",vlookup(K147,Pacing!$A$1:$Z$213,25))</f>
        <v/>
      </c>
      <c r="G147" s="81" t="str">
        <f>if(isblank(L147),"",vlookup(L147,Pacing!$A$1:$Z$213,25))</f>
        <v>Bank</v>
      </c>
      <c r="H147" s="81" t="str">
        <f>if(isblank(M147),"",vlookup(M147,Pacing!$A$1:$Z$213,25))</f>
        <v>Bank</v>
      </c>
      <c r="I147" s="86">
        <f t="shared" ref="I147:M147" si="150">I146</f>
        <v>18</v>
      </c>
      <c r="J147" s="86">
        <f t="shared" si="150"/>
        <v>19</v>
      </c>
      <c r="K147" s="86">
        <f t="shared" si="150"/>
        <v>20</v>
      </c>
      <c r="L147" s="86">
        <f t="shared" si="150"/>
        <v>21</v>
      </c>
      <c r="M147" s="86">
        <f t="shared" si="150"/>
        <v>22</v>
      </c>
    </row>
    <row r="148" ht="15.75" customHeight="1">
      <c r="A148" s="69"/>
      <c r="B148" s="69"/>
      <c r="C148" s="71"/>
      <c r="D148" s="91" t="str">
        <f>if(isblank(I148),"",vlookup(I148,Pacing!$A$1:$Z$213,26))</f>
        <v/>
      </c>
      <c r="E148" s="89" t="str">
        <f>if(isblank(J148),"",vlookup(J148,Pacing!$A$1:$Z$213,26))</f>
        <v/>
      </c>
      <c r="F148" s="89" t="str">
        <f>if(isblank(K148),"",vlookup(K148,Pacing!$A$1:$Z$213,26))</f>
        <v/>
      </c>
      <c r="G148" s="89" t="str">
        <f>if(isblank(L148),"",vlookup(L148,Pacing!$A$1:$Z$213,26))</f>
        <v/>
      </c>
      <c r="H148" s="89" t="str">
        <f>if(isblank(M148),"",vlookup(M148,Pacing!$A$1:$Z$213,26))</f>
        <v/>
      </c>
      <c r="I148" s="86">
        <f t="shared" ref="I148:M148" si="151">I147</f>
        <v>18</v>
      </c>
      <c r="J148" s="86">
        <f t="shared" si="151"/>
        <v>19</v>
      </c>
      <c r="K148" s="86">
        <f t="shared" si="151"/>
        <v>20</v>
      </c>
      <c r="L148" s="86">
        <f t="shared" si="151"/>
        <v>21</v>
      </c>
      <c r="M148" s="86">
        <f t="shared" si="151"/>
        <v>22</v>
      </c>
    </row>
    <row r="149" ht="15.75" customHeight="1">
      <c r="A149" s="137"/>
      <c r="B149" s="137"/>
      <c r="C149" s="138"/>
      <c r="D149" s="139">
        <f>H122+1</f>
        <v>23</v>
      </c>
      <c r="E149" s="139">
        <f t="shared" ref="E149:H149" si="152">D149+1</f>
        <v>24</v>
      </c>
      <c r="F149" s="139">
        <f t="shared" si="152"/>
        <v>25</v>
      </c>
      <c r="G149" s="139">
        <f t="shared" si="152"/>
        <v>26</v>
      </c>
      <c r="H149" s="139">
        <f t="shared" si="152"/>
        <v>27</v>
      </c>
      <c r="I149" s="55">
        <f t="shared" ref="I149:M149" si="153">D149</f>
        <v>23</v>
      </c>
      <c r="J149" s="55">
        <f t="shared" si="153"/>
        <v>24</v>
      </c>
      <c r="K149" s="55">
        <f t="shared" si="153"/>
        <v>25</v>
      </c>
      <c r="L149" s="55">
        <f t="shared" si="153"/>
        <v>26</v>
      </c>
      <c r="M149" s="55">
        <f t="shared" si="153"/>
        <v>27</v>
      </c>
    </row>
    <row r="150" ht="15.75" customHeight="1">
      <c r="A150" s="69">
        <f>B150+1</f>
        <v>61</v>
      </c>
      <c r="B150" s="69">
        <f t="shared" ref="B150:B157" si="155">$C$150*10</f>
        <v>60</v>
      </c>
      <c r="C150" s="71">
        <f>C123+1</f>
        <v>6</v>
      </c>
      <c r="D150" s="72">
        <f>D123+7</f>
        <v>46300</v>
      </c>
      <c r="E150" s="72">
        <f t="shared" ref="E150:H150" si="154">D150+1</f>
        <v>46301</v>
      </c>
      <c r="F150" s="72">
        <f t="shared" si="154"/>
        <v>46302</v>
      </c>
      <c r="G150" s="72">
        <f t="shared" si="154"/>
        <v>46303</v>
      </c>
      <c r="H150" s="72">
        <f t="shared" si="154"/>
        <v>46304</v>
      </c>
      <c r="I150" s="62" t="s">
        <v>42</v>
      </c>
    </row>
    <row r="151" ht="15.75" customHeight="1">
      <c r="A151" s="75">
        <f>B151+2</f>
        <v>62</v>
      </c>
      <c r="B151" s="75">
        <f t="shared" si="155"/>
        <v>60</v>
      </c>
      <c r="C151" s="76"/>
      <c r="D151" s="131" t="str">
        <f>if(isblank(I151),"",vlookup(I151,Pacing!$A$1:$Z$213,2))</f>
        <v>2.1: Motion &amp; Ref</v>
      </c>
      <c r="E151" s="131" t="str">
        <f>if(isblank(J151),"",vlookup(J151,Pacing!$A$1:$Z$213,2))</f>
        <v>2.2: Speed &amp; Vel</v>
      </c>
      <c r="F151" s="131" t="str">
        <f>if(isblank(K151),"",vlookup(K151,Pacing!$A$1:$Z$213,2))</f>
        <v>2.2: Speed &amp; Vel</v>
      </c>
      <c r="G151" s="131" t="str">
        <f>if(isblank(L151),"",vlookup(L151,Pacing!$A$1:$Z$213,2))</f>
        <v>2.2: Speed &amp; Vel</v>
      </c>
      <c r="H151" s="131" t="str">
        <f>if(isblank(M151),"",vlookup(M151,Pacing!$A$1:$Z$213,2))</f>
        <v>2.3: Acceleration</v>
      </c>
      <c r="I151" s="78">
        <f t="shared" ref="I151:M151" si="156">I149</f>
        <v>23</v>
      </c>
      <c r="J151" s="78">
        <f t="shared" si="156"/>
        <v>24</v>
      </c>
      <c r="K151" s="78">
        <f t="shared" si="156"/>
        <v>25</v>
      </c>
      <c r="L151" s="78">
        <f t="shared" si="156"/>
        <v>26</v>
      </c>
      <c r="M151" s="78">
        <f t="shared" si="156"/>
        <v>27</v>
      </c>
    </row>
    <row r="152" ht="15.75" customHeight="1">
      <c r="A152" s="69">
        <f>B152+3</f>
        <v>63</v>
      </c>
      <c r="B152" s="69">
        <f t="shared" si="155"/>
        <v>60</v>
      </c>
      <c r="C152" s="76"/>
      <c r="D152" s="81" t="str">
        <f>if(isblank(I152),"",vlookup(I152,Pacing!$A$1:$Z$213,3))</f>
        <v>Warm Up</v>
      </c>
      <c r="E152" s="81" t="str">
        <f>if(isblank(J152),"",vlookup(J152,Pacing!$A$1:$Z$213,3))</f>
        <v>Warm Up</v>
      </c>
      <c r="F152" s="81" t="str">
        <f>if(isblank(K152),"",vlookup(K152,Pacing!$A$1:$Z$213,3))</f>
        <v>Warm Up</v>
      </c>
      <c r="G152" s="81" t="str">
        <f>if(isblank(L152),"",vlookup(L152,Pacing!$A$1:$Z$213,3))</f>
        <v>Warm Up</v>
      </c>
      <c r="H152" s="81" t="str">
        <f>if(isblank(M152),"",vlookup(M152,Pacing!$A$1:$Z$213,3))</f>
        <v>Warm Up</v>
      </c>
      <c r="I152" s="86">
        <f t="shared" ref="I152:M152" si="157">I151</f>
        <v>23</v>
      </c>
      <c r="J152" s="86">
        <f t="shared" si="157"/>
        <v>24</v>
      </c>
      <c r="K152" s="86">
        <f t="shared" si="157"/>
        <v>25</v>
      </c>
      <c r="L152" s="86">
        <f t="shared" si="157"/>
        <v>26</v>
      </c>
      <c r="M152" s="86">
        <f t="shared" si="157"/>
        <v>27</v>
      </c>
    </row>
    <row r="153" ht="15.75" customHeight="1">
      <c r="A153" s="69">
        <f>B153+4</f>
        <v>64</v>
      </c>
      <c r="B153" s="69">
        <f t="shared" si="155"/>
        <v>60</v>
      </c>
      <c r="C153" s="76"/>
      <c r="D153" s="81" t="str">
        <f>if(isblank(I153),"",vlookup(I153,Pacing!$A$1:$Z$213,4))</f>
        <v>Demo</v>
      </c>
      <c r="E153" s="81" t="str">
        <f>if(isblank(J153),"",vlookup(J153,Pacing!$A$1:$Z$213,4))</f>
        <v>Demo</v>
      </c>
      <c r="F153" s="81" t="str">
        <f>if(isblank(K153),"",vlookup(K153,Pacing!$A$1:$Z$213,4))</f>
        <v>Demo</v>
      </c>
      <c r="G153" s="81" t="str">
        <f>if(isblank(L153),"",vlookup(L153,Pacing!$A$1:$Z$213,4))</f>
        <v>Demo</v>
      </c>
      <c r="H153" s="81" t="str">
        <f>if(isblank(M153),"",vlookup(M153,Pacing!$A$1:$Z$213,4))</f>
        <v>Demo</v>
      </c>
      <c r="I153" s="86">
        <f t="shared" ref="I153:M153" si="158">I152</f>
        <v>23</v>
      </c>
      <c r="J153" s="86">
        <f t="shared" si="158"/>
        <v>24</v>
      </c>
      <c r="K153" s="86">
        <f t="shared" si="158"/>
        <v>25</v>
      </c>
      <c r="L153" s="86">
        <f t="shared" si="158"/>
        <v>26</v>
      </c>
      <c r="M153" s="86">
        <f t="shared" si="158"/>
        <v>27</v>
      </c>
    </row>
    <row r="154" ht="15.75" customHeight="1">
      <c r="A154" s="69">
        <f>B154+5</f>
        <v>65</v>
      </c>
      <c r="B154" s="69">
        <f t="shared" si="155"/>
        <v>60</v>
      </c>
      <c r="C154" s="76"/>
      <c r="D154" s="81" t="str">
        <f>if(isblank(I154),"",vlookup(I154,Pacing!$A$1:$Z$213,5))</f>
        <v>Notes</v>
      </c>
      <c r="E154" s="81" t="str">
        <f>if(isblank(J154),"",vlookup(J154,Pacing!$A$1:$Z$213,5))</f>
        <v>Notes</v>
      </c>
      <c r="F154" s="81" t="str">
        <f>if(isblank(K154),"",vlookup(K154,Pacing!$A$1:$Z$213,5))</f>
        <v>Notes</v>
      </c>
      <c r="G154" s="81" t="str">
        <f>if(isblank(L154),"",vlookup(L154,Pacing!$A$1:$Z$213,5))</f>
        <v>Notes</v>
      </c>
      <c r="H154" s="81" t="str">
        <f>if(isblank(M154),"",vlookup(M154,Pacing!$A$1:$Z$213,5))</f>
        <v>Notes</v>
      </c>
      <c r="I154" s="86">
        <f t="shared" ref="I154:M154" si="159">I153</f>
        <v>23</v>
      </c>
      <c r="J154" s="86">
        <f t="shared" si="159"/>
        <v>24</v>
      </c>
      <c r="K154" s="86">
        <f t="shared" si="159"/>
        <v>25</v>
      </c>
      <c r="L154" s="86">
        <f t="shared" si="159"/>
        <v>26</v>
      </c>
      <c r="M154" s="86">
        <f t="shared" si="159"/>
        <v>27</v>
      </c>
    </row>
    <row r="155" ht="15.75" customHeight="1">
      <c r="A155" s="69">
        <f>B155+6</f>
        <v>66</v>
      </c>
      <c r="B155" s="69">
        <f t="shared" si="155"/>
        <v>60</v>
      </c>
      <c r="C155" s="76"/>
      <c r="D155" s="81" t="str">
        <f>if(isblank(I155),"",vlookup(I155,Pacing!$A$1:$Z$213,6))</f>
        <v>Investigation</v>
      </c>
      <c r="E155" s="81" t="str">
        <f>if(isblank(J155),"",vlookup(J155,Pacing!$A$1:$Z$213,6))</f>
        <v>Investigation</v>
      </c>
      <c r="F155" s="81" t="str">
        <f>if(isblank(K155),"",vlookup(K155,Pacing!$A$1:$Z$213,6))</f>
        <v>Investigation</v>
      </c>
      <c r="G155" s="81" t="str">
        <f>if(isblank(L155),"",vlookup(L155,Pacing!$A$1:$Z$213,6))</f>
        <v>Investigation</v>
      </c>
      <c r="H155" s="81" t="str">
        <f>if(isblank(M155),"",vlookup(M155,Pacing!$A$1:$Z$213,6))</f>
        <v>Investigation</v>
      </c>
      <c r="I155" s="86">
        <f t="shared" ref="I155:M155" si="160">I154</f>
        <v>23</v>
      </c>
      <c r="J155" s="86">
        <f t="shared" si="160"/>
        <v>24</v>
      </c>
      <c r="K155" s="86">
        <f t="shared" si="160"/>
        <v>25</v>
      </c>
      <c r="L155" s="86">
        <f t="shared" si="160"/>
        <v>26</v>
      </c>
      <c r="M155" s="86">
        <f t="shared" si="160"/>
        <v>27</v>
      </c>
    </row>
    <row r="156" ht="15.75" customHeight="1">
      <c r="A156" s="69">
        <f>B156+7</f>
        <v>67</v>
      </c>
      <c r="B156" s="69">
        <f t="shared" si="155"/>
        <v>60</v>
      </c>
      <c r="C156" s="76"/>
      <c r="D156" s="81" t="str">
        <f>if(isblank(I156),"",vlookup(I156,Pacing!$A$1:$Z$213,7))</f>
        <v>Activity</v>
      </c>
      <c r="E156" s="81" t="str">
        <f>if(isblank(J156),"",vlookup(J156,Pacing!$A$1:$Z$213,7))</f>
        <v>Activity</v>
      </c>
      <c r="F156" s="81" t="str">
        <f>if(isblank(K156),"",vlookup(K156,Pacing!$A$1:$Z$213,7))</f>
        <v>Activity</v>
      </c>
      <c r="G156" s="81" t="str">
        <f>if(isblank(L156),"",vlookup(L156,Pacing!$A$1:$Z$213,7))</f>
        <v>Activity</v>
      </c>
      <c r="H156" s="81" t="str">
        <f>if(isblank(M156),"",vlookup(M156,Pacing!$A$1:$Z$213,7))</f>
        <v>Activity</v>
      </c>
      <c r="I156" s="86">
        <f t="shared" ref="I156:M156" si="161">I155</f>
        <v>23</v>
      </c>
      <c r="J156" s="86">
        <f t="shared" si="161"/>
        <v>24</v>
      </c>
      <c r="K156" s="86">
        <f t="shared" si="161"/>
        <v>25</v>
      </c>
      <c r="L156" s="86">
        <f t="shared" si="161"/>
        <v>26</v>
      </c>
      <c r="M156" s="86">
        <f t="shared" si="161"/>
        <v>27</v>
      </c>
    </row>
    <row r="157" ht="15.75" customHeight="1">
      <c r="A157" s="69">
        <f>B157+8</f>
        <v>68</v>
      </c>
      <c r="B157" s="69">
        <f t="shared" si="155"/>
        <v>60</v>
      </c>
      <c r="C157" s="95"/>
      <c r="D157" s="81" t="str">
        <f>if(isblank(I157),"",vlookup(I157,Pacing!$A$1:$Z$213,8))</f>
        <v>Practice Set</v>
      </c>
      <c r="E157" s="81" t="str">
        <f>if(isblank(J157),"",vlookup(J157,Pacing!$A$1:$Z$213,8))</f>
        <v>Practice Set</v>
      </c>
      <c r="F157" s="81" t="str">
        <f>if(isblank(K157),"",vlookup(K157,Pacing!$A$1:$Z$213,8))</f>
        <v>Practice Set</v>
      </c>
      <c r="G157" s="81" t="str">
        <f>if(isblank(L157),"",vlookup(L157,Pacing!$A$1:$Z$213,8))</f>
        <v>Practice Set</v>
      </c>
      <c r="H157" s="81" t="str">
        <f>if(isblank(M157),"",vlookup(M157,Pacing!$A$1:$Z$213,8))</f>
        <v>Practice Set</v>
      </c>
      <c r="I157" s="86">
        <f t="shared" ref="I157:M157" si="162">I156</f>
        <v>23</v>
      </c>
      <c r="J157" s="86">
        <f t="shared" si="162"/>
        <v>24</v>
      </c>
      <c r="K157" s="86">
        <f t="shared" si="162"/>
        <v>25</v>
      </c>
      <c r="L157" s="86">
        <f t="shared" si="162"/>
        <v>26</v>
      </c>
      <c r="M157" s="86">
        <f t="shared" si="162"/>
        <v>27</v>
      </c>
    </row>
    <row r="158" ht="15.75" customHeight="1">
      <c r="A158" s="69"/>
      <c r="B158" s="69"/>
      <c r="C158" s="71"/>
      <c r="D158" s="81" t="str">
        <f>if(isblank(I158),"",vlookup(I158,Pacing!$A$1:$Z$213,9))</f>
        <v>Extra Practice</v>
      </c>
      <c r="E158" s="81" t="str">
        <f>if(isblank(J158),"",vlookup(J158,Pacing!$A$1:$Z$213,9))</f>
        <v>Extra Practice</v>
      </c>
      <c r="F158" s="81" t="str">
        <f>if(isblank(K158),"",vlookup(K158,Pacing!$A$1:$Z$213,9))</f>
        <v>Extra Practice</v>
      </c>
      <c r="G158" s="81" t="str">
        <f>if(isblank(L158),"",vlookup(L158,Pacing!$A$1:$Z$213,9))</f>
        <v>Extra Practice</v>
      </c>
      <c r="H158" s="81" t="str">
        <f>if(isblank(M158),"",vlookup(M158,Pacing!$A$1:$Z$213,9))</f>
        <v>Extra Practice</v>
      </c>
      <c r="I158" s="86">
        <f t="shared" ref="I158:M158" si="163">I157</f>
        <v>23</v>
      </c>
      <c r="J158" s="86">
        <f t="shared" si="163"/>
        <v>24</v>
      </c>
      <c r="K158" s="86">
        <f t="shared" si="163"/>
        <v>25</v>
      </c>
      <c r="L158" s="86">
        <f t="shared" si="163"/>
        <v>26</v>
      </c>
      <c r="M158" s="86">
        <f t="shared" si="163"/>
        <v>27</v>
      </c>
    </row>
    <row r="159" ht="15.75" customHeight="1">
      <c r="A159" s="69"/>
      <c r="B159" s="69"/>
      <c r="C159" s="71"/>
      <c r="D159" s="81" t="str">
        <f>if(isblank(I159),"",vlookup(I159,Pacing!$A$1:$Z$213,10))</f>
        <v>CYU</v>
      </c>
      <c r="E159" s="81" t="str">
        <f>if(isblank(J159),"",vlookup(J159,Pacing!$A$1:$Z$213,10))</f>
        <v>CYU</v>
      </c>
      <c r="F159" s="81" t="str">
        <f>if(isblank(K159),"",vlookup(K159,Pacing!$A$1:$Z$213,10))</f>
        <v>CYU</v>
      </c>
      <c r="G159" s="81" t="str">
        <f>if(isblank(L159),"",vlookup(L159,Pacing!$A$1:$Z$213,10))</f>
        <v>CYU</v>
      </c>
      <c r="H159" s="81" t="str">
        <f>if(isblank(M159),"",vlookup(M159,Pacing!$A$1:$Z$213,10))</f>
        <v>CYU</v>
      </c>
      <c r="I159" s="86">
        <f t="shared" ref="I159:M159" si="164">I158</f>
        <v>23</v>
      </c>
      <c r="J159" s="86">
        <f t="shared" si="164"/>
        <v>24</v>
      </c>
      <c r="K159" s="86">
        <f t="shared" si="164"/>
        <v>25</v>
      </c>
      <c r="L159" s="86">
        <f t="shared" si="164"/>
        <v>26</v>
      </c>
      <c r="M159" s="86">
        <f t="shared" si="164"/>
        <v>27</v>
      </c>
    </row>
    <row r="160" ht="15.75" customHeight="1">
      <c r="A160" s="69"/>
      <c r="B160" s="69"/>
      <c r="C160" s="71"/>
      <c r="D160" s="81" t="str">
        <f>if(isblank(I160),"",vlookup(I160,Pacing!$A$1:$Z$213,11))</f>
        <v>Progress</v>
      </c>
      <c r="E160" s="81" t="str">
        <f>if(isblank(J160),"",vlookup(J160,Pacing!$A$1:$Z$213,11))</f>
        <v>Progress</v>
      </c>
      <c r="F160" s="81" t="str">
        <f>if(isblank(K160),"",vlookup(K160,Pacing!$A$1:$Z$213,11))</f>
        <v>Progress</v>
      </c>
      <c r="G160" s="81" t="str">
        <f>if(isblank(L160),"",vlookup(L160,Pacing!$A$1:$Z$213,11))</f>
        <v>Progress</v>
      </c>
      <c r="H160" s="81" t="str">
        <f>if(isblank(M160),"",vlookup(M160,Pacing!$A$1:$Z$213,11))</f>
        <v>Progress</v>
      </c>
      <c r="I160" s="86">
        <f t="shared" ref="I160:M160" si="165">I159</f>
        <v>23</v>
      </c>
      <c r="J160" s="86">
        <f t="shared" si="165"/>
        <v>24</v>
      </c>
      <c r="K160" s="86">
        <f t="shared" si="165"/>
        <v>25</v>
      </c>
      <c r="L160" s="86">
        <f t="shared" si="165"/>
        <v>26</v>
      </c>
      <c r="M160" s="86">
        <f t="shared" si="165"/>
        <v>27</v>
      </c>
    </row>
    <row r="161" ht="15.75" customHeight="1">
      <c r="A161" s="69"/>
      <c r="B161" s="69"/>
      <c r="C161" s="71"/>
      <c r="D161" s="81" t="str">
        <f>if(isblank(I161),"",vlookup(I161,Pacing!$A$1:$Z$213,12))</f>
        <v>Review</v>
      </c>
      <c r="E161" s="81" t="str">
        <f>if(isblank(J161),"",vlookup(J161,Pacing!$A$1:$Z$213,12))</f>
        <v>Review</v>
      </c>
      <c r="F161" s="81" t="str">
        <f>if(isblank(K161),"",vlookup(K161,Pacing!$A$1:$Z$213,12))</f>
        <v>Review</v>
      </c>
      <c r="G161" s="81" t="str">
        <f>if(isblank(L161),"",vlookup(L161,Pacing!$A$1:$Z$213,12))</f>
        <v>Review</v>
      </c>
      <c r="H161" s="81" t="str">
        <f>if(isblank(M161),"",vlookup(M161,Pacing!$A$1:$Z$213,12))</f>
        <v>Review</v>
      </c>
      <c r="I161" s="86">
        <f t="shared" ref="I161:M161" si="166">I160</f>
        <v>23</v>
      </c>
      <c r="J161" s="86">
        <f t="shared" si="166"/>
        <v>24</v>
      </c>
      <c r="K161" s="86">
        <f t="shared" si="166"/>
        <v>25</v>
      </c>
      <c r="L161" s="86">
        <f t="shared" si="166"/>
        <v>26</v>
      </c>
      <c r="M161" s="86">
        <f t="shared" si="166"/>
        <v>27</v>
      </c>
    </row>
    <row r="162" ht="15.75" customHeight="1">
      <c r="A162" s="69"/>
      <c r="B162" s="69"/>
      <c r="C162" s="71"/>
      <c r="D162" s="91" t="str">
        <f>if(isblank(I162),"",vlookup(I162,Pacing!$A$1:$Z$213,13))</f>
        <v/>
      </c>
      <c r="E162" s="91" t="str">
        <f>if(isblank(J162),"",vlookup(J162,Pacing!$A$1:$Z$213,13))</f>
        <v/>
      </c>
      <c r="F162" s="91" t="str">
        <f>if(isblank(K162),"",vlookup(K162,Pacing!$A$1:$Z$213,13))</f>
        <v/>
      </c>
      <c r="G162" s="91" t="str">
        <f>if(isblank(L162),"",vlookup(L162,Pacing!$A$1:$Z$213,13))</f>
        <v/>
      </c>
      <c r="H162" s="91" t="str">
        <f>if(isblank(M162),"",vlookup(M162,Pacing!$A$1:$Z$213,13))</f>
        <v/>
      </c>
      <c r="I162" s="86">
        <f t="shared" ref="I162:M162" si="167">I161</f>
        <v>23</v>
      </c>
      <c r="J162" s="86">
        <f t="shared" si="167"/>
        <v>24</v>
      </c>
      <c r="K162" s="86">
        <f t="shared" si="167"/>
        <v>25</v>
      </c>
      <c r="L162" s="86">
        <f t="shared" si="167"/>
        <v>26</v>
      </c>
      <c r="M162" s="86">
        <f t="shared" si="167"/>
        <v>27</v>
      </c>
    </row>
    <row r="163" ht="15.75" customHeight="1">
      <c r="A163" s="69"/>
      <c r="B163" s="69"/>
      <c r="C163" s="71"/>
      <c r="D163" s="81" t="str">
        <f>if(isblank(I163),"",vlookup(I163,Pacing!$A$1:$Z$213,14))</f>
        <v>Notes Teacher</v>
      </c>
      <c r="E163" s="81" t="str">
        <f>if(isblank(J163),"",vlookup(J163,Pacing!$A$1:$Z$213,14))</f>
        <v>Notes Teacher</v>
      </c>
      <c r="F163" s="81" t="str">
        <f>if(isblank(K163),"",vlookup(K163,Pacing!$A$1:$Z$213,14))</f>
        <v>Notes Teacher</v>
      </c>
      <c r="G163" s="81" t="str">
        <f>if(isblank(L163),"",vlookup(L163,Pacing!$A$1:$Z$213,14))</f>
        <v>Notes Teacher</v>
      </c>
      <c r="H163" s="81" t="str">
        <f>if(isblank(M163),"",vlookup(M163,Pacing!$A$1:$Z$213,14))</f>
        <v>Notes Teacher</v>
      </c>
      <c r="I163" s="86">
        <f t="shared" ref="I163:M163" si="168">I162</f>
        <v>23</v>
      </c>
      <c r="J163" s="86">
        <f t="shared" si="168"/>
        <v>24</v>
      </c>
      <c r="K163" s="86">
        <f t="shared" si="168"/>
        <v>25</v>
      </c>
      <c r="L163" s="86">
        <f t="shared" si="168"/>
        <v>26</v>
      </c>
      <c r="M163" s="86">
        <f t="shared" si="168"/>
        <v>27</v>
      </c>
    </row>
    <row r="164" ht="15.75" customHeight="1">
      <c r="A164" s="69"/>
      <c r="B164" s="69"/>
      <c r="C164" s="71"/>
      <c r="D164" s="81" t="str">
        <f>if(isblank(I164),"",vlookup(I164,Pacing!$A$1:$Z$213,15))</f>
        <v>Demo Teacher</v>
      </c>
      <c r="E164" s="81" t="str">
        <f>if(isblank(J164),"",vlookup(J164,Pacing!$A$1:$Z$213,15))</f>
        <v>Demo Teacher</v>
      </c>
      <c r="F164" s="81" t="str">
        <f>if(isblank(K164),"",vlookup(K164,Pacing!$A$1:$Z$213,15))</f>
        <v>Demo Teacher</v>
      </c>
      <c r="G164" s="81" t="str">
        <f>if(isblank(L164),"",vlookup(L164,Pacing!$A$1:$Z$213,15))</f>
        <v>Demo Teacher</v>
      </c>
      <c r="H164" s="81" t="str">
        <f>if(isblank(M164),"",vlookup(M164,Pacing!$A$1:$Z$213,15))</f>
        <v>Demo Teacher</v>
      </c>
      <c r="I164" s="86">
        <f t="shared" ref="I164:M164" si="169">I163</f>
        <v>23</v>
      </c>
      <c r="J164" s="86">
        <f t="shared" si="169"/>
        <v>24</v>
      </c>
      <c r="K164" s="86">
        <f t="shared" si="169"/>
        <v>25</v>
      </c>
      <c r="L164" s="86">
        <f t="shared" si="169"/>
        <v>26</v>
      </c>
      <c r="M164" s="86">
        <f t="shared" si="169"/>
        <v>27</v>
      </c>
    </row>
    <row r="165" ht="15.75" customHeight="1">
      <c r="A165" s="69"/>
      <c r="B165" s="69"/>
      <c r="C165" s="71"/>
      <c r="D165" s="81" t="str">
        <f>if(isblank(I165),"",vlookup(I165,Pacing!$A$1:$Z$213,16))</f>
        <v>Invest Teacher</v>
      </c>
      <c r="E165" s="81" t="str">
        <f>if(isblank(J165),"",vlookup(J165,Pacing!$A$1:$Z$213,16))</f>
        <v>Invest Teacher</v>
      </c>
      <c r="F165" s="81" t="str">
        <f>if(isblank(K165),"",vlookup(K165,Pacing!$A$1:$Z$213,16))</f>
        <v>Invest Teacher</v>
      </c>
      <c r="G165" s="81" t="str">
        <f>if(isblank(L165),"",vlookup(L165,Pacing!$A$1:$Z$213,16))</f>
        <v>Invest Teacher</v>
      </c>
      <c r="H165" s="81" t="str">
        <f>if(isblank(M165),"",vlookup(M165,Pacing!$A$1:$Z$213,16))</f>
        <v>Invest Teacher</v>
      </c>
      <c r="I165" s="86">
        <f t="shared" ref="I165:M165" si="170">I164</f>
        <v>23</v>
      </c>
      <c r="J165" s="86">
        <f t="shared" si="170"/>
        <v>24</v>
      </c>
      <c r="K165" s="86">
        <f t="shared" si="170"/>
        <v>25</v>
      </c>
      <c r="L165" s="86">
        <f t="shared" si="170"/>
        <v>26</v>
      </c>
      <c r="M165" s="86">
        <f t="shared" si="170"/>
        <v>27</v>
      </c>
    </row>
    <row r="166" ht="15.75" customHeight="1">
      <c r="A166" s="69"/>
      <c r="B166" s="69"/>
      <c r="C166" s="71"/>
      <c r="D166" s="81" t="str">
        <f>if(isblank(I166),"",vlookup(I166,Pacing!$A$1:$Z$213,17))</f>
        <v>PT Teacher</v>
      </c>
      <c r="E166" s="81" t="str">
        <f>if(isblank(J166),"",vlookup(J166,Pacing!$A$1:$Z$213,17))</f>
        <v>PT Teacher</v>
      </c>
      <c r="F166" s="81" t="str">
        <f>if(isblank(K166),"",vlookup(K166,Pacing!$A$1:$Z$213,17))</f>
        <v>PT Teacher</v>
      </c>
      <c r="G166" s="81" t="str">
        <f>if(isblank(L166),"",vlookup(L166,Pacing!$A$1:$Z$213,17))</f>
        <v>PT Teacher</v>
      </c>
      <c r="H166" s="81" t="str">
        <f>if(isblank(M166),"",vlookup(M166,Pacing!$A$1:$Z$213,17))</f>
        <v>PT Teacher</v>
      </c>
      <c r="I166" s="86">
        <f t="shared" ref="I166:M166" si="171">I165</f>
        <v>23</v>
      </c>
      <c r="J166" s="86">
        <f t="shared" si="171"/>
        <v>24</v>
      </c>
      <c r="K166" s="86">
        <f t="shared" si="171"/>
        <v>25</v>
      </c>
      <c r="L166" s="86">
        <f t="shared" si="171"/>
        <v>26</v>
      </c>
      <c r="M166" s="86">
        <f t="shared" si="171"/>
        <v>27</v>
      </c>
    </row>
    <row r="167" ht="15.75" customHeight="1">
      <c r="A167" s="69"/>
      <c r="B167" s="69"/>
      <c r="C167" s="71"/>
      <c r="D167" s="81" t="str">
        <f>if(isblank(I167),"",vlookup(I167,Pacing!$A$1:$Z$213,18))</f>
        <v>Assess Plan</v>
      </c>
      <c r="E167" s="81" t="str">
        <f>if(isblank(J167),"",vlookup(J167,Pacing!$A$1:$Z$213,18))</f>
        <v>Assess Plan</v>
      </c>
      <c r="F167" s="81" t="str">
        <f>if(isblank(K167),"",vlookup(K167,Pacing!$A$1:$Z$213,18))</f>
        <v>Assess Plan</v>
      </c>
      <c r="G167" s="81" t="str">
        <f>if(isblank(L167),"",vlookup(L167,Pacing!$A$1:$Z$213,18))</f>
        <v>Assess Plan</v>
      </c>
      <c r="H167" s="81" t="str">
        <f>if(isblank(M167),"",vlookup(M167,Pacing!$A$1:$Z$213,18))</f>
        <v>Assess Plan</v>
      </c>
      <c r="I167" s="86">
        <f t="shared" ref="I167:M167" si="172">I166</f>
        <v>23</v>
      </c>
      <c r="J167" s="86">
        <f t="shared" si="172"/>
        <v>24</v>
      </c>
      <c r="K167" s="86">
        <f t="shared" si="172"/>
        <v>25</v>
      </c>
      <c r="L167" s="86">
        <f t="shared" si="172"/>
        <v>26</v>
      </c>
      <c r="M167" s="86">
        <f t="shared" si="172"/>
        <v>27</v>
      </c>
    </row>
    <row r="168" ht="15.75" customHeight="1">
      <c r="A168" s="69"/>
      <c r="B168" s="69"/>
      <c r="C168" s="71"/>
      <c r="D168" s="81" t="str">
        <f>if(isblank(I168),"",vlookup(I168,Pacing!$A$1:$Z$213,19))</f>
        <v>Perform Task</v>
      </c>
      <c r="E168" s="81" t="str">
        <f>if(isblank(J168),"",vlookup(J168,Pacing!$A$1:$Z$213,19))</f>
        <v>Perform Task</v>
      </c>
      <c r="F168" s="81" t="str">
        <f>if(isblank(K168),"",vlookup(K168,Pacing!$A$1:$Z$213,19))</f>
        <v>Perform Task</v>
      </c>
      <c r="G168" s="81" t="str">
        <f>if(isblank(L168),"",vlookup(L168,Pacing!$A$1:$Z$213,19))</f>
        <v>Perform Task</v>
      </c>
      <c r="H168" s="81" t="str">
        <f>if(isblank(M168),"",vlookup(M168,Pacing!$A$1:$Z$213,19))</f>
        <v>Perform Task</v>
      </c>
      <c r="I168" s="86">
        <f t="shared" ref="I168:M168" si="173">I167</f>
        <v>23</v>
      </c>
      <c r="J168" s="86">
        <f t="shared" si="173"/>
        <v>24</v>
      </c>
      <c r="K168" s="86">
        <f t="shared" si="173"/>
        <v>25</v>
      </c>
      <c r="L168" s="86">
        <f t="shared" si="173"/>
        <v>26</v>
      </c>
      <c r="M168" s="86">
        <f t="shared" si="173"/>
        <v>27</v>
      </c>
    </row>
    <row r="169" ht="15.75" customHeight="1">
      <c r="A169" s="69"/>
      <c r="B169" s="69"/>
      <c r="C169" s="71"/>
      <c r="D169" s="81" t="str">
        <f>if(isblank(I169),"",vlookup(I169,Pacing!$A$1:$Z$213,20))</f>
        <v>Quick Check</v>
      </c>
      <c r="E169" s="81" t="str">
        <f>if(isblank(J169),"",vlookup(J169,Pacing!$A$1:$Z$213,20))</f>
        <v>Quick Check</v>
      </c>
      <c r="F169" s="81" t="str">
        <f>if(isblank(K169),"",vlookup(K169,Pacing!$A$1:$Z$213,20))</f>
        <v>Quick Check</v>
      </c>
      <c r="G169" s="81" t="str">
        <f>if(isblank(L169),"",vlookup(L169,Pacing!$A$1:$Z$213,20))</f>
        <v>Quick Check</v>
      </c>
      <c r="H169" s="81" t="str">
        <f>if(isblank(M169),"",vlookup(M169,Pacing!$A$1:$Z$213,20))</f>
        <v>Quick Check</v>
      </c>
      <c r="I169" s="86">
        <f t="shared" ref="I169:M169" si="174">I168</f>
        <v>23</v>
      </c>
      <c r="J169" s="86">
        <f t="shared" si="174"/>
        <v>24</v>
      </c>
      <c r="K169" s="86">
        <f t="shared" si="174"/>
        <v>25</v>
      </c>
      <c r="L169" s="86">
        <f t="shared" si="174"/>
        <v>26</v>
      </c>
      <c r="M169" s="86">
        <f t="shared" si="174"/>
        <v>27</v>
      </c>
    </row>
    <row r="170" ht="15.75" customHeight="1">
      <c r="A170" s="69"/>
      <c r="B170" s="69"/>
      <c r="C170" s="71"/>
      <c r="D170" s="81" t="str">
        <f>if(isblank(I170),"",vlookup(I170,Pacing!$A$1:$Z$213,21))</f>
        <v>Exit Ticket</v>
      </c>
      <c r="E170" s="81" t="str">
        <f>if(isblank(J170),"",vlookup(J170,Pacing!$A$1:$Z$213,21))</f>
        <v>Exit Ticket</v>
      </c>
      <c r="F170" s="81" t="str">
        <f>if(isblank(K170),"",vlookup(K170,Pacing!$A$1:$Z$213,21))</f>
        <v>Exit Ticket</v>
      </c>
      <c r="G170" s="81" t="str">
        <f>if(isblank(L170),"",vlookup(L170,Pacing!$A$1:$Z$213,21))</f>
        <v>Exit Ticket</v>
      </c>
      <c r="H170" s="81" t="str">
        <f>if(isblank(M170),"",vlookup(M170,Pacing!$A$1:$Z$213,21))</f>
        <v>Exit Ticket</v>
      </c>
      <c r="I170" s="86">
        <f t="shared" ref="I170:M170" si="175">I169</f>
        <v>23</v>
      </c>
      <c r="J170" s="86">
        <f t="shared" si="175"/>
        <v>24</v>
      </c>
      <c r="K170" s="86">
        <f t="shared" si="175"/>
        <v>25</v>
      </c>
      <c r="L170" s="86">
        <f t="shared" si="175"/>
        <v>26</v>
      </c>
      <c r="M170" s="86">
        <f t="shared" si="175"/>
        <v>27</v>
      </c>
    </row>
    <row r="171" ht="15.75" customHeight="1">
      <c r="A171" s="69"/>
      <c r="B171" s="69"/>
      <c r="C171" s="71"/>
      <c r="D171" s="81" t="str">
        <f>if(isblank(I171),"",vlookup(I171,Pacing!$A$1:$Z$213,22))</f>
        <v>Practice 2</v>
      </c>
      <c r="E171" s="81" t="str">
        <f>if(isblank(J171),"",vlookup(J171,Pacing!$A$1:$Z$213,22))</f>
        <v>Practice 2</v>
      </c>
      <c r="F171" s="81" t="str">
        <f>if(isblank(K171),"",vlookup(K171,Pacing!$A$1:$Z$213,22))</f>
        <v>Practice 2</v>
      </c>
      <c r="G171" s="81" t="str">
        <f>if(isblank(L171),"",vlookup(L171,Pacing!$A$1:$Z$213,22))</f>
        <v>Practice 2</v>
      </c>
      <c r="H171" s="81" t="str">
        <f>if(isblank(M171),"",vlookup(M171,Pacing!$A$1:$Z$213,22))</f>
        <v>Practice 2</v>
      </c>
      <c r="I171" s="86">
        <f t="shared" ref="I171:M171" si="176">I170</f>
        <v>23</v>
      </c>
      <c r="J171" s="86">
        <f t="shared" si="176"/>
        <v>24</v>
      </c>
      <c r="K171" s="86">
        <f t="shared" si="176"/>
        <v>25</v>
      </c>
      <c r="L171" s="86">
        <f t="shared" si="176"/>
        <v>26</v>
      </c>
      <c r="M171" s="86">
        <f t="shared" si="176"/>
        <v>27</v>
      </c>
    </row>
    <row r="172" ht="15.75" customHeight="1">
      <c r="A172" s="69"/>
      <c r="B172" s="69"/>
      <c r="C172" s="71"/>
      <c r="D172" s="81" t="str">
        <f>if(isblank(I172),"",vlookup(I172,Pacing!$A$1:$Z$213,23))</f>
        <v>Practice 3</v>
      </c>
      <c r="E172" s="81" t="str">
        <f>if(isblank(J172),"",vlookup(J172,Pacing!$A$1:$Z$213,23))</f>
        <v>Practice 3</v>
      </c>
      <c r="F172" s="81" t="str">
        <f>if(isblank(K172),"",vlookup(K172,Pacing!$A$1:$Z$213,23))</f>
        <v>Practice 3</v>
      </c>
      <c r="G172" s="81" t="str">
        <f>if(isblank(L172),"",vlookup(L172,Pacing!$A$1:$Z$213,23))</f>
        <v>Practice 3</v>
      </c>
      <c r="H172" s="81" t="str">
        <f>if(isblank(M172),"",vlookup(M172,Pacing!$A$1:$Z$213,23))</f>
        <v>Practice 3</v>
      </c>
      <c r="I172" s="86">
        <f t="shared" ref="I172:M172" si="177">I171</f>
        <v>23</v>
      </c>
      <c r="J172" s="86">
        <f t="shared" si="177"/>
        <v>24</v>
      </c>
      <c r="K172" s="86">
        <f t="shared" si="177"/>
        <v>25</v>
      </c>
      <c r="L172" s="86">
        <f t="shared" si="177"/>
        <v>26</v>
      </c>
      <c r="M172" s="86">
        <f t="shared" si="177"/>
        <v>27</v>
      </c>
    </row>
    <row r="173" ht="15.75" customHeight="1">
      <c r="A173" s="69"/>
      <c r="B173" s="69"/>
      <c r="C173" s="71"/>
      <c r="D173" s="81" t="str">
        <f>if(isblank(I173),"",vlookup(I173,Pacing!$A$1:$Z$213,24))</f>
        <v>Sum Assess</v>
      </c>
      <c r="E173" s="81" t="str">
        <f>if(isblank(J173),"",vlookup(J173,Pacing!$A$1:$Z$213,24))</f>
        <v>Sum Assess</v>
      </c>
      <c r="F173" s="81" t="str">
        <f>if(isblank(K173),"",vlookup(K173,Pacing!$A$1:$Z$213,24))</f>
        <v>Sum Assess</v>
      </c>
      <c r="G173" s="81" t="str">
        <f>if(isblank(L173),"",vlookup(L173,Pacing!$A$1:$Z$213,24))</f>
        <v>Sum Assess</v>
      </c>
      <c r="H173" s="81" t="str">
        <f>if(isblank(M173),"",vlookup(M173,Pacing!$A$1:$Z$213,24))</f>
        <v>Sum Assess</v>
      </c>
      <c r="I173" s="86">
        <f t="shared" ref="I173:M173" si="178">I172</f>
        <v>23</v>
      </c>
      <c r="J173" s="86">
        <f t="shared" si="178"/>
        <v>24</v>
      </c>
      <c r="K173" s="86">
        <f t="shared" si="178"/>
        <v>25</v>
      </c>
      <c r="L173" s="86">
        <f t="shared" si="178"/>
        <v>26</v>
      </c>
      <c r="M173" s="86">
        <f t="shared" si="178"/>
        <v>27</v>
      </c>
    </row>
    <row r="174" ht="15.75" customHeight="1">
      <c r="A174" s="69"/>
      <c r="B174" s="69"/>
      <c r="C174" s="71"/>
      <c r="D174" s="81" t="str">
        <f>if(isblank(I174),"",vlookup(I174,Pacing!$A$1:$Z$213,25))</f>
        <v>Bank</v>
      </c>
      <c r="E174" s="81" t="str">
        <f>if(isblank(J174),"",vlookup(J174,Pacing!$A$1:$Z$213,25))</f>
        <v>Bank</v>
      </c>
      <c r="F174" s="81" t="str">
        <f>if(isblank(K174),"",vlookup(K174,Pacing!$A$1:$Z$213,25))</f>
        <v>Bank</v>
      </c>
      <c r="G174" s="81" t="str">
        <f>if(isblank(L174),"",vlookup(L174,Pacing!$A$1:$Z$213,25))</f>
        <v>Bank</v>
      </c>
      <c r="H174" s="81" t="str">
        <f>if(isblank(M174),"",vlookup(M174,Pacing!$A$1:$Z$213,25))</f>
        <v>Bank</v>
      </c>
      <c r="I174" s="86">
        <f t="shared" ref="I174:M174" si="179">I173</f>
        <v>23</v>
      </c>
      <c r="J174" s="86">
        <f t="shared" si="179"/>
        <v>24</v>
      </c>
      <c r="K174" s="86">
        <f t="shared" si="179"/>
        <v>25</v>
      </c>
      <c r="L174" s="86">
        <f t="shared" si="179"/>
        <v>26</v>
      </c>
      <c r="M174" s="86">
        <f t="shared" si="179"/>
        <v>27</v>
      </c>
    </row>
    <row r="175" ht="15.75" customHeight="1">
      <c r="A175" s="69"/>
      <c r="B175" s="69"/>
      <c r="C175" s="71"/>
      <c r="D175" s="91" t="str">
        <f>if(isblank(I175),"",vlookup(I175,Pacing!$A$1:$Z$213,26))</f>
        <v/>
      </c>
      <c r="E175" s="89" t="str">
        <f>if(isblank(J175),"",vlookup(J175,Pacing!$A$1:$Z$213,26))</f>
        <v/>
      </c>
      <c r="F175" s="89" t="str">
        <f>if(isblank(K175),"",vlookup(K175,Pacing!$A$1:$Z$213,26))</f>
        <v/>
      </c>
      <c r="G175" s="89" t="str">
        <f>if(isblank(L175),"",vlookup(L175,Pacing!$A$1:$Z$213,26))</f>
        <v/>
      </c>
      <c r="H175" s="89" t="str">
        <f>if(isblank(M175),"",vlookup(M175,Pacing!$A$1:$Z$213,26))</f>
        <v/>
      </c>
      <c r="I175" s="86">
        <f t="shared" ref="I175:M175" si="180">I174</f>
        <v>23</v>
      </c>
      <c r="J175" s="86">
        <f t="shared" si="180"/>
        <v>24</v>
      </c>
      <c r="K175" s="86">
        <f t="shared" si="180"/>
        <v>25</v>
      </c>
      <c r="L175" s="86">
        <f t="shared" si="180"/>
        <v>26</v>
      </c>
      <c r="M175" s="86">
        <f t="shared" si="180"/>
        <v>27</v>
      </c>
    </row>
    <row r="176" ht="15.75" customHeight="1">
      <c r="A176" s="137"/>
      <c r="B176" s="137"/>
      <c r="C176" s="138"/>
      <c r="D176" s="139">
        <f>H149+1</f>
        <v>28</v>
      </c>
      <c r="E176" s="139">
        <f t="shared" ref="E176:H176" si="181">D176+1</f>
        <v>29</v>
      </c>
      <c r="F176" s="139">
        <f t="shared" si="181"/>
        <v>30</v>
      </c>
      <c r="G176" s="139">
        <f t="shared" si="181"/>
        <v>31</v>
      </c>
      <c r="H176" s="139">
        <f t="shared" si="181"/>
        <v>32</v>
      </c>
      <c r="I176" s="55">
        <f t="shared" ref="I176:M176" si="182">D176</f>
        <v>28</v>
      </c>
      <c r="J176" s="55">
        <f t="shared" si="182"/>
        <v>29</v>
      </c>
      <c r="K176" s="55">
        <f t="shared" si="182"/>
        <v>30</v>
      </c>
      <c r="L176" s="55">
        <f t="shared" si="182"/>
        <v>31</v>
      </c>
      <c r="M176" s="55">
        <f t="shared" si="182"/>
        <v>32</v>
      </c>
    </row>
    <row r="177" ht="15.75" customHeight="1">
      <c r="A177" s="69">
        <f>B177+1</f>
        <v>71</v>
      </c>
      <c r="B177" s="69">
        <f t="shared" ref="B177:B184" si="184">$C$177*10</f>
        <v>70</v>
      </c>
      <c r="C177" s="71">
        <f>C150+1</f>
        <v>7</v>
      </c>
      <c r="D177" s="72">
        <f>D150+7</f>
        <v>46307</v>
      </c>
      <c r="E177" s="72">
        <f t="shared" ref="E177:H177" si="183">D177+1</f>
        <v>46308</v>
      </c>
      <c r="F177" s="203">
        <f t="shared" si="183"/>
        <v>46309</v>
      </c>
      <c r="G177" s="204">
        <f t="shared" si="183"/>
        <v>46310</v>
      </c>
      <c r="H177" s="204">
        <f t="shared" si="183"/>
        <v>46311</v>
      </c>
      <c r="I177" s="62" t="s">
        <v>42</v>
      </c>
    </row>
    <row r="178" ht="15.75" customHeight="1">
      <c r="A178" s="75">
        <f>B178+2</f>
        <v>72</v>
      </c>
      <c r="B178" s="75">
        <f t="shared" si="184"/>
        <v>70</v>
      </c>
      <c r="C178" s="76"/>
      <c r="D178" s="131" t="str">
        <f>if(isblank(I178),"",vlookup(I178,Pacing!$A$1:$Z$213,2))</f>
        <v>2.3: Acceleration</v>
      </c>
      <c r="E178" s="131" t="str">
        <f>if(isblank(J178),"",vlookup(J178,Pacing!$A$1:$Z$213,2))</f>
        <v>2.3: Acceleration</v>
      </c>
      <c r="F178" s="205" t="str">
        <f>if(isblank(K178),"",vlookup(K178,Pacing!$A$1:$Z$213,2))</f>
        <v>2.4: Free Fall</v>
      </c>
      <c r="G178" s="206" t="str">
        <f>if(isblank(L178),"",vlookup(L178,Pacing!$A$1:$Z$213,2))</f>
        <v>2.4: Free Fall</v>
      </c>
      <c r="H178" s="206" t="str">
        <f>if(isblank(M178),"",vlookup(M178,Pacing!$A$1:$Z$213,2))</f>
        <v>2.4: Free Fall</v>
      </c>
      <c r="I178" s="78">
        <f t="shared" ref="I178:M178" si="185">I176</f>
        <v>28</v>
      </c>
      <c r="J178" s="78">
        <f t="shared" si="185"/>
        <v>29</v>
      </c>
      <c r="K178" s="78">
        <f t="shared" si="185"/>
        <v>30</v>
      </c>
      <c r="L178" s="78">
        <f t="shared" si="185"/>
        <v>31</v>
      </c>
      <c r="M178" s="78">
        <f t="shared" si="185"/>
        <v>32</v>
      </c>
    </row>
    <row r="179" ht="15.75" customHeight="1">
      <c r="A179" s="69">
        <f>B179+3</f>
        <v>73</v>
      </c>
      <c r="B179" s="69">
        <f t="shared" si="184"/>
        <v>70</v>
      </c>
      <c r="C179" s="76"/>
      <c r="D179" s="81" t="str">
        <f>if(isblank(I179),"",vlookup(I179,Pacing!$A$1:$Z$213,3))</f>
        <v>Warm Up</v>
      </c>
      <c r="E179" s="81" t="str">
        <f>if(isblank(J179),"",vlookup(J179,Pacing!$A$1:$Z$213,3))</f>
        <v>Warm Up</v>
      </c>
      <c r="F179" s="207" t="str">
        <f>if(isblank(K179),"",vlookup(K179,Pacing!$A$1:$Z$213,3))</f>
        <v>Warm Up</v>
      </c>
      <c r="G179" s="208" t="str">
        <f>if(isblank(L179),"",vlookup(L179,Pacing!$A$1:$Z$213,3))</f>
        <v>Warm Up</v>
      </c>
      <c r="H179" s="208" t="str">
        <f>if(isblank(M179),"",vlookup(M179,Pacing!$A$1:$Z$213,3))</f>
        <v>Warm Up</v>
      </c>
      <c r="I179" s="86">
        <f t="shared" ref="I179:M179" si="186">I178</f>
        <v>28</v>
      </c>
      <c r="J179" s="86">
        <f t="shared" si="186"/>
        <v>29</v>
      </c>
      <c r="K179" s="86">
        <f t="shared" si="186"/>
        <v>30</v>
      </c>
      <c r="L179" s="86">
        <f t="shared" si="186"/>
        <v>31</v>
      </c>
      <c r="M179" s="86">
        <f t="shared" si="186"/>
        <v>32</v>
      </c>
    </row>
    <row r="180" ht="15.75" customHeight="1">
      <c r="A180" s="69">
        <f>B180+4</f>
        <v>74</v>
      </c>
      <c r="B180" s="69">
        <f t="shared" si="184"/>
        <v>70</v>
      </c>
      <c r="C180" s="76"/>
      <c r="D180" s="81" t="str">
        <f>if(isblank(I180),"",vlookup(I180,Pacing!$A$1:$Z$213,4))</f>
        <v>Demo</v>
      </c>
      <c r="E180" s="81" t="str">
        <f>if(isblank(J180),"",vlookup(J180,Pacing!$A$1:$Z$213,4))</f>
        <v>Demo</v>
      </c>
      <c r="F180" s="207" t="str">
        <f>if(isblank(K180),"",vlookup(K180,Pacing!$A$1:$Z$213,4))</f>
        <v>Demo</v>
      </c>
      <c r="G180" s="208" t="str">
        <f>if(isblank(L180),"",vlookup(L180,Pacing!$A$1:$Z$213,4))</f>
        <v>Demo</v>
      </c>
      <c r="H180" s="208" t="str">
        <f>if(isblank(M180),"",vlookup(M180,Pacing!$A$1:$Z$213,4))</f>
        <v>Demo</v>
      </c>
      <c r="I180" s="86">
        <f t="shared" ref="I180:M180" si="187">I179</f>
        <v>28</v>
      </c>
      <c r="J180" s="86">
        <f t="shared" si="187"/>
        <v>29</v>
      </c>
      <c r="K180" s="86">
        <f t="shared" si="187"/>
        <v>30</v>
      </c>
      <c r="L180" s="86">
        <f t="shared" si="187"/>
        <v>31</v>
      </c>
      <c r="M180" s="86">
        <f t="shared" si="187"/>
        <v>32</v>
      </c>
    </row>
    <row r="181" ht="15.75" customHeight="1">
      <c r="A181" s="69">
        <f>B181+5</f>
        <v>75</v>
      </c>
      <c r="B181" s="69">
        <f t="shared" si="184"/>
        <v>70</v>
      </c>
      <c r="C181" s="76"/>
      <c r="D181" s="81" t="str">
        <f>if(isblank(I181),"",vlookup(I181,Pacing!$A$1:$Z$213,5))</f>
        <v>Notes</v>
      </c>
      <c r="E181" s="81" t="str">
        <f>if(isblank(J181),"",vlookup(J181,Pacing!$A$1:$Z$213,5))</f>
        <v>Notes</v>
      </c>
      <c r="F181" s="207" t="str">
        <f>if(isblank(K181),"",vlookup(K181,Pacing!$A$1:$Z$213,5))</f>
        <v>Notes</v>
      </c>
      <c r="G181" s="208" t="str">
        <f>if(isblank(L181),"",vlookup(L181,Pacing!$A$1:$Z$213,5))</f>
        <v>Notes</v>
      </c>
      <c r="H181" s="208" t="str">
        <f>if(isblank(M181),"",vlookup(M181,Pacing!$A$1:$Z$213,5))</f>
        <v>Notes</v>
      </c>
      <c r="I181" s="86">
        <f t="shared" ref="I181:M181" si="188">I180</f>
        <v>28</v>
      </c>
      <c r="J181" s="86">
        <f t="shared" si="188"/>
        <v>29</v>
      </c>
      <c r="K181" s="86">
        <f t="shared" si="188"/>
        <v>30</v>
      </c>
      <c r="L181" s="86">
        <f t="shared" si="188"/>
        <v>31</v>
      </c>
      <c r="M181" s="86">
        <f t="shared" si="188"/>
        <v>32</v>
      </c>
    </row>
    <row r="182" ht="15.75" customHeight="1">
      <c r="A182" s="69">
        <f>B182+6</f>
        <v>76</v>
      </c>
      <c r="B182" s="69">
        <f t="shared" si="184"/>
        <v>70</v>
      </c>
      <c r="C182" s="76"/>
      <c r="D182" s="81" t="str">
        <f>if(isblank(I182),"",vlookup(I182,Pacing!$A$1:$Z$213,6))</f>
        <v>Investigation</v>
      </c>
      <c r="E182" s="81" t="str">
        <f>if(isblank(J182),"",vlookup(J182,Pacing!$A$1:$Z$213,6))</f>
        <v>Investigation</v>
      </c>
      <c r="F182" s="207" t="str">
        <f>if(isblank(K182),"",vlookup(K182,Pacing!$A$1:$Z$213,6))</f>
        <v>Investigation</v>
      </c>
      <c r="G182" s="208" t="str">
        <f>if(isblank(L182),"",vlookup(L182,Pacing!$A$1:$Z$213,6))</f>
        <v>Investigation</v>
      </c>
      <c r="H182" s="208" t="str">
        <f>if(isblank(M182),"",vlookup(M182,Pacing!$A$1:$Z$213,6))</f>
        <v>Investigation</v>
      </c>
      <c r="I182" s="86">
        <f t="shared" ref="I182:M182" si="189">I181</f>
        <v>28</v>
      </c>
      <c r="J182" s="86">
        <f t="shared" si="189"/>
        <v>29</v>
      </c>
      <c r="K182" s="86">
        <f t="shared" si="189"/>
        <v>30</v>
      </c>
      <c r="L182" s="86">
        <f t="shared" si="189"/>
        <v>31</v>
      </c>
      <c r="M182" s="86">
        <f t="shared" si="189"/>
        <v>32</v>
      </c>
    </row>
    <row r="183" ht="15.75" customHeight="1">
      <c r="A183" s="69">
        <f>B183+7</f>
        <v>77</v>
      </c>
      <c r="B183" s="69">
        <f t="shared" si="184"/>
        <v>70</v>
      </c>
      <c r="C183" s="76"/>
      <c r="D183" s="81" t="str">
        <f>if(isblank(I183),"",vlookup(I183,Pacing!$A$1:$Z$213,7))</f>
        <v>Activity</v>
      </c>
      <c r="E183" s="81" t="str">
        <f>if(isblank(J183),"",vlookup(J183,Pacing!$A$1:$Z$213,7))</f>
        <v>Activity</v>
      </c>
      <c r="F183" s="207" t="str">
        <f>if(isblank(K183),"",vlookup(K183,Pacing!$A$1:$Z$213,7))</f>
        <v>Activity</v>
      </c>
      <c r="G183" s="208" t="str">
        <f>if(isblank(L183),"",vlookup(L183,Pacing!$A$1:$Z$213,7))</f>
        <v>Activity</v>
      </c>
      <c r="H183" s="208" t="str">
        <f>if(isblank(M183),"",vlookup(M183,Pacing!$A$1:$Z$213,7))</f>
        <v>Activity</v>
      </c>
      <c r="I183" s="86">
        <f t="shared" ref="I183:M183" si="190">I182</f>
        <v>28</v>
      </c>
      <c r="J183" s="86">
        <f t="shared" si="190"/>
        <v>29</v>
      </c>
      <c r="K183" s="86">
        <f t="shared" si="190"/>
        <v>30</v>
      </c>
      <c r="L183" s="86">
        <f t="shared" si="190"/>
        <v>31</v>
      </c>
      <c r="M183" s="86">
        <f t="shared" si="190"/>
        <v>32</v>
      </c>
    </row>
    <row r="184" ht="15.75" customHeight="1">
      <c r="A184" s="69">
        <f>B184+8</f>
        <v>78</v>
      </c>
      <c r="B184" s="69">
        <f t="shared" si="184"/>
        <v>70</v>
      </c>
      <c r="C184" s="95"/>
      <c r="D184" s="81" t="str">
        <f>if(isblank(I184),"",vlookup(I184,Pacing!$A$1:$Z$213,8))</f>
        <v>Practice Set</v>
      </c>
      <c r="E184" s="81" t="str">
        <f>if(isblank(J184),"",vlookup(J184,Pacing!$A$1:$Z$213,8))</f>
        <v>Practice Set</v>
      </c>
      <c r="F184" s="207" t="str">
        <f>if(isblank(K184),"",vlookup(K184,Pacing!$A$1:$Z$213,8))</f>
        <v>Practice Set</v>
      </c>
      <c r="G184" s="208" t="str">
        <f>if(isblank(L184),"",vlookup(L184,Pacing!$A$1:$Z$213,8))</f>
        <v>Practice Set</v>
      </c>
      <c r="H184" s="208" t="str">
        <f>if(isblank(M184),"",vlookup(M184,Pacing!$A$1:$Z$213,8))</f>
        <v>Practice Set</v>
      </c>
      <c r="I184" s="86">
        <f t="shared" ref="I184:M184" si="191">I183</f>
        <v>28</v>
      </c>
      <c r="J184" s="86">
        <f t="shared" si="191"/>
        <v>29</v>
      </c>
      <c r="K184" s="86">
        <f t="shared" si="191"/>
        <v>30</v>
      </c>
      <c r="L184" s="86">
        <f t="shared" si="191"/>
        <v>31</v>
      </c>
      <c r="M184" s="86">
        <f t="shared" si="191"/>
        <v>32</v>
      </c>
    </row>
    <row r="185" ht="15.75" customHeight="1">
      <c r="A185" s="69"/>
      <c r="B185" s="69"/>
      <c r="C185" s="71"/>
      <c r="D185" s="81" t="str">
        <f>if(isblank(I185),"",vlookup(I185,Pacing!$A$1:$Z$213,9))</f>
        <v>Extra Practice</v>
      </c>
      <c r="E185" s="81" t="str">
        <f>if(isblank(J185),"",vlookup(J185,Pacing!$A$1:$Z$213,9))</f>
        <v>Extra Practice</v>
      </c>
      <c r="F185" s="207" t="str">
        <f>if(isblank(K185),"",vlookup(K185,Pacing!$A$1:$Z$213,9))</f>
        <v>Extra Practice</v>
      </c>
      <c r="G185" s="208" t="str">
        <f>if(isblank(L185),"",vlookup(L185,Pacing!$A$1:$Z$213,9))</f>
        <v>Extra Practice</v>
      </c>
      <c r="H185" s="208" t="str">
        <f>if(isblank(M185),"",vlookup(M185,Pacing!$A$1:$Z$213,9))</f>
        <v>Extra Practice</v>
      </c>
      <c r="I185" s="86">
        <f t="shared" ref="I185:M185" si="192">I184</f>
        <v>28</v>
      </c>
      <c r="J185" s="86">
        <f t="shared" si="192"/>
        <v>29</v>
      </c>
      <c r="K185" s="86">
        <f t="shared" si="192"/>
        <v>30</v>
      </c>
      <c r="L185" s="86">
        <f t="shared" si="192"/>
        <v>31</v>
      </c>
      <c r="M185" s="86">
        <f t="shared" si="192"/>
        <v>32</v>
      </c>
    </row>
    <row r="186" ht="15.75" customHeight="1">
      <c r="A186" s="69"/>
      <c r="B186" s="69"/>
      <c r="C186" s="71"/>
      <c r="D186" s="81" t="str">
        <f>if(isblank(I186),"",vlookup(I186,Pacing!$A$1:$Z$213,10))</f>
        <v>CYU</v>
      </c>
      <c r="E186" s="81" t="str">
        <f>if(isblank(J186),"",vlookup(J186,Pacing!$A$1:$Z$213,10))</f>
        <v>CYU</v>
      </c>
      <c r="F186" s="207" t="str">
        <f>if(isblank(K186),"",vlookup(K186,Pacing!$A$1:$Z$213,10))</f>
        <v>CYU</v>
      </c>
      <c r="G186" s="208" t="str">
        <f>if(isblank(L186),"",vlookup(L186,Pacing!$A$1:$Z$213,10))</f>
        <v>CYU</v>
      </c>
      <c r="H186" s="208" t="str">
        <f>if(isblank(M186),"",vlookup(M186,Pacing!$A$1:$Z$213,10))</f>
        <v>CYU</v>
      </c>
      <c r="I186" s="86">
        <f t="shared" ref="I186:M186" si="193">I185</f>
        <v>28</v>
      </c>
      <c r="J186" s="86">
        <f t="shared" si="193"/>
        <v>29</v>
      </c>
      <c r="K186" s="86">
        <f t="shared" si="193"/>
        <v>30</v>
      </c>
      <c r="L186" s="86">
        <f t="shared" si="193"/>
        <v>31</v>
      </c>
      <c r="M186" s="86">
        <f t="shared" si="193"/>
        <v>32</v>
      </c>
    </row>
    <row r="187" ht="15.75" customHeight="1">
      <c r="A187" s="69"/>
      <c r="B187" s="69"/>
      <c r="C187" s="71"/>
      <c r="D187" s="81" t="str">
        <f>if(isblank(I187),"",vlookup(I187,Pacing!$A$1:$Z$213,11))</f>
        <v>Progress</v>
      </c>
      <c r="E187" s="81" t="str">
        <f>if(isblank(J187),"",vlookup(J187,Pacing!$A$1:$Z$213,11))</f>
        <v>Progress</v>
      </c>
      <c r="F187" s="207" t="str">
        <f>if(isblank(K187),"",vlookup(K187,Pacing!$A$1:$Z$213,11))</f>
        <v>Progress</v>
      </c>
      <c r="G187" s="208" t="str">
        <f>if(isblank(L187),"",vlookup(L187,Pacing!$A$1:$Z$213,11))</f>
        <v>Progress</v>
      </c>
      <c r="H187" s="208" t="str">
        <f>if(isblank(M187),"",vlookup(M187,Pacing!$A$1:$Z$213,11))</f>
        <v>Progress</v>
      </c>
      <c r="I187" s="86">
        <f t="shared" ref="I187:M187" si="194">I186</f>
        <v>28</v>
      </c>
      <c r="J187" s="86">
        <f t="shared" si="194"/>
        <v>29</v>
      </c>
      <c r="K187" s="86">
        <f t="shared" si="194"/>
        <v>30</v>
      </c>
      <c r="L187" s="86">
        <f t="shared" si="194"/>
        <v>31</v>
      </c>
      <c r="M187" s="86">
        <f t="shared" si="194"/>
        <v>32</v>
      </c>
    </row>
    <row r="188" ht="15.75" customHeight="1">
      <c r="A188" s="69"/>
      <c r="B188" s="69"/>
      <c r="C188" s="71"/>
      <c r="D188" s="81" t="str">
        <f>if(isblank(I188),"",vlookup(I188,Pacing!$A$1:$Z$213,12))</f>
        <v>Review</v>
      </c>
      <c r="E188" s="81" t="str">
        <f>if(isblank(J188),"",vlookup(J188,Pacing!$A$1:$Z$213,12))</f>
        <v>Review</v>
      </c>
      <c r="F188" s="207" t="str">
        <f>if(isblank(K188),"",vlookup(K188,Pacing!$A$1:$Z$213,12))</f>
        <v>Review</v>
      </c>
      <c r="G188" s="208" t="str">
        <f>if(isblank(L188),"",vlookup(L188,Pacing!$A$1:$Z$213,12))</f>
        <v>Review</v>
      </c>
      <c r="H188" s="208" t="str">
        <f>if(isblank(M188),"",vlookup(M188,Pacing!$A$1:$Z$213,12))</f>
        <v>Review</v>
      </c>
      <c r="I188" s="86">
        <f t="shared" ref="I188:M188" si="195">I187</f>
        <v>28</v>
      </c>
      <c r="J188" s="86">
        <f t="shared" si="195"/>
        <v>29</v>
      </c>
      <c r="K188" s="86">
        <f t="shared" si="195"/>
        <v>30</v>
      </c>
      <c r="L188" s="86">
        <f t="shared" si="195"/>
        <v>31</v>
      </c>
      <c r="M188" s="86">
        <f t="shared" si="195"/>
        <v>32</v>
      </c>
    </row>
    <row r="189" ht="15.75" customHeight="1">
      <c r="A189" s="69"/>
      <c r="B189" s="69"/>
      <c r="C189" s="71"/>
      <c r="D189" s="91" t="str">
        <f>if(isblank(I189),"",vlookup(I189,Pacing!$A$1:$Z$213,13))</f>
        <v/>
      </c>
      <c r="E189" s="91" t="str">
        <f>if(isblank(J189),"",vlookup(J189,Pacing!$A$1:$Z$213,13))</f>
        <v/>
      </c>
      <c r="F189" s="209" t="str">
        <f>if(isblank(K189),"",vlookup(K189,Pacing!$A$1:$Z$213,13))</f>
        <v/>
      </c>
      <c r="G189" s="210" t="str">
        <f>if(isblank(L189),"",vlookup(L189,Pacing!$A$1:$Z$213,13))</f>
        <v/>
      </c>
      <c r="H189" s="210" t="str">
        <f>if(isblank(M189),"",vlookup(M189,Pacing!$A$1:$Z$213,13))</f>
        <v/>
      </c>
      <c r="I189" s="86">
        <f t="shared" ref="I189:M189" si="196">I188</f>
        <v>28</v>
      </c>
      <c r="J189" s="86">
        <f t="shared" si="196"/>
        <v>29</v>
      </c>
      <c r="K189" s="86">
        <f t="shared" si="196"/>
        <v>30</v>
      </c>
      <c r="L189" s="86">
        <f t="shared" si="196"/>
        <v>31</v>
      </c>
      <c r="M189" s="86">
        <f t="shared" si="196"/>
        <v>32</v>
      </c>
    </row>
    <row r="190" ht="15.75" customHeight="1">
      <c r="A190" s="69"/>
      <c r="B190" s="69"/>
      <c r="C190" s="71"/>
      <c r="D190" s="81" t="str">
        <f>if(isblank(I190),"",vlookup(I190,Pacing!$A$1:$Z$213,14))</f>
        <v>Notes Teacher</v>
      </c>
      <c r="E190" s="81" t="str">
        <f>if(isblank(J190),"",vlookup(J190,Pacing!$A$1:$Z$213,14))</f>
        <v>Notes Teacher</v>
      </c>
      <c r="F190" s="207" t="str">
        <f>if(isblank(K190),"",vlookup(K190,Pacing!$A$1:$Z$213,14))</f>
        <v>Notes Teacher</v>
      </c>
      <c r="G190" s="208" t="str">
        <f>if(isblank(L190),"",vlookup(L190,Pacing!$A$1:$Z$213,14))</f>
        <v>Notes Teacher</v>
      </c>
      <c r="H190" s="208" t="str">
        <f>if(isblank(M190),"",vlookup(M190,Pacing!$A$1:$Z$213,14))</f>
        <v>Notes Teacher</v>
      </c>
      <c r="I190" s="86">
        <f t="shared" ref="I190:M190" si="197">I189</f>
        <v>28</v>
      </c>
      <c r="J190" s="86">
        <f t="shared" si="197"/>
        <v>29</v>
      </c>
      <c r="K190" s="86">
        <f t="shared" si="197"/>
        <v>30</v>
      </c>
      <c r="L190" s="86">
        <f t="shared" si="197"/>
        <v>31</v>
      </c>
      <c r="M190" s="86">
        <f t="shared" si="197"/>
        <v>32</v>
      </c>
    </row>
    <row r="191" ht="15.75" customHeight="1">
      <c r="A191" s="69"/>
      <c r="B191" s="69"/>
      <c r="C191" s="71"/>
      <c r="D191" s="81" t="str">
        <f>if(isblank(I191),"",vlookup(I191,Pacing!$A$1:$Z$213,15))</f>
        <v>Demo Teacher</v>
      </c>
      <c r="E191" s="81" t="str">
        <f>if(isblank(J191),"",vlookup(J191,Pacing!$A$1:$Z$213,15))</f>
        <v>Demo Teacher</v>
      </c>
      <c r="F191" s="207" t="str">
        <f>if(isblank(K191),"",vlookup(K191,Pacing!$A$1:$Z$213,15))</f>
        <v>Demo Teacher</v>
      </c>
      <c r="G191" s="208" t="str">
        <f>if(isblank(L191),"",vlookup(L191,Pacing!$A$1:$Z$213,15))</f>
        <v>Demo Teacher</v>
      </c>
      <c r="H191" s="208" t="str">
        <f>if(isblank(M191),"",vlookup(M191,Pacing!$A$1:$Z$213,15))</f>
        <v>Demo Teacher</v>
      </c>
      <c r="I191" s="86">
        <f t="shared" ref="I191:M191" si="198">I190</f>
        <v>28</v>
      </c>
      <c r="J191" s="86">
        <f t="shared" si="198"/>
        <v>29</v>
      </c>
      <c r="K191" s="86">
        <f t="shared" si="198"/>
        <v>30</v>
      </c>
      <c r="L191" s="86">
        <f t="shared" si="198"/>
        <v>31</v>
      </c>
      <c r="M191" s="86">
        <f t="shared" si="198"/>
        <v>32</v>
      </c>
    </row>
    <row r="192" ht="15.75" customHeight="1">
      <c r="A192" s="69"/>
      <c r="B192" s="69"/>
      <c r="C192" s="71"/>
      <c r="D192" s="81" t="str">
        <f>if(isblank(I192),"",vlookup(I192,Pacing!$A$1:$Z$213,16))</f>
        <v>Invest Teacher</v>
      </c>
      <c r="E192" s="81" t="str">
        <f>if(isblank(J192),"",vlookup(J192,Pacing!$A$1:$Z$213,16))</f>
        <v>Invest Teacher</v>
      </c>
      <c r="F192" s="207" t="str">
        <f>if(isblank(K192),"",vlookup(K192,Pacing!$A$1:$Z$213,16))</f>
        <v>Invest Teacher</v>
      </c>
      <c r="G192" s="208" t="str">
        <f>if(isblank(L192),"",vlookup(L192,Pacing!$A$1:$Z$213,16))</f>
        <v>Invest Teacher</v>
      </c>
      <c r="H192" s="208" t="str">
        <f>if(isblank(M192),"",vlookup(M192,Pacing!$A$1:$Z$213,16))</f>
        <v>Invest Teacher</v>
      </c>
      <c r="I192" s="86">
        <f t="shared" ref="I192:M192" si="199">I191</f>
        <v>28</v>
      </c>
      <c r="J192" s="86">
        <f t="shared" si="199"/>
        <v>29</v>
      </c>
      <c r="K192" s="86">
        <f t="shared" si="199"/>
        <v>30</v>
      </c>
      <c r="L192" s="86">
        <f t="shared" si="199"/>
        <v>31</v>
      </c>
      <c r="M192" s="86">
        <f t="shared" si="199"/>
        <v>32</v>
      </c>
    </row>
    <row r="193" ht="15.75" customHeight="1">
      <c r="A193" s="69"/>
      <c r="B193" s="69"/>
      <c r="C193" s="71"/>
      <c r="D193" s="81" t="str">
        <f>if(isblank(I193),"",vlookup(I193,Pacing!$A$1:$Z$213,17))</f>
        <v>PT Teacher</v>
      </c>
      <c r="E193" s="81" t="str">
        <f>if(isblank(J193),"",vlookup(J193,Pacing!$A$1:$Z$213,17))</f>
        <v>PT Teacher</v>
      </c>
      <c r="F193" s="207" t="str">
        <f>if(isblank(K193),"",vlookup(K193,Pacing!$A$1:$Z$213,17))</f>
        <v>PT Teacher</v>
      </c>
      <c r="G193" s="208" t="str">
        <f>if(isblank(L193),"",vlookup(L193,Pacing!$A$1:$Z$213,17))</f>
        <v>PT Teacher</v>
      </c>
      <c r="H193" s="208" t="str">
        <f>if(isblank(M193),"",vlookup(M193,Pacing!$A$1:$Z$213,17))</f>
        <v>PT Teacher</v>
      </c>
      <c r="I193" s="86">
        <f t="shared" ref="I193:M193" si="200">I192</f>
        <v>28</v>
      </c>
      <c r="J193" s="86">
        <f t="shared" si="200"/>
        <v>29</v>
      </c>
      <c r="K193" s="86">
        <f t="shared" si="200"/>
        <v>30</v>
      </c>
      <c r="L193" s="86">
        <f t="shared" si="200"/>
        <v>31</v>
      </c>
      <c r="M193" s="86">
        <f t="shared" si="200"/>
        <v>32</v>
      </c>
    </row>
    <row r="194" ht="15.75" customHeight="1">
      <c r="A194" s="69"/>
      <c r="B194" s="69"/>
      <c r="C194" s="71"/>
      <c r="D194" s="81" t="str">
        <f>if(isblank(I194),"",vlookup(I194,Pacing!$A$1:$Z$213,18))</f>
        <v>Assess Plan</v>
      </c>
      <c r="E194" s="81" t="str">
        <f>if(isblank(J194),"",vlookup(J194,Pacing!$A$1:$Z$213,18))</f>
        <v>Assess Plan</v>
      </c>
      <c r="F194" s="207" t="str">
        <f>if(isblank(K194),"",vlookup(K194,Pacing!$A$1:$Z$213,18))</f>
        <v>Assess Plan</v>
      </c>
      <c r="G194" s="208" t="str">
        <f>if(isblank(L194),"",vlookup(L194,Pacing!$A$1:$Z$213,18))</f>
        <v>Assess Plan</v>
      </c>
      <c r="H194" s="208" t="str">
        <f>if(isblank(M194),"",vlookup(M194,Pacing!$A$1:$Z$213,18))</f>
        <v>Assess Plan</v>
      </c>
      <c r="I194" s="86">
        <f t="shared" ref="I194:M194" si="201">I193</f>
        <v>28</v>
      </c>
      <c r="J194" s="86">
        <f t="shared" si="201"/>
        <v>29</v>
      </c>
      <c r="K194" s="86">
        <f t="shared" si="201"/>
        <v>30</v>
      </c>
      <c r="L194" s="86">
        <f t="shared" si="201"/>
        <v>31</v>
      </c>
      <c r="M194" s="86">
        <f t="shared" si="201"/>
        <v>32</v>
      </c>
    </row>
    <row r="195" ht="15.75" customHeight="1">
      <c r="A195" s="69"/>
      <c r="B195" s="69"/>
      <c r="C195" s="71"/>
      <c r="D195" s="81" t="str">
        <f>if(isblank(I195),"",vlookup(I195,Pacing!$A$1:$Z$213,19))</f>
        <v>Perform Task</v>
      </c>
      <c r="E195" s="81" t="str">
        <f>if(isblank(J195),"",vlookup(J195,Pacing!$A$1:$Z$213,19))</f>
        <v>Perform Task</v>
      </c>
      <c r="F195" s="207" t="str">
        <f>if(isblank(K195),"",vlookup(K195,Pacing!$A$1:$Z$213,19))</f>
        <v>Perform Task</v>
      </c>
      <c r="G195" s="208" t="str">
        <f>if(isblank(L195),"",vlookup(L195,Pacing!$A$1:$Z$213,19))</f>
        <v>Perform Task</v>
      </c>
      <c r="H195" s="208" t="str">
        <f>if(isblank(M195),"",vlookup(M195,Pacing!$A$1:$Z$213,19))</f>
        <v>Perform Task</v>
      </c>
      <c r="I195" s="86">
        <f t="shared" ref="I195:M195" si="202">I194</f>
        <v>28</v>
      </c>
      <c r="J195" s="86">
        <f t="shared" si="202"/>
        <v>29</v>
      </c>
      <c r="K195" s="86">
        <f t="shared" si="202"/>
        <v>30</v>
      </c>
      <c r="L195" s="86">
        <f t="shared" si="202"/>
        <v>31</v>
      </c>
      <c r="M195" s="86">
        <f t="shared" si="202"/>
        <v>32</v>
      </c>
    </row>
    <row r="196" ht="15.75" customHeight="1">
      <c r="A196" s="69"/>
      <c r="B196" s="69"/>
      <c r="C196" s="71"/>
      <c r="D196" s="81" t="str">
        <f>if(isblank(I196),"",vlookup(I196,Pacing!$A$1:$Z$213,20))</f>
        <v>Quick Check</v>
      </c>
      <c r="E196" s="81" t="str">
        <f>if(isblank(J196),"",vlookup(J196,Pacing!$A$1:$Z$213,20))</f>
        <v>Quick Check</v>
      </c>
      <c r="F196" s="207" t="str">
        <f>if(isblank(K196),"",vlookup(K196,Pacing!$A$1:$Z$213,20))</f>
        <v>Quick Check</v>
      </c>
      <c r="G196" s="208" t="str">
        <f>if(isblank(L196),"",vlookup(L196,Pacing!$A$1:$Z$213,20))</f>
        <v>Quick Check</v>
      </c>
      <c r="H196" s="208" t="str">
        <f>if(isblank(M196),"",vlookup(M196,Pacing!$A$1:$Z$213,20))</f>
        <v>Quick Check</v>
      </c>
      <c r="I196" s="86">
        <f t="shared" ref="I196:M196" si="203">I195</f>
        <v>28</v>
      </c>
      <c r="J196" s="86">
        <f t="shared" si="203"/>
        <v>29</v>
      </c>
      <c r="K196" s="86">
        <f t="shared" si="203"/>
        <v>30</v>
      </c>
      <c r="L196" s="86">
        <f t="shared" si="203"/>
        <v>31</v>
      </c>
      <c r="M196" s="86">
        <f t="shared" si="203"/>
        <v>32</v>
      </c>
    </row>
    <row r="197" ht="15.75" customHeight="1">
      <c r="A197" s="69"/>
      <c r="B197" s="69"/>
      <c r="C197" s="71"/>
      <c r="D197" s="81" t="str">
        <f>if(isblank(I197),"",vlookup(I197,Pacing!$A$1:$Z$213,21))</f>
        <v>Exit Ticket</v>
      </c>
      <c r="E197" s="81" t="str">
        <f>if(isblank(J197),"",vlookup(J197,Pacing!$A$1:$Z$213,21))</f>
        <v>Exit Ticket</v>
      </c>
      <c r="F197" s="207" t="str">
        <f>if(isblank(K197),"",vlookup(K197,Pacing!$A$1:$Z$213,21))</f>
        <v>Exit Ticket</v>
      </c>
      <c r="G197" s="208" t="str">
        <f>if(isblank(L197),"",vlookup(L197,Pacing!$A$1:$Z$213,21))</f>
        <v>Exit Ticket</v>
      </c>
      <c r="H197" s="208" t="str">
        <f>if(isblank(M197),"",vlookup(M197,Pacing!$A$1:$Z$213,21))</f>
        <v>Exit Ticket</v>
      </c>
      <c r="I197" s="86">
        <f t="shared" ref="I197:M197" si="204">I196</f>
        <v>28</v>
      </c>
      <c r="J197" s="86">
        <f t="shared" si="204"/>
        <v>29</v>
      </c>
      <c r="K197" s="86">
        <f t="shared" si="204"/>
        <v>30</v>
      </c>
      <c r="L197" s="86">
        <f t="shared" si="204"/>
        <v>31</v>
      </c>
      <c r="M197" s="86">
        <f t="shared" si="204"/>
        <v>32</v>
      </c>
    </row>
    <row r="198" ht="15.75" customHeight="1">
      <c r="A198" s="69"/>
      <c r="B198" s="69"/>
      <c r="C198" s="71"/>
      <c r="D198" s="81" t="str">
        <f>if(isblank(I198),"",vlookup(I198,Pacing!$A$1:$Z$213,22))</f>
        <v>Practice 2</v>
      </c>
      <c r="E198" s="81" t="str">
        <f>if(isblank(J198),"",vlookup(J198,Pacing!$A$1:$Z$213,22))</f>
        <v>Practice 2</v>
      </c>
      <c r="F198" s="207" t="str">
        <f>if(isblank(K198),"",vlookup(K198,Pacing!$A$1:$Z$213,22))</f>
        <v>Practice 2</v>
      </c>
      <c r="G198" s="208" t="str">
        <f>if(isblank(L198),"",vlookup(L198,Pacing!$A$1:$Z$213,22))</f>
        <v>Practice 2</v>
      </c>
      <c r="H198" s="208" t="str">
        <f>if(isblank(M198),"",vlookup(M198,Pacing!$A$1:$Z$213,22))</f>
        <v>Practice 2</v>
      </c>
      <c r="I198" s="86">
        <f t="shared" ref="I198:M198" si="205">I197</f>
        <v>28</v>
      </c>
      <c r="J198" s="86">
        <f t="shared" si="205"/>
        <v>29</v>
      </c>
      <c r="K198" s="86">
        <f t="shared" si="205"/>
        <v>30</v>
      </c>
      <c r="L198" s="86">
        <f t="shared" si="205"/>
        <v>31</v>
      </c>
      <c r="M198" s="86">
        <f t="shared" si="205"/>
        <v>32</v>
      </c>
    </row>
    <row r="199" ht="15.75" customHeight="1">
      <c r="A199" s="69"/>
      <c r="B199" s="69"/>
      <c r="C199" s="71"/>
      <c r="D199" s="81" t="str">
        <f>if(isblank(I199),"",vlookup(I199,Pacing!$A$1:$Z$213,23))</f>
        <v>Practice 3</v>
      </c>
      <c r="E199" s="81" t="str">
        <f>if(isblank(J199),"",vlookup(J199,Pacing!$A$1:$Z$213,23))</f>
        <v>Practice 3</v>
      </c>
      <c r="F199" s="207" t="str">
        <f>if(isblank(K199),"",vlookup(K199,Pacing!$A$1:$Z$213,23))</f>
        <v>Practice 3</v>
      </c>
      <c r="G199" s="208" t="str">
        <f>if(isblank(L199),"",vlookup(L199,Pacing!$A$1:$Z$213,23))</f>
        <v>Practice 3</v>
      </c>
      <c r="H199" s="208" t="str">
        <f>if(isblank(M199),"",vlookup(M199,Pacing!$A$1:$Z$213,23))</f>
        <v>Practice 3</v>
      </c>
      <c r="I199" s="86">
        <f t="shared" ref="I199:M199" si="206">I198</f>
        <v>28</v>
      </c>
      <c r="J199" s="86">
        <f t="shared" si="206"/>
        <v>29</v>
      </c>
      <c r="K199" s="86">
        <f t="shared" si="206"/>
        <v>30</v>
      </c>
      <c r="L199" s="86">
        <f t="shared" si="206"/>
        <v>31</v>
      </c>
      <c r="M199" s="86">
        <f t="shared" si="206"/>
        <v>32</v>
      </c>
    </row>
    <row r="200" ht="15.75" customHeight="1">
      <c r="A200" s="69"/>
      <c r="B200" s="69"/>
      <c r="C200" s="71"/>
      <c r="D200" s="81" t="str">
        <f>if(isblank(I200),"",vlookup(I200,Pacing!$A$1:$Z$213,24))</f>
        <v>Sum Assess</v>
      </c>
      <c r="E200" s="81" t="str">
        <f>if(isblank(J200),"",vlookup(J200,Pacing!$A$1:$Z$213,24))</f>
        <v>Sum Assess</v>
      </c>
      <c r="F200" s="207" t="str">
        <f>if(isblank(K200),"",vlookup(K200,Pacing!$A$1:$Z$213,24))</f>
        <v>Sum Assess</v>
      </c>
      <c r="G200" s="208" t="str">
        <f>if(isblank(L200),"",vlookup(L200,Pacing!$A$1:$Z$213,24))</f>
        <v>Sum Assess</v>
      </c>
      <c r="H200" s="208" t="str">
        <f>if(isblank(M200),"",vlookup(M200,Pacing!$A$1:$Z$213,24))</f>
        <v>Sum Assess</v>
      </c>
      <c r="I200" s="86">
        <f t="shared" ref="I200:M200" si="207">I199</f>
        <v>28</v>
      </c>
      <c r="J200" s="86">
        <f t="shared" si="207"/>
        <v>29</v>
      </c>
      <c r="K200" s="86">
        <f t="shared" si="207"/>
        <v>30</v>
      </c>
      <c r="L200" s="86">
        <f t="shared" si="207"/>
        <v>31</v>
      </c>
      <c r="M200" s="86">
        <f t="shared" si="207"/>
        <v>32</v>
      </c>
    </row>
    <row r="201" ht="15.75" customHeight="1">
      <c r="A201" s="69"/>
      <c r="B201" s="69"/>
      <c r="C201" s="71"/>
      <c r="D201" s="81" t="str">
        <f>if(isblank(I201),"",vlookup(I201,Pacing!$A$1:$Z$213,25))</f>
        <v>Bank</v>
      </c>
      <c r="E201" s="81" t="str">
        <f>if(isblank(J201),"",vlookup(J201,Pacing!$A$1:$Z$213,25))</f>
        <v>Bank</v>
      </c>
      <c r="F201" s="207" t="str">
        <f>if(isblank(K201),"",vlookup(K201,Pacing!$A$1:$Z$213,25))</f>
        <v>Bank</v>
      </c>
      <c r="G201" s="208" t="str">
        <f>if(isblank(L201),"",vlookup(L201,Pacing!$A$1:$Z$213,25))</f>
        <v>Bank</v>
      </c>
      <c r="H201" s="208" t="str">
        <f>if(isblank(M201),"",vlookup(M201,Pacing!$A$1:$Z$213,25))</f>
        <v>Bank</v>
      </c>
      <c r="I201" s="86">
        <f t="shared" ref="I201:M201" si="208">I200</f>
        <v>28</v>
      </c>
      <c r="J201" s="86">
        <f t="shared" si="208"/>
        <v>29</v>
      </c>
      <c r="K201" s="86">
        <f t="shared" si="208"/>
        <v>30</v>
      </c>
      <c r="L201" s="86">
        <f t="shared" si="208"/>
        <v>31</v>
      </c>
      <c r="M201" s="86">
        <f t="shared" si="208"/>
        <v>32</v>
      </c>
    </row>
    <row r="202" ht="15.75" customHeight="1">
      <c r="A202" s="69"/>
      <c r="B202" s="69"/>
      <c r="C202" s="71"/>
      <c r="D202" s="91" t="str">
        <f>if(isblank(I202),"",vlookup(I202,Pacing!$A$1:$Z$213,26))</f>
        <v/>
      </c>
      <c r="E202" s="89" t="str">
        <f>if(isblank(J202),"",vlookup(J202,Pacing!$A$1:$Z$213,26))</f>
        <v/>
      </c>
      <c r="F202" s="211" t="str">
        <f>if(isblank(K202),"",vlookup(K202,Pacing!$A$1:$Z$213,26))</f>
        <v/>
      </c>
      <c r="G202" s="212" t="str">
        <f>if(isblank(L202),"",vlookup(L202,Pacing!$A$1:$Z$213,26))</f>
        <v/>
      </c>
      <c r="H202" s="212" t="str">
        <f>if(isblank(M202),"",vlookup(M202,Pacing!$A$1:$Z$213,26))</f>
        <v/>
      </c>
      <c r="I202" s="86">
        <f t="shared" ref="I202:M202" si="209">I201</f>
        <v>28</v>
      </c>
      <c r="J202" s="86">
        <f t="shared" si="209"/>
        <v>29</v>
      </c>
      <c r="K202" s="86">
        <f t="shared" si="209"/>
        <v>30</v>
      </c>
      <c r="L202" s="86">
        <f t="shared" si="209"/>
        <v>31</v>
      </c>
      <c r="M202" s="86">
        <f t="shared" si="209"/>
        <v>32</v>
      </c>
    </row>
    <row r="203" ht="15.75" customHeight="1">
      <c r="A203" s="137"/>
      <c r="B203" s="137"/>
      <c r="C203" s="138"/>
      <c r="D203" s="139">
        <f>H176+1</f>
        <v>33</v>
      </c>
      <c r="E203" s="139">
        <f t="shared" ref="E203:H203" si="210">D203+1</f>
        <v>34</v>
      </c>
      <c r="F203" s="139">
        <f t="shared" si="210"/>
        <v>35</v>
      </c>
      <c r="G203" s="139">
        <f t="shared" si="210"/>
        <v>36</v>
      </c>
      <c r="H203" s="139">
        <f t="shared" si="210"/>
        <v>37</v>
      </c>
      <c r="I203" s="55">
        <f t="shared" ref="I203:M203" si="211">D203</f>
        <v>33</v>
      </c>
      <c r="J203" s="55">
        <f t="shared" si="211"/>
        <v>34</v>
      </c>
      <c r="K203" s="55">
        <f t="shared" si="211"/>
        <v>35</v>
      </c>
      <c r="L203" s="55">
        <f t="shared" si="211"/>
        <v>36</v>
      </c>
      <c r="M203" s="55">
        <f t="shared" si="211"/>
        <v>37</v>
      </c>
    </row>
    <row r="204" ht="15.75" customHeight="1">
      <c r="A204" s="69">
        <f>B204+1</f>
        <v>81</v>
      </c>
      <c r="B204" s="69">
        <f t="shared" ref="B204:B211" si="213">$C$204*10</f>
        <v>80</v>
      </c>
      <c r="C204" s="71">
        <f>C177+1</f>
        <v>8</v>
      </c>
      <c r="D204" s="72">
        <f>D177+7</f>
        <v>46314</v>
      </c>
      <c r="E204" s="72">
        <f t="shared" ref="E204:H204" si="212">D204+1</f>
        <v>46315</v>
      </c>
      <c r="F204" s="72">
        <f t="shared" si="212"/>
        <v>46316</v>
      </c>
      <c r="G204" s="72">
        <f t="shared" si="212"/>
        <v>46317</v>
      </c>
      <c r="H204" s="72">
        <f t="shared" si="212"/>
        <v>46318</v>
      </c>
      <c r="I204" s="62" t="s">
        <v>42</v>
      </c>
    </row>
    <row r="205" ht="15.75" customHeight="1">
      <c r="A205" s="75">
        <f>B205+2</f>
        <v>82</v>
      </c>
      <c r="B205" s="75">
        <f t="shared" si="213"/>
        <v>80</v>
      </c>
      <c r="C205" s="76"/>
      <c r="D205" s="131" t="str">
        <f>if(isblank(I205),"",vlookup(I205,Pacing!$A$1:$Z$213,2))</f>
        <v>2.5: Vel Vectors</v>
      </c>
      <c r="E205" s="131" t="str">
        <f>if(isblank(J205),"",vlookup(J205,Pacing!$A$1:$Z$213,2))</f>
        <v>2.5: Vel Vectors</v>
      </c>
      <c r="F205" s="131" t="str">
        <f>if(isblank(K205),"",vlookup(K205,Pacing!$A$1:$Z$213,2))</f>
        <v>2.5: Vel Vectors</v>
      </c>
      <c r="G205" s="131" t="str">
        <f>if(isblank(L205),"",vlookup(L205,Pacing!$A$1:$Z$213,2))</f>
        <v>Unit 2 Sum Ass</v>
      </c>
      <c r="H205" s="131" t="str">
        <f>if(isblank(M205),"",vlookup(M205,Pacing!$A$1:$Z$213,2))</f>
        <v>3.1: Force &amp; Accel</v>
      </c>
      <c r="I205" s="78">
        <f t="shared" ref="I205:M205" si="214">I203</f>
        <v>33</v>
      </c>
      <c r="J205" s="78">
        <f t="shared" si="214"/>
        <v>34</v>
      </c>
      <c r="K205" s="78">
        <f t="shared" si="214"/>
        <v>35</v>
      </c>
      <c r="L205" s="78">
        <f t="shared" si="214"/>
        <v>36</v>
      </c>
      <c r="M205" s="78">
        <f t="shared" si="214"/>
        <v>37</v>
      </c>
    </row>
    <row r="206" ht="15.75" customHeight="1">
      <c r="A206" s="69">
        <f>B206+3</f>
        <v>83</v>
      </c>
      <c r="B206" s="69">
        <f t="shared" si="213"/>
        <v>80</v>
      </c>
      <c r="C206" s="76"/>
      <c r="D206" s="81" t="str">
        <f>if(isblank(I206),"",vlookup(I206,Pacing!$A$1:$Z$213,3))</f>
        <v>Warm Up</v>
      </c>
      <c r="E206" s="81" t="str">
        <f>if(isblank(J206),"",vlookup(J206,Pacing!$A$1:$Z$213,3))</f>
        <v>Warm Up</v>
      </c>
      <c r="F206" s="81" t="str">
        <f>if(isblank(K206),"",vlookup(K206,Pacing!$A$1:$Z$213,3))</f>
        <v>Warm Up</v>
      </c>
      <c r="G206" s="89" t="str">
        <f>if(isblank(L206),"",vlookup(L206,Pacing!$A$1:$Z$213,3))</f>
        <v/>
      </c>
      <c r="H206" s="81" t="str">
        <f>if(isblank(M206),"",vlookup(M206,Pacing!$A$1:$Z$213,3))</f>
        <v>Warm Up</v>
      </c>
      <c r="I206" s="86">
        <f t="shared" ref="I206:M206" si="215">I205</f>
        <v>33</v>
      </c>
      <c r="J206" s="86">
        <f t="shared" si="215"/>
        <v>34</v>
      </c>
      <c r="K206" s="86">
        <f t="shared" si="215"/>
        <v>35</v>
      </c>
      <c r="L206" s="86">
        <f t="shared" si="215"/>
        <v>36</v>
      </c>
      <c r="M206" s="86">
        <f t="shared" si="215"/>
        <v>37</v>
      </c>
    </row>
    <row r="207" ht="15.75" customHeight="1">
      <c r="A207" s="69">
        <f>B207+4</f>
        <v>84</v>
      </c>
      <c r="B207" s="69">
        <f t="shared" si="213"/>
        <v>80</v>
      </c>
      <c r="C207" s="76"/>
      <c r="D207" s="81" t="str">
        <f>if(isblank(I207),"",vlookup(I207,Pacing!$A$1:$Z$213,4))</f>
        <v>Demo</v>
      </c>
      <c r="E207" s="81" t="str">
        <f>if(isblank(J207),"",vlookup(J207,Pacing!$A$1:$Z$213,4))</f>
        <v>Demo</v>
      </c>
      <c r="F207" s="81" t="str">
        <f>if(isblank(K207),"",vlookup(K207,Pacing!$A$1:$Z$213,4))</f>
        <v>Demo</v>
      </c>
      <c r="G207" s="89" t="str">
        <f>if(isblank(L207),"",vlookup(L207,Pacing!$A$1:$Z$213,4))</f>
        <v/>
      </c>
      <c r="H207" s="81" t="str">
        <f>if(isblank(M207),"",vlookup(M207,Pacing!$A$1:$Z$213,4))</f>
        <v>Demo</v>
      </c>
      <c r="I207" s="86">
        <f t="shared" ref="I207:M207" si="216">I206</f>
        <v>33</v>
      </c>
      <c r="J207" s="86">
        <f t="shared" si="216"/>
        <v>34</v>
      </c>
      <c r="K207" s="86">
        <f t="shared" si="216"/>
        <v>35</v>
      </c>
      <c r="L207" s="86">
        <f t="shared" si="216"/>
        <v>36</v>
      </c>
      <c r="M207" s="86">
        <f t="shared" si="216"/>
        <v>37</v>
      </c>
    </row>
    <row r="208" ht="15.75" customHeight="1">
      <c r="A208" s="69">
        <f>B208+5</f>
        <v>85</v>
      </c>
      <c r="B208" s="69">
        <f t="shared" si="213"/>
        <v>80</v>
      </c>
      <c r="C208" s="76"/>
      <c r="D208" s="81" t="str">
        <f>if(isblank(I208),"",vlookup(I208,Pacing!$A$1:$Z$213,5))</f>
        <v>Notes</v>
      </c>
      <c r="E208" s="81" t="str">
        <f>if(isblank(J208),"",vlookup(J208,Pacing!$A$1:$Z$213,5))</f>
        <v>Notes</v>
      </c>
      <c r="F208" s="81" t="str">
        <f>if(isblank(K208),"",vlookup(K208,Pacing!$A$1:$Z$213,5))</f>
        <v>Notes</v>
      </c>
      <c r="G208" s="89" t="str">
        <f>if(isblank(L208),"",vlookup(L208,Pacing!$A$1:$Z$213,5))</f>
        <v/>
      </c>
      <c r="H208" s="81" t="str">
        <f>if(isblank(M208),"",vlookup(M208,Pacing!$A$1:$Z$213,5))</f>
        <v>Notes</v>
      </c>
      <c r="I208" s="86">
        <f t="shared" ref="I208:M208" si="217">I207</f>
        <v>33</v>
      </c>
      <c r="J208" s="86">
        <f t="shared" si="217"/>
        <v>34</v>
      </c>
      <c r="K208" s="86">
        <f t="shared" si="217"/>
        <v>35</v>
      </c>
      <c r="L208" s="86">
        <f t="shared" si="217"/>
        <v>36</v>
      </c>
      <c r="M208" s="86">
        <f t="shared" si="217"/>
        <v>37</v>
      </c>
    </row>
    <row r="209" ht="15.75" customHeight="1">
      <c r="A209" s="69">
        <f>B209+6</f>
        <v>86</v>
      </c>
      <c r="B209" s="69">
        <f t="shared" si="213"/>
        <v>80</v>
      </c>
      <c r="C209" s="76"/>
      <c r="D209" s="81" t="str">
        <f>if(isblank(I209),"",vlookup(I209,Pacing!$A$1:$Z$213,6))</f>
        <v>Investigation</v>
      </c>
      <c r="E209" s="81" t="str">
        <f>if(isblank(J209),"",vlookup(J209,Pacing!$A$1:$Z$213,6))</f>
        <v>Investigation</v>
      </c>
      <c r="F209" s="81" t="str">
        <f>if(isblank(K209),"",vlookup(K209,Pacing!$A$1:$Z$213,6))</f>
        <v>Investigation</v>
      </c>
      <c r="G209" s="89" t="str">
        <f>if(isblank(L209),"",vlookup(L209,Pacing!$A$1:$Z$213,6))</f>
        <v/>
      </c>
      <c r="H209" s="81" t="str">
        <f>if(isblank(M209),"",vlookup(M209,Pacing!$A$1:$Z$213,6))</f>
        <v>Investigation</v>
      </c>
      <c r="I209" s="86">
        <f t="shared" ref="I209:M209" si="218">I208</f>
        <v>33</v>
      </c>
      <c r="J209" s="86">
        <f t="shared" si="218"/>
        <v>34</v>
      </c>
      <c r="K209" s="86">
        <f t="shared" si="218"/>
        <v>35</v>
      </c>
      <c r="L209" s="86">
        <f t="shared" si="218"/>
        <v>36</v>
      </c>
      <c r="M209" s="86">
        <f t="shared" si="218"/>
        <v>37</v>
      </c>
    </row>
    <row r="210" ht="15.75" customHeight="1">
      <c r="A210" s="69">
        <f>B210+7</f>
        <v>87</v>
      </c>
      <c r="B210" s="69">
        <f t="shared" si="213"/>
        <v>80</v>
      </c>
      <c r="C210" s="76"/>
      <c r="D210" s="81" t="str">
        <f>if(isblank(I210),"",vlookup(I210,Pacing!$A$1:$Z$213,7))</f>
        <v>Activity</v>
      </c>
      <c r="E210" s="81" t="str">
        <f>if(isblank(J210),"",vlookup(J210,Pacing!$A$1:$Z$213,7))</f>
        <v>Activity</v>
      </c>
      <c r="F210" s="81" t="str">
        <f>if(isblank(K210),"",vlookup(K210,Pacing!$A$1:$Z$213,7))</f>
        <v>Activity</v>
      </c>
      <c r="G210" s="89" t="str">
        <f>if(isblank(L210),"",vlookup(L210,Pacing!$A$1:$Z$213,7))</f>
        <v/>
      </c>
      <c r="H210" s="81" t="str">
        <f>if(isblank(M210),"",vlookup(M210,Pacing!$A$1:$Z$213,7))</f>
        <v>Activity</v>
      </c>
      <c r="I210" s="86">
        <f t="shared" ref="I210:M210" si="219">I209</f>
        <v>33</v>
      </c>
      <c r="J210" s="86">
        <f t="shared" si="219"/>
        <v>34</v>
      </c>
      <c r="K210" s="86">
        <f t="shared" si="219"/>
        <v>35</v>
      </c>
      <c r="L210" s="86">
        <f t="shared" si="219"/>
        <v>36</v>
      </c>
      <c r="M210" s="86">
        <f t="shared" si="219"/>
        <v>37</v>
      </c>
    </row>
    <row r="211" ht="15.75" customHeight="1">
      <c r="A211" s="69">
        <f>B211+8</f>
        <v>88</v>
      </c>
      <c r="B211" s="69">
        <f t="shared" si="213"/>
        <v>80</v>
      </c>
      <c r="C211" s="95"/>
      <c r="D211" s="81" t="str">
        <f>if(isblank(I211),"",vlookup(I211,Pacing!$A$1:$Z$213,8))</f>
        <v>Practice Set</v>
      </c>
      <c r="E211" s="81" t="str">
        <f>if(isblank(J211),"",vlookup(J211,Pacing!$A$1:$Z$213,8))</f>
        <v>Practice Set</v>
      </c>
      <c r="F211" s="81" t="str">
        <f>if(isblank(K211),"",vlookup(K211,Pacing!$A$1:$Z$213,8))</f>
        <v>Practice Set</v>
      </c>
      <c r="G211" s="89" t="str">
        <f>if(isblank(L211),"",vlookup(L211,Pacing!$A$1:$Z$213,8))</f>
        <v/>
      </c>
      <c r="H211" s="81" t="str">
        <f>if(isblank(M211),"",vlookup(M211,Pacing!$A$1:$Z$213,8))</f>
        <v>Practice Set</v>
      </c>
      <c r="I211" s="86">
        <f t="shared" ref="I211:M211" si="220">I210</f>
        <v>33</v>
      </c>
      <c r="J211" s="86">
        <f t="shared" si="220"/>
        <v>34</v>
      </c>
      <c r="K211" s="86">
        <f t="shared" si="220"/>
        <v>35</v>
      </c>
      <c r="L211" s="86">
        <f t="shared" si="220"/>
        <v>36</v>
      </c>
      <c r="M211" s="86">
        <f t="shared" si="220"/>
        <v>37</v>
      </c>
    </row>
    <row r="212" ht="15.75" customHeight="1">
      <c r="A212" s="69"/>
      <c r="B212" s="69"/>
      <c r="C212" s="71"/>
      <c r="D212" s="81" t="str">
        <f>if(isblank(I212),"",vlookup(I212,Pacing!$A$1:$Z$213,9))</f>
        <v>Extra Practice</v>
      </c>
      <c r="E212" s="81" t="str">
        <f>if(isblank(J212),"",vlookup(J212,Pacing!$A$1:$Z$213,9))</f>
        <v>Extra Practice</v>
      </c>
      <c r="F212" s="81" t="str">
        <f>if(isblank(K212),"",vlookup(K212,Pacing!$A$1:$Z$213,9))</f>
        <v>Extra Practice</v>
      </c>
      <c r="G212" s="89" t="str">
        <f>if(isblank(L212),"",vlookup(L212,Pacing!$A$1:$Z$213,9))</f>
        <v/>
      </c>
      <c r="H212" s="81" t="str">
        <f>if(isblank(M212),"",vlookup(M212,Pacing!$A$1:$Z$213,9))</f>
        <v>Extra Practice</v>
      </c>
      <c r="I212" s="86">
        <f t="shared" ref="I212:M212" si="221">I211</f>
        <v>33</v>
      </c>
      <c r="J212" s="86">
        <f t="shared" si="221"/>
        <v>34</v>
      </c>
      <c r="K212" s="86">
        <f t="shared" si="221"/>
        <v>35</v>
      </c>
      <c r="L212" s="86">
        <f t="shared" si="221"/>
        <v>36</v>
      </c>
      <c r="M212" s="86">
        <f t="shared" si="221"/>
        <v>37</v>
      </c>
    </row>
    <row r="213" ht="15.75" customHeight="1">
      <c r="A213" s="69"/>
      <c r="B213" s="69"/>
      <c r="C213" s="71"/>
      <c r="D213" s="81" t="str">
        <f>if(isblank(I213),"",vlookup(I213,Pacing!$A$1:$Z$213,10))</f>
        <v>CYU</v>
      </c>
      <c r="E213" s="81" t="str">
        <f>if(isblank(J213),"",vlookup(J213,Pacing!$A$1:$Z$213,10))</f>
        <v>CYU</v>
      </c>
      <c r="F213" s="81" t="str">
        <f>if(isblank(K213),"",vlookup(K213,Pacing!$A$1:$Z$213,10))</f>
        <v>CYU</v>
      </c>
      <c r="G213" s="89" t="str">
        <f>if(isblank(L213),"",vlookup(L213,Pacing!$A$1:$Z$213,10))</f>
        <v/>
      </c>
      <c r="H213" s="81" t="str">
        <f>if(isblank(M213),"",vlookup(M213,Pacing!$A$1:$Z$213,10))</f>
        <v>CYU</v>
      </c>
      <c r="I213" s="86">
        <f t="shared" ref="I213:M213" si="222">I212</f>
        <v>33</v>
      </c>
      <c r="J213" s="86">
        <f t="shared" si="222"/>
        <v>34</v>
      </c>
      <c r="K213" s="86">
        <f t="shared" si="222"/>
        <v>35</v>
      </c>
      <c r="L213" s="86">
        <f t="shared" si="222"/>
        <v>36</v>
      </c>
      <c r="M213" s="86">
        <f t="shared" si="222"/>
        <v>37</v>
      </c>
    </row>
    <row r="214" ht="15.75" customHeight="1">
      <c r="A214" s="69"/>
      <c r="B214" s="69"/>
      <c r="C214" s="71"/>
      <c r="D214" s="81" t="str">
        <f>if(isblank(I214),"",vlookup(I214,Pacing!$A$1:$Z$213,11))</f>
        <v>Progress</v>
      </c>
      <c r="E214" s="81" t="str">
        <f>if(isblank(J214),"",vlookup(J214,Pacing!$A$1:$Z$213,11))</f>
        <v>Progress</v>
      </c>
      <c r="F214" s="81" t="str">
        <f>if(isblank(K214),"",vlookup(K214,Pacing!$A$1:$Z$213,11))</f>
        <v>Progress</v>
      </c>
      <c r="G214" s="89" t="str">
        <f>if(isblank(L214),"",vlookup(L214,Pacing!$A$1:$Z$213,11))</f>
        <v/>
      </c>
      <c r="H214" s="81" t="str">
        <f>if(isblank(M214),"",vlookup(M214,Pacing!$A$1:$Z$213,11))</f>
        <v>Progress</v>
      </c>
      <c r="I214" s="86">
        <f t="shared" ref="I214:M214" si="223">I213</f>
        <v>33</v>
      </c>
      <c r="J214" s="86">
        <f t="shared" si="223"/>
        <v>34</v>
      </c>
      <c r="K214" s="86">
        <f t="shared" si="223"/>
        <v>35</v>
      </c>
      <c r="L214" s="86">
        <f t="shared" si="223"/>
        <v>36</v>
      </c>
      <c r="M214" s="86">
        <f t="shared" si="223"/>
        <v>37</v>
      </c>
    </row>
    <row r="215" ht="15.75" customHeight="1">
      <c r="A215" s="69"/>
      <c r="B215" s="69"/>
      <c r="C215" s="71"/>
      <c r="D215" s="81" t="str">
        <f>if(isblank(I215),"",vlookup(I215,Pacing!$A$1:$Z$213,12))</f>
        <v>Review</v>
      </c>
      <c r="E215" s="81" t="str">
        <f>if(isblank(J215),"",vlookup(J215,Pacing!$A$1:$Z$213,12))</f>
        <v>Review</v>
      </c>
      <c r="F215" s="81" t="str">
        <f>if(isblank(K215),"",vlookup(K215,Pacing!$A$1:$Z$213,12))</f>
        <v>Review</v>
      </c>
      <c r="G215" s="91" t="str">
        <f>if(isblank(L215),"",vlookup(L215,Pacing!$A$1:$Z$213,12))</f>
        <v/>
      </c>
      <c r="H215" s="81" t="str">
        <f>if(isblank(M215),"",vlookup(M215,Pacing!$A$1:$Z$213,12))</f>
        <v>Review</v>
      </c>
      <c r="I215" s="86">
        <f t="shared" ref="I215:M215" si="224">I214</f>
        <v>33</v>
      </c>
      <c r="J215" s="86">
        <f t="shared" si="224"/>
        <v>34</v>
      </c>
      <c r="K215" s="86">
        <f t="shared" si="224"/>
        <v>35</v>
      </c>
      <c r="L215" s="86">
        <f t="shared" si="224"/>
        <v>36</v>
      </c>
      <c r="M215" s="86">
        <f t="shared" si="224"/>
        <v>37</v>
      </c>
    </row>
    <row r="216" ht="15.75" customHeight="1">
      <c r="A216" s="69"/>
      <c r="B216" s="69"/>
      <c r="C216" s="71"/>
      <c r="D216" s="91" t="str">
        <f>if(isblank(I216),"",vlookup(I216,Pacing!$A$1:$Z$213,13))</f>
        <v/>
      </c>
      <c r="E216" s="91" t="str">
        <f>if(isblank(J216),"",vlookup(J216,Pacing!$A$1:$Z$213,13))</f>
        <v/>
      </c>
      <c r="F216" s="91" t="str">
        <f>if(isblank(K216),"",vlookup(K216,Pacing!$A$1:$Z$213,13))</f>
        <v/>
      </c>
      <c r="G216" s="91" t="str">
        <f>if(isblank(L216),"",vlookup(L216,Pacing!$A$1:$Z$213,13))</f>
        <v/>
      </c>
      <c r="H216" s="91" t="str">
        <f>if(isblank(M216),"",vlookup(M216,Pacing!$A$1:$Z$213,13))</f>
        <v/>
      </c>
      <c r="I216" s="86">
        <f t="shared" ref="I216:M216" si="225">I215</f>
        <v>33</v>
      </c>
      <c r="J216" s="86">
        <f t="shared" si="225"/>
        <v>34</v>
      </c>
      <c r="K216" s="86">
        <f t="shared" si="225"/>
        <v>35</v>
      </c>
      <c r="L216" s="86">
        <f t="shared" si="225"/>
        <v>36</v>
      </c>
      <c r="M216" s="86">
        <f t="shared" si="225"/>
        <v>37</v>
      </c>
    </row>
    <row r="217" ht="15.75" customHeight="1">
      <c r="A217" s="69"/>
      <c r="B217" s="69"/>
      <c r="C217" s="71"/>
      <c r="D217" s="81" t="str">
        <f>if(isblank(I217),"",vlookup(I217,Pacing!$A$1:$Z$213,14))</f>
        <v>Notes Teacher</v>
      </c>
      <c r="E217" s="81" t="str">
        <f>if(isblank(J217),"",vlookup(J217,Pacing!$A$1:$Z$213,14))</f>
        <v>Notes Teacher</v>
      </c>
      <c r="F217" s="81" t="str">
        <f>if(isblank(K217),"",vlookup(K217,Pacing!$A$1:$Z$213,14))</f>
        <v>Notes Teacher</v>
      </c>
      <c r="G217" s="81" t="str">
        <f>if(isblank(L217),"",vlookup(L217,Pacing!$A$1:$Z$213,14))</f>
        <v>Sum Assess</v>
      </c>
      <c r="H217" s="81" t="str">
        <f>if(isblank(M217),"",vlookup(M217,Pacing!$A$1:$Z$213,14))</f>
        <v>Notes Teacher</v>
      </c>
      <c r="I217" s="86">
        <f t="shared" ref="I217:M217" si="226">I216</f>
        <v>33</v>
      </c>
      <c r="J217" s="86">
        <f t="shared" si="226"/>
        <v>34</v>
      </c>
      <c r="K217" s="86">
        <f t="shared" si="226"/>
        <v>35</v>
      </c>
      <c r="L217" s="86">
        <f t="shared" si="226"/>
        <v>36</v>
      </c>
      <c r="M217" s="86">
        <f t="shared" si="226"/>
        <v>37</v>
      </c>
    </row>
    <row r="218" ht="15.75" customHeight="1">
      <c r="A218" s="69"/>
      <c r="B218" s="69"/>
      <c r="C218" s="71"/>
      <c r="D218" s="81" t="str">
        <f>if(isblank(I218),"",vlookup(I218,Pacing!$A$1:$Z$213,15))</f>
        <v>Demo Teacher</v>
      </c>
      <c r="E218" s="81" t="str">
        <f>if(isblank(J218),"",vlookup(J218,Pacing!$A$1:$Z$213,15))</f>
        <v>Demo Teacher</v>
      </c>
      <c r="F218" s="81" t="str">
        <f>if(isblank(K218),"",vlookup(K218,Pacing!$A$1:$Z$213,15))</f>
        <v>Demo Teacher</v>
      </c>
      <c r="G218" s="81" t="str">
        <f>if(isblank(L218),"",vlookup(L218,Pacing!$A$1:$Z$213,15))</f>
        <v>Bank</v>
      </c>
      <c r="H218" s="81" t="str">
        <f>if(isblank(M218),"",vlookup(M218,Pacing!$A$1:$Z$213,15))</f>
        <v>Demo Teacher</v>
      </c>
      <c r="I218" s="86">
        <f t="shared" ref="I218:M218" si="227">I217</f>
        <v>33</v>
      </c>
      <c r="J218" s="86">
        <f t="shared" si="227"/>
        <v>34</v>
      </c>
      <c r="K218" s="86">
        <f t="shared" si="227"/>
        <v>35</v>
      </c>
      <c r="L218" s="86">
        <f t="shared" si="227"/>
        <v>36</v>
      </c>
      <c r="M218" s="86">
        <f t="shared" si="227"/>
        <v>37</v>
      </c>
    </row>
    <row r="219" ht="15.75" customHeight="1">
      <c r="A219" s="69"/>
      <c r="B219" s="69"/>
      <c r="C219" s="71"/>
      <c r="D219" s="81" t="str">
        <f>if(isblank(I219),"",vlookup(I219,Pacing!$A$1:$Z$213,16))</f>
        <v>Invest Teacher</v>
      </c>
      <c r="E219" s="81" t="str">
        <f>if(isblank(J219),"",vlookup(J219,Pacing!$A$1:$Z$213,16))</f>
        <v>Invest Teacher</v>
      </c>
      <c r="F219" s="81" t="str">
        <f>if(isblank(K219),"",vlookup(K219,Pacing!$A$1:$Z$213,16))</f>
        <v>Invest Teacher</v>
      </c>
      <c r="G219" s="81" t="str">
        <f>if(isblank(L219),"",vlookup(L219,Pacing!$A$1:$Z$213,16))</f>
        <v>Assess Plan</v>
      </c>
      <c r="H219" s="81" t="str">
        <f>if(isblank(M219),"",vlookup(M219,Pacing!$A$1:$Z$213,16))</f>
        <v>Invest Teacher</v>
      </c>
      <c r="I219" s="86">
        <f t="shared" ref="I219:M219" si="228">I218</f>
        <v>33</v>
      </c>
      <c r="J219" s="86">
        <f t="shared" si="228"/>
        <v>34</v>
      </c>
      <c r="K219" s="86">
        <f t="shared" si="228"/>
        <v>35</v>
      </c>
      <c r="L219" s="86">
        <f t="shared" si="228"/>
        <v>36</v>
      </c>
      <c r="M219" s="86">
        <f t="shared" si="228"/>
        <v>37</v>
      </c>
    </row>
    <row r="220" ht="15.75" customHeight="1">
      <c r="A220" s="69"/>
      <c r="B220" s="69"/>
      <c r="C220" s="71"/>
      <c r="D220" s="81" t="str">
        <f>if(isblank(I220),"",vlookup(I220,Pacing!$A$1:$Z$213,17))</f>
        <v>PT Teacher</v>
      </c>
      <c r="E220" s="81" t="str">
        <f>if(isblank(J220),"",vlookup(J220,Pacing!$A$1:$Z$213,17))</f>
        <v>PT Teacher</v>
      </c>
      <c r="F220" s="81" t="str">
        <f>if(isblank(K220),"",vlookup(K220,Pacing!$A$1:$Z$213,17))</f>
        <v>PT Teacher</v>
      </c>
      <c r="G220" s="89" t="str">
        <f>if(isblank(L220),"",vlookup(L220,Pacing!$A$1:$Z$213,17))</f>
        <v/>
      </c>
      <c r="H220" s="81" t="str">
        <f>if(isblank(M220),"",vlookup(M220,Pacing!$A$1:$Z$213,17))</f>
        <v>PT Teacher</v>
      </c>
      <c r="I220" s="86">
        <f t="shared" ref="I220:M220" si="229">I219</f>
        <v>33</v>
      </c>
      <c r="J220" s="86">
        <f t="shared" si="229"/>
        <v>34</v>
      </c>
      <c r="K220" s="86">
        <f t="shared" si="229"/>
        <v>35</v>
      </c>
      <c r="L220" s="86">
        <f t="shared" si="229"/>
        <v>36</v>
      </c>
      <c r="M220" s="86">
        <f t="shared" si="229"/>
        <v>37</v>
      </c>
    </row>
    <row r="221" ht="15.75" customHeight="1">
      <c r="A221" s="69"/>
      <c r="B221" s="69"/>
      <c r="C221" s="71"/>
      <c r="D221" s="81" t="str">
        <f>if(isblank(I221),"",vlookup(I221,Pacing!$A$1:$Z$213,18))</f>
        <v>Assess Plan</v>
      </c>
      <c r="E221" s="81" t="str">
        <f>if(isblank(J221),"",vlookup(J221,Pacing!$A$1:$Z$213,18))</f>
        <v>Assess Plan</v>
      </c>
      <c r="F221" s="81" t="str">
        <f>if(isblank(K221),"",vlookup(K221,Pacing!$A$1:$Z$213,18))</f>
        <v>Assess Plan</v>
      </c>
      <c r="G221" s="81" t="str">
        <f>if(isblank(L221),"",vlookup(L221,Pacing!$A$1:$Z$213,18))</f>
        <v/>
      </c>
      <c r="H221" s="81" t="str">
        <f>if(isblank(M221),"",vlookup(M221,Pacing!$A$1:$Z$213,18))</f>
        <v>Assess Plan</v>
      </c>
      <c r="I221" s="86">
        <f t="shared" ref="I221:M221" si="230">I220</f>
        <v>33</v>
      </c>
      <c r="J221" s="86">
        <f t="shared" si="230"/>
        <v>34</v>
      </c>
      <c r="K221" s="86">
        <f t="shared" si="230"/>
        <v>35</v>
      </c>
      <c r="L221" s="86">
        <f t="shared" si="230"/>
        <v>36</v>
      </c>
      <c r="M221" s="86">
        <f t="shared" si="230"/>
        <v>37</v>
      </c>
    </row>
    <row r="222" ht="15.75" customHeight="1">
      <c r="A222" s="69"/>
      <c r="B222" s="69"/>
      <c r="C222" s="71"/>
      <c r="D222" s="81" t="str">
        <f>if(isblank(I222),"",vlookup(I222,Pacing!$A$1:$Z$213,19))</f>
        <v>Perform Task</v>
      </c>
      <c r="E222" s="81" t="str">
        <f>if(isblank(J222),"",vlookup(J222,Pacing!$A$1:$Z$213,19))</f>
        <v>Perform Task</v>
      </c>
      <c r="F222" s="81" t="str">
        <f>if(isblank(K222),"",vlookup(K222,Pacing!$A$1:$Z$213,19))</f>
        <v>Perform Task</v>
      </c>
      <c r="G222" s="89" t="str">
        <f>if(isblank(L222),"",vlookup(L222,Pacing!$A$1:$Z$213,19))</f>
        <v/>
      </c>
      <c r="H222" s="81" t="str">
        <f>if(isblank(M222),"",vlookup(M222,Pacing!$A$1:$Z$213,19))</f>
        <v>Perform Task</v>
      </c>
      <c r="I222" s="86">
        <f t="shared" ref="I222:M222" si="231">I221</f>
        <v>33</v>
      </c>
      <c r="J222" s="86">
        <f t="shared" si="231"/>
        <v>34</v>
      </c>
      <c r="K222" s="86">
        <f t="shared" si="231"/>
        <v>35</v>
      </c>
      <c r="L222" s="86">
        <f t="shared" si="231"/>
        <v>36</v>
      </c>
      <c r="M222" s="86">
        <f t="shared" si="231"/>
        <v>37</v>
      </c>
    </row>
    <row r="223" ht="15.75" customHeight="1">
      <c r="A223" s="69"/>
      <c r="B223" s="69"/>
      <c r="C223" s="71"/>
      <c r="D223" s="81" t="str">
        <f>if(isblank(I223),"",vlookup(I223,Pacing!$A$1:$Z$213,20))</f>
        <v>Quick Check</v>
      </c>
      <c r="E223" s="81" t="str">
        <f>if(isblank(J223),"",vlookup(J223,Pacing!$A$1:$Z$213,20))</f>
        <v>Quick Check</v>
      </c>
      <c r="F223" s="81" t="str">
        <f>if(isblank(K223),"",vlookup(K223,Pacing!$A$1:$Z$213,20))</f>
        <v>Quick Check</v>
      </c>
      <c r="G223" s="89" t="str">
        <f>if(isblank(L223),"",vlookup(L223,Pacing!$A$1:$Z$213,20))</f>
        <v/>
      </c>
      <c r="H223" s="81" t="str">
        <f>if(isblank(M223),"",vlookup(M223,Pacing!$A$1:$Z$213,20))</f>
        <v>Quick Check</v>
      </c>
      <c r="I223" s="86">
        <f t="shared" ref="I223:M223" si="232">I222</f>
        <v>33</v>
      </c>
      <c r="J223" s="86">
        <f t="shared" si="232"/>
        <v>34</v>
      </c>
      <c r="K223" s="86">
        <f t="shared" si="232"/>
        <v>35</v>
      </c>
      <c r="L223" s="86">
        <f t="shared" si="232"/>
        <v>36</v>
      </c>
      <c r="M223" s="86">
        <f t="shared" si="232"/>
        <v>37</v>
      </c>
    </row>
    <row r="224" ht="15.75" customHeight="1">
      <c r="A224" s="69"/>
      <c r="B224" s="69"/>
      <c r="C224" s="71"/>
      <c r="D224" s="81" t="str">
        <f>if(isblank(I224),"",vlookup(I224,Pacing!$A$1:$Z$213,21))</f>
        <v>Exit Ticket</v>
      </c>
      <c r="E224" s="81" t="str">
        <f>if(isblank(J224),"",vlookup(J224,Pacing!$A$1:$Z$213,21))</f>
        <v>Exit Ticket</v>
      </c>
      <c r="F224" s="81" t="str">
        <f>if(isblank(K224),"",vlookup(K224,Pacing!$A$1:$Z$213,21))</f>
        <v>Exit Ticket</v>
      </c>
      <c r="G224" s="81" t="str">
        <f>if(isblank(L224),"",vlookup(L224,Pacing!$A$1:$Z$213,21))</f>
        <v/>
      </c>
      <c r="H224" s="81" t="str">
        <f>if(isblank(M224),"",vlookup(M224,Pacing!$A$1:$Z$213,21))</f>
        <v>Exit Ticket</v>
      </c>
      <c r="I224" s="86">
        <f t="shared" ref="I224:M224" si="233">I223</f>
        <v>33</v>
      </c>
      <c r="J224" s="86">
        <f t="shared" si="233"/>
        <v>34</v>
      </c>
      <c r="K224" s="86">
        <f t="shared" si="233"/>
        <v>35</v>
      </c>
      <c r="L224" s="86">
        <f t="shared" si="233"/>
        <v>36</v>
      </c>
      <c r="M224" s="86">
        <f t="shared" si="233"/>
        <v>37</v>
      </c>
    </row>
    <row r="225" ht="15.75" customHeight="1">
      <c r="A225" s="69"/>
      <c r="B225" s="69"/>
      <c r="C225" s="71"/>
      <c r="D225" s="81" t="str">
        <f>if(isblank(I225),"",vlookup(I225,Pacing!$A$1:$Z$213,22))</f>
        <v>Practice 2</v>
      </c>
      <c r="E225" s="81" t="str">
        <f>if(isblank(J225),"",vlookup(J225,Pacing!$A$1:$Z$213,22))</f>
        <v>Practice 2</v>
      </c>
      <c r="F225" s="81" t="str">
        <f>if(isblank(K225),"",vlookup(K225,Pacing!$A$1:$Z$213,22))</f>
        <v>Practice 2</v>
      </c>
      <c r="G225" s="91" t="str">
        <f>if(isblank(L225),"",vlookup(L225,Pacing!$A$1:$Z$213,22))</f>
        <v/>
      </c>
      <c r="H225" s="81" t="str">
        <f>if(isblank(M225),"",vlookup(M225,Pacing!$A$1:$Z$213,22))</f>
        <v>Practice 2</v>
      </c>
      <c r="I225" s="86">
        <f t="shared" ref="I225:M225" si="234">I224</f>
        <v>33</v>
      </c>
      <c r="J225" s="86">
        <f t="shared" si="234"/>
        <v>34</v>
      </c>
      <c r="K225" s="86">
        <f t="shared" si="234"/>
        <v>35</v>
      </c>
      <c r="L225" s="86">
        <f t="shared" si="234"/>
        <v>36</v>
      </c>
      <c r="M225" s="86">
        <f t="shared" si="234"/>
        <v>37</v>
      </c>
    </row>
    <row r="226" ht="15.75" customHeight="1">
      <c r="A226" s="69"/>
      <c r="B226" s="69"/>
      <c r="C226" s="71"/>
      <c r="D226" s="81" t="str">
        <f>if(isblank(I226),"",vlookup(I226,Pacing!$A$1:$Z$213,23))</f>
        <v>Practice 3</v>
      </c>
      <c r="E226" s="81" t="str">
        <f>if(isblank(J226),"",vlookup(J226,Pacing!$A$1:$Z$213,23))</f>
        <v>Practice 3</v>
      </c>
      <c r="F226" s="81" t="str">
        <f>if(isblank(K226),"",vlookup(K226,Pacing!$A$1:$Z$213,23))</f>
        <v>Practice 3</v>
      </c>
      <c r="G226" s="89" t="str">
        <f>if(isblank(L226),"",vlookup(L226,Pacing!$A$1:$Z$213,23))</f>
        <v/>
      </c>
      <c r="H226" s="81" t="str">
        <f>if(isblank(M226),"",vlookup(M226,Pacing!$A$1:$Z$213,23))</f>
        <v>Practice 3</v>
      </c>
      <c r="I226" s="86">
        <f t="shared" ref="I226:M226" si="235">I225</f>
        <v>33</v>
      </c>
      <c r="J226" s="86">
        <f t="shared" si="235"/>
        <v>34</v>
      </c>
      <c r="K226" s="86">
        <f t="shared" si="235"/>
        <v>35</v>
      </c>
      <c r="L226" s="86">
        <f t="shared" si="235"/>
        <v>36</v>
      </c>
      <c r="M226" s="86">
        <f t="shared" si="235"/>
        <v>37</v>
      </c>
    </row>
    <row r="227" ht="15.75" customHeight="1">
      <c r="A227" s="69"/>
      <c r="B227" s="69"/>
      <c r="C227" s="71"/>
      <c r="D227" s="81" t="str">
        <f>if(isblank(I227),"",vlookup(I227,Pacing!$A$1:$Z$213,24))</f>
        <v>Sum Assess</v>
      </c>
      <c r="E227" s="81" t="str">
        <f>if(isblank(J227),"",vlookup(J227,Pacing!$A$1:$Z$213,24))</f>
        <v>Sum Assess</v>
      </c>
      <c r="F227" s="81" t="str">
        <f>if(isblank(K227),"",vlookup(K227,Pacing!$A$1:$Z$213,24))</f>
        <v>Sum Assess</v>
      </c>
      <c r="G227" s="81" t="str">
        <f>if(isblank(L227),"",vlookup(L227,Pacing!$A$1:$Z$213,24))</f>
        <v/>
      </c>
      <c r="H227" s="81" t="str">
        <f>if(isblank(M227),"",vlookup(M227,Pacing!$A$1:$Z$213,24))</f>
        <v>Sum Assess</v>
      </c>
      <c r="I227" s="86">
        <f t="shared" ref="I227:M227" si="236">I226</f>
        <v>33</v>
      </c>
      <c r="J227" s="86">
        <f t="shared" si="236"/>
        <v>34</v>
      </c>
      <c r="K227" s="86">
        <f t="shared" si="236"/>
        <v>35</v>
      </c>
      <c r="L227" s="86">
        <f t="shared" si="236"/>
        <v>36</v>
      </c>
      <c r="M227" s="86">
        <f t="shared" si="236"/>
        <v>37</v>
      </c>
    </row>
    <row r="228" ht="15.75" customHeight="1">
      <c r="A228" s="69"/>
      <c r="B228" s="69"/>
      <c r="C228" s="71"/>
      <c r="D228" s="81" t="str">
        <f>if(isblank(I228),"",vlookup(I228,Pacing!$A$1:$Z$213,25))</f>
        <v>Bank</v>
      </c>
      <c r="E228" s="81" t="str">
        <f>if(isblank(J228),"",vlookup(J228,Pacing!$A$1:$Z$213,25))</f>
        <v>Bank</v>
      </c>
      <c r="F228" s="81" t="str">
        <f>if(isblank(K228),"",vlookup(K228,Pacing!$A$1:$Z$213,25))</f>
        <v>Bank</v>
      </c>
      <c r="G228" s="81" t="str">
        <f>if(isblank(L228),"",vlookup(L228,Pacing!$A$1:$Z$213,25))</f>
        <v/>
      </c>
      <c r="H228" s="81" t="str">
        <f>if(isblank(M228),"",vlookup(M228,Pacing!$A$1:$Z$213,25))</f>
        <v>Bank</v>
      </c>
      <c r="I228" s="86">
        <f t="shared" ref="I228:M228" si="237">I227</f>
        <v>33</v>
      </c>
      <c r="J228" s="86">
        <f t="shared" si="237"/>
        <v>34</v>
      </c>
      <c r="K228" s="86">
        <f t="shared" si="237"/>
        <v>35</v>
      </c>
      <c r="L228" s="86">
        <f t="shared" si="237"/>
        <v>36</v>
      </c>
      <c r="M228" s="86">
        <f t="shared" si="237"/>
        <v>37</v>
      </c>
    </row>
    <row r="229" ht="15.75" customHeight="1">
      <c r="A229" s="69"/>
      <c r="B229" s="69"/>
      <c r="C229" s="71"/>
      <c r="D229" s="91" t="str">
        <f>if(isblank(I229),"",vlookup(I229,Pacing!$A$1:$Z$213,26))</f>
        <v/>
      </c>
      <c r="E229" s="89" t="str">
        <f>if(isblank(J229),"",vlookup(J229,Pacing!$A$1:$Z$213,26))</f>
        <v/>
      </c>
      <c r="F229" s="89" t="str">
        <f>if(isblank(K229),"",vlookup(K229,Pacing!$A$1:$Z$213,26))</f>
        <v/>
      </c>
      <c r="G229" s="89" t="str">
        <f>if(isblank(L229),"",vlookup(L229,Pacing!$A$1:$Z$213,26))</f>
        <v/>
      </c>
      <c r="H229" s="89" t="str">
        <f>if(isblank(M229),"",vlookup(M229,Pacing!$A$1:$Z$213,26))</f>
        <v/>
      </c>
      <c r="I229" s="86">
        <f t="shared" ref="I229:M229" si="238">I228</f>
        <v>33</v>
      </c>
      <c r="J229" s="86">
        <f t="shared" si="238"/>
        <v>34</v>
      </c>
      <c r="K229" s="86">
        <f t="shared" si="238"/>
        <v>35</v>
      </c>
      <c r="L229" s="86">
        <f t="shared" si="238"/>
        <v>36</v>
      </c>
      <c r="M229" s="86">
        <f t="shared" si="238"/>
        <v>37</v>
      </c>
    </row>
    <row r="230" ht="15.75" customHeight="1">
      <c r="A230" s="137"/>
      <c r="B230" s="137"/>
      <c r="C230" s="138"/>
      <c r="D230" s="139">
        <f>H203+1</f>
        <v>38</v>
      </c>
      <c r="E230" s="139">
        <f t="shared" ref="E230:H230" si="239">D230+1</f>
        <v>39</v>
      </c>
      <c r="F230" s="139">
        <f t="shared" si="239"/>
        <v>40</v>
      </c>
      <c r="G230" s="139">
        <f t="shared" si="239"/>
        <v>41</v>
      </c>
      <c r="H230" s="139">
        <f t="shared" si="239"/>
        <v>42</v>
      </c>
      <c r="I230" s="55">
        <f t="shared" ref="I230:M230" si="240">D230</f>
        <v>38</v>
      </c>
      <c r="J230" s="55">
        <f t="shared" si="240"/>
        <v>39</v>
      </c>
      <c r="K230" s="55">
        <f t="shared" si="240"/>
        <v>40</v>
      </c>
      <c r="L230" s="55">
        <f t="shared" si="240"/>
        <v>41</v>
      </c>
      <c r="M230" s="55">
        <f t="shared" si="240"/>
        <v>42</v>
      </c>
    </row>
    <row r="231" ht="15.75" customHeight="1">
      <c r="A231" s="69">
        <f>B231+1</f>
        <v>91</v>
      </c>
      <c r="B231" s="69">
        <f t="shared" ref="B231:B238" si="242">$C$231*10</f>
        <v>90</v>
      </c>
      <c r="C231" s="71">
        <f>C204+1</f>
        <v>9</v>
      </c>
      <c r="D231" s="72">
        <f>D204+7</f>
        <v>46321</v>
      </c>
      <c r="E231" s="72">
        <f t="shared" ref="E231:H231" si="241">D231+1</f>
        <v>46322</v>
      </c>
      <c r="F231" s="72">
        <f t="shared" si="241"/>
        <v>46323</v>
      </c>
      <c r="G231" s="72">
        <f t="shared" si="241"/>
        <v>46324</v>
      </c>
      <c r="H231" s="72">
        <f t="shared" si="241"/>
        <v>46325</v>
      </c>
      <c r="I231" s="62" t="s">
        <v>42</v>
      </c>
    </row>
    <row r="232" ht="15.75" customHeight="1">
      <c r="A232" s="75">
        <f>B232+2</f>
        <v>92</v>
      </c>
      <c r="B232" s="75">
        <f t="shared" si="242"/>
        <v>90</v>
      </c>
      <c r="C232" s="76"/>
      <c r="D232" s="131" t="str">
        <f>if(isblank(I232),"",vlookup(I232,Pacing!$A$1:$Z$213,2))</f>
        <v>3.1: Force &amp; Accel</v>
      </c>
      <c r="E232" s="131" t="str">
        <f>if(isblank(J232),"",vlookup(J232,Pacing!$A$1:$Z$213,2))</f>
        <v>3.1: Force &amp; Accel</v>
      </c>
      <c r="F232" s="131" t="str">
        <f>if(isblank(K232),"",vlookup(K232,Pacing!$A$1:$Z$213,2))</f>
        <v>3.2: Friction</v>
      </c>
      <c r="G232" s="131" t="str">
        <f>if(isblank(L232),"",vlookup(L232,Pacing!$A$1:$Z$213,2))</f>
        <v>3.2: Friction</v>
      </c>
      <c r="H232" s="131" t="str">
        <f>if(isblank(M232),"",vlookup(M232,Pacing!$A$1:$Z$213,2))</f>
        <v>3.2: Friction</v>
      </c>
      <c r="I232" s="78">
        <f t="shared" ref="I232:M232" si="243">I230</f>
        <v>38</v>
      </c>
      <c r="J232" s="78">
        <f t="shared" si="243"/>
        <v>39</v>
      </c>
      <c r="K232" s="78">
        <f t="shared" si="243"/>
        <v>40</v>
      </c>
      <c r="L232" s="78">
        <f t="shared" si="243"/>
        <v>41</v>
      </c>
      <c r="M232" s="78">
        <f t="shared" si="243"/>
        <v>42</v>
      </c>
    </row>
    <row r="233" ht="15.75" customHeight="1">
      <c r="A233" s="69">
        <f>B233+3</f>
        <v>93</v>
      </c>
      <c r="B233" s="69">
        <f t="shared" si="242"/>
        <v>90</v>
      </c>
      <c r="C233" s="76"/>
      <c r="D233" s="81" t="str">
        <f>if(isblank(I233),"",vlookup(I233,Pacing!$A$1:$Z$213,3))</f>
        <v>Warm Up</v>
      </c>
      <c r="E233" s="81" t="str">
        <f>if(isblank(J233),"",vlookup(J233,Pacing!$A$1:$Z$213,3))</f>
        <v>Warm Up</v>
      </c>
      <c r="F233" s="81" t="str">
        <f>if(isblank(K233),"",vlookup(K233,Pacing!$A$1:$Z$213,3))</f>
        <v>Warm Up</v>
      </c>
      <c r="G233" s="81" t="str">
        <f>if(isblank(L233),"",vlookup(L233,Pacing!$A$1:$Z$213,3))</f>
        <v>Warm Up</v>
      </c>
      <c r="H233" s="81" t="str">
        <f>if(isblank(M233),"",vlookup(M233,Pacing!$A$1:$Z$213,3))</f>
        <v>Warm Up</v>
      </c>
      <c r="I233" s="86">
        <f t="shared" ref="I233:M233" si="244">I232</f>
        <v>38</v>
      </c>
      <c r="J233" s="86">
        <f t="shared" si="244"/>
        <v>39</v>
      </c>
      <c r="K233" s="86">
        <f t="shared" si="244"/>
        <v>40</v>
      </c>
      <c r="L233" s="86">
        <f t="shared" si="244"/>
        <v>41</v>
      </c>
      <c r="M233" s="86">
        <f t="shared" si="244"/>
        <v>42</v>
      </c>
    </row>
    <row r="234" ht="15.75" customHeight="1">
      <c r="A234" s="69">
        <f>B234+4</f>
        <v>94</v>
      </c>
      <c r="B234" s="69">
        <f t="shared" si="242"/>
        <v>90</v>
      </c>
      <c r="C234" s="76"/>
      <c r="D234" s="81" t="str">
        <f>if(isblank(I234),"",vlookup(I234,Pacing!$A$1:$Z$213,4))</f>
        <v>Demo</v>
      </c>
      <c r="E234" s="81" t="str">
        <f>if(isblank(J234),"",vlookup(J234,Pacing!$A$1:$Z$213,4))</f>
        <v>Demo</v>
      </c>
      <c r="F234" s="81" t="str">
        <f>if(isblank(K234),"",vlookup(K234,Pacing!$A$1:$Z$213,4))</f>
        <v>Demo</v>
      </c>
      <c r="G234" s="81" t="str">
        <f>if(isblank(L234),"",vlookup(L234,Pacing!$A$1:$Z$213,4))</f>
        <v>Demo</v>
      </c>
      <c r="H234" s="81" t="str">
        <f>if(isblank(M234),"",vlookup(M234,Pacing!$A$1:$Z$213,4))</f>
        <v>Demo</v>
      </c>
      <c r="I234" s="86">
        <f t="shared" ref="I234:M234" si="245">I233</f>
        <v>38</v>
      </c>
      <c r="J234" s="86">
        <f t="shared" si="245"/>
        <v>39</v>
      </c>
      <c r="K234" s="86">
        <f t="shared" si="245"/>
        <v>40</v>
      </c>
      <c r="L234" s="86">
        <f t="shared" si="245"/>
        <v>41</v>
      </c>
      <c r="M234" s="86">
        <f t="shared" si="245"/>
        <v>42</v>
      </c>
    </row>
    <row r="235" ht="15.75" customHeight="1">
      <c r="A235" s="69">
        <f>B235+5</f>
        <v>95</v>
      </c>
      <c r="B235" s="69">
        <f t="shared" si="242"/>
        <v>90</v>
      </c>
      <c r="C235" s="76"/>
      <c r="D235" s="81" t="str">
        <f>if(isblank(I235),"",vlookup(I235,Pacing!$A$1:$Z$213,5))</f>
        <v>Notes</v>
      </c>
      <c r="E235" s="81" t="str">
        <f>if(isblank(J235),"",vlookup(J235,Pacing!$A$1:$Z$213,5))</f>
        <v>Notes</v>
      </c>
      <c r="F235" s="81" t="str">
        <f>if(isblank(K235),"",vlookup(K235,Pacing!$A$1:$Z$213,5))</f>
        <v>Notes</v>
      </c>
      <c r="G235" s="81" t="str">
        <f>if(isblank(L235),"",vlookup(L235,Pacing!$A$1:$Z$213,5))</f>
        <v>Notes</v>
      </c>
      <c r="H235" s="81" t="str">
        <f>if(isblank(M235),"",vlookup(M235,Pacing!$A$1:$Z$213,5))</f>
        <v>Notes</v>
      </c>
      <c r="I235" s="86">
        <f t="shared" ref="I235:M235" si="246">I234</f>
        <v>38</v>
      </c>
      <c r="J235" s="86">
        <f t="shared" si="246"/>
        <v>39</v>
      </c>
      <c r="K235" s="86">
        <f t="shared" si="246"/>
        <v>40</v>
      </c>
      <c r="L235" s="86">
        <f t="shared" si="246"/>
        <v>41</v>
      </c>
      <c r="M235" s="86">
        <f t="shared" si="246"/>
        <v>42</v>
      </c>
    </row>
    <row r="236" ht="15.75" customHeight="1">
      <c r="A236" s="69">
        <f>B236+6</f>
        <v>96</v>
      </c>
      <c r="B236" s="69">
        <f t="shared" si="242"/>
        <v>90</v>
      </c>
      <c r="C236" s="76"/>
      <c r="D236" s="81" t="str">
        <f>if(isblank(I236),"",vlookup(I236,Pacing!$A$1:$Z$213,6))</f>
        <v>Investigation</v>
      </c>
      <c r="E236" s="81" t="str">
        <f>if(isblank(J236),"",vlookup(J236,Pacing!$A$1:$Z$213,6))</f>
        <v>Investigation</v>
      </c>
      <c r="F236" s="81" t="str">
        <f>if(isblank(K236),"",vlookup(K236,Pacing!$A$1:$Z$213,6))</f>
        <v>Investigation</v>
      </c>
      <c r="G236" s="81" t="str">
        <f>if(isblank(L236),"",vlookup(L236,Pacing!$A$1:$Z$213,6))</f>
        <v>Investigation</v>
      </c>
      <c r="H236" s="81" t="str">
        <f>if(isblank(M236),"",vlookup(M236,Pacing!$A$1:$Z$213,6))</f>
        <v>Investigation</v>
      </c>
      <c r="I236" s="86">
        <f t="shared" ref="I236:M236" si="247">I235</f>
        <v>38</v>
      </c>
      <c r="J236" s="86">
        <f t="shared" si="247"/>
        <v>39</v>
      </c>
      <c r="K236" s="86">
        <f t="shared" si="247"/>
        <v>40</v>
      </c>
      <c r="L236" s="86">
        <f t="shared" si="247"/>
        <v>41</v>
      </c>
      <c r="M236" s="86">
        <f t="shared" si="247"/>
        <v>42</v>
      </c>
    </row>
    <row r="237" ht="15.75" customHeight="1">
      <c r="A237" s="69">
        <f>B237+7</f>
        <v>97</v>
      </c>
      <c r="B237" s="69">
        <f t="shared" si="242"/>
        <v>90</v>
      </c>
      <c r="C237" s="76"/>
      <c r="D237" s="81" t="str">
        <f>if(isblank(I237),"",vlookup(I237,Pacing!$A$1:$Z$213,7))</f>
        <v>Activity</v>
      </c>
      <c r="E237" s="81" t="str">
        <f>if(isblank(J237),"",vlookup(J237,Pacing!$A$1:$Z$213,7))</f>
        <v>Activity</v>
      </c>
      <c r="F237" s="81" t="str">
        <f>if(isblank(K237),"",vlookup(K237,Pacing!$A$1:$Z$213,7))</f>
        <v>Activity</v>
      </c>
      <c r="G237" s="81" t="str">
        <f>if(isblank(L237),"",vlookup(L237,Pacing!$A$1:$Z$213,7))</f>
        <v>Activity</v>
      </c>
      <c r="H237" s="81" t="str">
        <f>if(isblank(M237),"",vlookup(M237,Pacing!$A$1:$Z$213,7))</f>
        <v>Activity</v>
      </c>
      <c r="I237" s="86">
        <f t="shared" ref="I237:M237" si="248">I236</f>
        <v>38</v>
      </c>
      <c r="J237" s="86">
        <f t="shared" si="248"/>
        <v>39</v>
      </c>
      <c r="K237" s="86">
        <f t="shared" si="248"/>
        <v>40</v>
      </c>
      <c r="L237" s="86">
        <f t="shared" si="248"/>
        <v>41</v>
      </c>
      <c r="M237" s="86">
        <f t="shared" si="248"/>
        <v>42</v>
      </c>
    </row>
    <row r="238" ht="15.75" customHeight="1">
      <c r="A238" s="69">
        <f>B238+8</f>
        <v>98</v>
      </c>
      <c r="B238" s="69">
        <f t="shared" si="242"/>
        <v>90</v>
      </c>
      <c r="C238" s="95"/>
      <c r="D238" s="81" t="str">
        <f>if(isblank(I238),"",vlookup(I238,Pacing!$A$1:$Z$213,8))</f>
        <v>Practice Set</v>
      </c>
      <c r="E238" s="81" t="str">
        <f>if(isblank(J238),"",vlookup(J238,Pacing!$A$1:$Z$213,8))</f>
        <v>Practice Set</v>
      </c>
      <c r="F238" s="81" t="str">
        <f>if(isblank(K238),"",vlookup(K238,Pacing!$A$1:$Z$213,8))</f>
        <v>Practice Set</v>
      </c>
      <c r="G238" s="81" t="str">
        <f>if(isblank(L238),"",vlookup(L238,Pacing!$A$1:$Z$213,8))</f>
        <v>Practice Set</v>
      </c>
      <c r="H238" s="81" t="str">
        <f>if(isblank(M238),"",vlookup(M238,Pacing!$A$1:$Z$213,8))</f>
        <v>Practice Set</v>
      </c>
      <c r="I238" s="86">
        <f t="shared" ref="I238:M238" si="249">I237</f>
        <v>38</v>
      </c>
      <c r="J238" s="86">
        <f t="shared" si="249"/>
        <v>39</v>
      </c>
      <c r="K238" s="86">
        <f t="shared" si="249"/>
        <v>40</v>
      </c>
      <c r="L238" s="86">
        <f t="shared" si="249"/>
        <v>41</v>
      </c>
      <c r="M238" s="86">
        <f t="shared" si="249"/>
        <v>42</v>
      </c>
    </row>
    <row r="239" ht="15.75" customHeight="1">
      <c r="A239" s="69"/>
      <c r="B239" s="69"/>
      <c r="C239" s="71"/>
      <c r="D239" s="81" t="str">
        <f>if(isblank(I239),"",vlookup(I239,Pacing!$A$1:$Z$213,9))</f>
        <v>Extra Practice</v>
      </c>
      <c r="E239" s="81" t="str">
        <f>if(isblank(J239),"",vlookup(J239,Pacing!$A$1:$Z$213,9))</f>
        <v>Extra Practice</v>
      </c>
      <c r="F239" s="81" t="str">
        <f>if(isblank(K239),"",vlookup(K239,Pacing!$A$1:$Z$213,9))</f>
        <v>Extra Practice</v>
      </c>
      <c r="G239" s="81" t="str">
        <f>if(isblank(L239),"",vlookup(L239,Pacing!$A$1:$Z$213,9))</f>
        <v>Extra Practice</v>
      </c>
      <c r="H239" s="81" t="str">
        <f>if(isblank(M239),"",vlookup(M239,Pacing!$A$1:$Z$213,9))</f>
        <v>Extra Practice</v>
      </c>
      <c r="I239" s="86">
        <f t="shared" ref="I239:M239" si="250">I238</f>
        <v>38</v>
      </c>
      <c r="J239" s="86">
        <f t="shared" si="250"/>
        <v>39</v>
      </c>
      <c r="K239" s="86">
        <f t="shared" si="250"/>
        <v>40</v>
      </c>
      <c r="L239" s="86">
        <f t="shared" si="250"/>
        <v>41</v>
      </c>
      <c r="M239" s="86">
        <f t="shared" si="250"/>
        <v>42</v>
      </c>
    </row>
    <row r="240" ht="15.75" customHeight="1">
      <c r="A240" s="69"/>
      <c r="B240" s="69"/>
      <c r="C240" s="71"/>
      <c r="D240" s="81" t="str">
        <f>if(isblank(I240),"",vlookup(I240,Pacing!$A$1:$Z$213,10))</f>
        <v>CYU</v>
      </c>
      <c r="E240" s="81" t="str">
        <f>if(isblank(J240),"",vlookup(J240,Pacing!$A$1:$Z$213,10))</f>
        <v>CYU</v>
      </c>
      <c r="F240" s="81" t="str">
        <f>if(isblank(K240),"",vlookup(K240,Pacing!$A$1:$Z$213,10))</f>
        <v>CYU</v>
      </c>
      <c r="G240" s="81" t="str">
        <f>if(isblank(L240),"",vlookup(L240,Pacing!$A$1:$Z$213,10))</f>
        <v>CYU</v>
      </c>
      <c r="H240" s="81" t="str">
        <f>if(isblank(M240),"",vlookup(M240,Pacing!$A$1:$Z$213,10))</f>
        <v>CYU</v>
      </c>
      <c r="I240" s="86">
        <f t="shared" ref="I240:M240" si="251">I239</f>
        <v>38</v>
      </c>
      <c r="J240" s="86">
        <f t="shared" si="251"/>
        <v>39</v>
      </c>
      <c r="K240" s="86">
        <f t="shared" si="251"/>
        <v>40</v>
      </c>
      <c r="L240" s="86">
        <f t="shared" si="251"/>
        <v>41</v>
      </c>
      <c r="M240" s="86">
        <f t="shared" si="251"/>
        <v>42</v>
      </c>
    </row>
    <row r="241" ht="15.75" customHeight="1">
      <c r="A241" s="69"/>
      <c r="B241" s="69"/>
      <c r="C241" s="71"/>
      <c r="D241" s="81" t="str">
        <f>if(isblank(I241),"",vlookup(I241,Pacing!$A$1:$Z$213,11))</f>
        <v>Progress</v>
      </c>
      <c r="E241" s="81" t="str">
        <f>if(isblank(J241),"",vlookup(J241,Pacing!$A$1:$Z$213,11))</f>
        <v>Progress</v>
      </c>
      <c r="F241" s="81" t="str">
        <f>if(isblank(K241),"",vlookup(K241,Pacing!$A$1:$Z$213,11))</f>
        <v>Progress</v>
      </c>
      <c r="G241" s="81" t="str">
        <f>if(isblank(L241),"",vlookup(L241,Pacing!$A$1:$Z$213,11))</f>
        <v>Progress</v>
      </c>
      <c r="H241" s="81" t="str">
        <f>if(isblank(M241),"",vlookup(M241,Pacing!$A$1:$Z$213,11))</f>
        <v>Progress</v>
      </c>
      <c r="I241" s="86">
        <f t="shared" ref="I241:M241" si="252">I240</f>
        <v>38</v>
      </c>
      <c r="J241" s="86">
        <f t="shared" si="252"/>
        <v>39</v>
      </c>
      <c r="K241" s="86">
        <f t="shared" si="252"/>
        <v>40</v>
      </c>
      <c r="L241" s="86">
        <f t="shared" si="252"/>
        <v>41</v>
      </c>
      <c r="M241" s="86">
        <f t="shared" si="252"/>
        <v>42</v>
      </c>
    </row>
    <row r="242" ht="15.75" customHeight="1">
      <c r="A242" s="69"/>
      <c r="B242" s="69"/>
      <c r="C242" s="71"/>
      <c r="D242" s="81" t="str">
        <f>if(isblank(I242),"",vlookup(I242,Pacing!$A$1:$Z$213,12))</f>
        <v>Review</v>
      </c>
      <c r="E242" s="81" t="str">
        <f>if(isblank(J242),"",vlookup(J242,Pacing!$A$1:$Z$213,12))</f>
        <v>Review</v>
      </c>
      <c r="F242" s="81" t="str">
        <f>if(isblank(K242),"",vlookup(K242,Pacing!$A$1:$Z$213,12))</f>
        <v>Review</v>
      </c>
      <c r="G242" s="81" t="str">
        <f>if(isblank(L242),"",vlookup(L242,Pacing!$A$1:$Z$213,12))</f>
        <v>Review</v>
      </c>
      <c r="H242" s="81" t="str">
        <f>if(isblank(M242),"",vlookup(M242,Pacing!$A$1:$Z$213,12))</f>
        <v>Review</v>
      </c>
      <c r="I242" s="86">
        <f t="shared" ref="I242:M242" si="253">I241</f>
        <v>38</v>
      </c>
      <c r="J242" s="86">
        <f t="shared" si="253"/>
        <v>39</v>
      </c>
      <c r="K242" s="86">
        <f t="shared" si="253"/>
        <v>40</v>
      </c>
      <c r="L242" s="86">
        <f t="shared" si="253"/>
        <v>41</v>
      </c>
      <c r="M242" s="86">
        <f t="shared" si="253"/>
        <v>42</v>
      </c>
    </row>
    <row r="243" ht="15.75" customHeight="1">
      <c r="A243" s="69"/>
      <c r="B243" s="69"/>
      <c r="C243" s="71"/>
      <c r="D243" s="91" t="str">
        <f>if(isblank(I243),"",vlookup(I243,Pacing!$A$1:$Z$213,13))</f>
        <v/>
      </c>
      <c r="E243" s="91" t="str">
        <f>if(isblank(J243),"",vlookup(J243,Pacing!$A$1:$Z$213,13))</f>
        <v/>
      </c>
      <c r="F243" s="91" t="str">
        <f>if(isblank(K243),"",vlookup(K243,Pacing!$A$1:$Z$213,13))</f>
        <v/>
      </c>
      <c r="G243" s="91" t="str">
        <f>if(isblank(L243),"",vlookup(L243,Pacing!$A$1:$Z$213,13))</f>
        <v/>
      </c>
      <c r="H243" s="91" t="str">
        <f>if(isblank(M243),"",vlookup(M243,Pacing!$A$1:$Z$213,13))</f>
        <v/>
      </c>
      <c r="I243" s="86">
        <f t="shared" ref="I243:M243" si="254">I242</f>
        <v>38</v>
      </c>
      <c r="J243" s="86">
        <f t="shared" si="254"/>
        <v>39</v>
      </c>
      <c r="K243" s="86">
        <f t="shared" si="254"/>
        <v>40</v>
      </c>
      <c r="L243" s="86">
        <f t="shared" si="254"/>
        <v>41</v>
      </c>
      <c r="M243" s="86">
        <f t="shared" si="254"/>
        <v>42</v>
      </c>
    </row>
    <row r="244" ht="15.75" customHeight="1">
      <c r="A244" s="69"/>
      <c r="B244" s="69"/>
      <c r="C244" s="71"/>
      <c r="D244" s="81" t="str">
        <f>if(isblank(I244),"",vlookup(I244,Pacing!$A$1:$Z$213,14))</f>
        <v>Notes Teacher</v>
      </c>
      <c r="E244" s="81" t="str">
        <f>if(isblank(J244),"",vlookup(J244,Pacing!$A$1:$Z$213,14))</f>
        <v>Notes Teacher</v>
      </c>
      <c r="F244" s="81" t="str">
        <f>if(isblank(K244),"",vlookup(K244,Pacing!$A$1:$Z$213,14))</f>
        <v>Notes Teacher</v>
      </c>
      <c r="G244" s="81" t="str">
        <f>if(isblank(L244),"",vlookup(L244,Pacing!$A$1:$Z$213,14))</f>
        <v>Notes Teacher</v>
      </c>
      <c r="H244" s="81" t="str">
        <f>if(isblank(M244),"",vlookup(M244,Pacing!$A$1:$Z$213,14))</f>
        <v>Notes Teacher</v>
      </c>
      <c r="I244" s="86">
        <f t="shared" ref="I244:M244" si="255">I243</f>
        <v>38</v>
      </c>
      <c r="J244" s="86">
        <f t="shared" si="255"/>
        <v>39</v>
      </c>
      <c r="K244" s="86">
        <f t="shared" si="255"/>
        <v>40</v>
      </c>
      <c r="L244" s="86">
        <f t="shared" si="255"/>
        <v>41</v>
      </c>
      <c r="M244" s="86">
        <f t="shared" si="255"/>
        <v>42</v>
      </c>
    </row>
    <row r="245" ht="15.75" customHeight="1">
      <c r="A245" s="69"/>
      <c r="B245" s="69"/>
      <c r="C245" s="71"/>
      <c r="D245" s="81" t="str">
        <f>if(isblank(I245),"",vlookup(I245,Pacing!$A$1:$Z$213,15))</f>
        <v>Demo Teacher</v>
      </c>
      <c r="E245" s="81" t="str">
        <f>if(isblank(J245),"",vlookup(J245,Pacing!$A$1:$Z$213,15))</f>
        <v>Demo Teacher</v>
      </c>
      <c r="F245" s="81" t="str">
        <f>if(isblank(K245),"",vlookup(K245,Pacing!$A$1:$Z$213,15))</f>
        <v>Demo Teacher</v>
      </c>
      <c r="G245" s="81" t="str">
        <f>if(isblank(L245),"",vlookup(L245,Pacing!$A$1:$Z$213,15))</f>
        <v>Demo Teacher</v>
      </c>
      <c r="H245" s="81" t="str">
        <f>if(isblank(M245),"",vlookup(M245,Pacing!$A$1:$Z$213,15))</f>
        <v>Demo Teacher</v>
      </c>
      <c r="I245" s="86">
        <f t="shared" ref="I245:M245" si="256">I244</f>
        <v>38</v>
      </c>
      <c r="J245" s="86">
        <f t="shared" si="256"/>
        <v>39</v>
      </c>
      <c r="K245" s="86">
        <f t="shared" si="256"/>
        <v>40</v>
      </c>
      <c r="L245" s="86">
        <f t="shared" si="256"/>
        <v>41</v>
      </c>
      <c r="M245" s="86">
        <f t="shared" si="256"/>
        <v>42</v>
      </c>
    </row>
    <row r="246" ht="15.75" customHeight="1">
      <c r="A246" s="69"/>
      <c r="B246" s="69"/>
      <c r="C246" s="71"/>
      <c r="D246" s="81" t="str">
        <f>if(isblank(I246),"",vlookup(I246,Pacing!$A$1:$Z$213,16))</f>
        <v>Invest Teacher</v>
      </c>
      <c r="E246" s="81" t="str">
        <f>if(isblank(J246),"",vlookup(J246,Pacing!$A$1:$Z$213,16))</f>
        <v>Invest Teacher</v>
      </c>
      <c r="F246" s="81" t="str">
        <f>if(isblank(K246),"",vlookup(K246,Pacing!$A$1:$Z$213,16))</f>
        <v>Invest Teacher</v>
      </c>
      <c r="G246" s="81" t="str">
        <f>if(isblank(L246),"",vlookup(L246,Pacing!$A$1:$Z$213,16))</f>
        <v>Invest Teacher</v>
      </c>
      <c r="H246" s="81" t="str">
        <f>if(isblank(M246),"",vlookup(M246,Pacing!$A$1:$Z$213,16))</f>
        <v>Invest Teacher</v>
      </c>
      <c r="I246" s="86">
        <f t="shared" ref="I246:M246" si="257">I245</f>
        <v>38</v>
      </c>
      <c r="J246" s="86">
        <f t="shared" si="257"/>
        <v>39</v>
      </c>
      <c r="K246" s="86">
        <f t="shared" si="257"/>
        <v>40</v>
      </c>
      <c r="L246" s="86">
        <f t="shared" si="257"/>
        <v>41</v>
      </c>
      <c r="M246" s="86">
        <f t="shared" si="257"/>
        <v>42</v>
      </c>
    </row>
    <row r="247" ht="15.75" customHeight="1">
      <c r="A247" s="69"/>
      <c r="B247" s="69"/>
      <c r="C247" s="71"/>
      <c r="D247" s="81" t="str">
        <f>if(isblank(I247),"",vlookup(I247,Pacing!$A$1:$Z$213,17))</f>
        <v>PT Teacher</v>
      </c>
      <c r="E247" s="81" t="str">
        <f>if(isblank(J247),"",vlookup(J247,Pacing!$A$1:$Z$213,17))</f>
        <v>PT Teacher</v>
      </c>
      <c r="F247" s="81" t="str">
        <f>if(isblank(K247),"",vlookup(K247,Pacing!$A$1:$Z$213,17))</f>
        <v>PT Teacher</v>
      </c>
      <c r="G247" s="81" t="str">
        <f>if(isblank(L247),"",vlookup(L247,Pacing!$A$1:$Z$213,17))</f>
        <v>PT Teacher</v>
      </c>
      <c r="H247" s="81" t="str">
        <f>if(isblank(M247),"",vlookup(M247,Pacing!$A$1:$Z$213,17))</f>
        <v>PT Teacher</v>
      </c>
      <c r="I247" s="86">
        <f t="shared" ref="I247:M247" si="258">I246</f>
        <v>38</v>
      </c>
      <c r="J247" s="86">
        <f t="shared" si="258"/>
        <v>39</v>
      </c>
      <c r="K247" s="86">
        <f t="shared" si="258"/>
        <v>40</v>
      </c>
      <c r="L247" s="86">
        <f t="shared" si="258"/>
        <v>41</v>
      </c>
      <c r="M247" s="86">
        <f t="shared" si="258"/>
        <v>42</v>
      </c>
    </row>
    <row r="248" ht="15.75" customHeight="1">
      <c r="A248" s="69"/>
      <c r="B248" s="69"/>
      <c r="C248" s="71"/>
      <c r="D248" s="81" t="str">
        <f>if(isblank(I248),"",vlookup(I248,Pacing!$A$1:$Z$213,18))</f>
        <v>Assess Plan</v>
      </c>
      <c r="E248" s="81" t="str">
        <f>if(isblank(J248),"",vlookup(J248,Pacing!$A$1:$Z$213,18))</f>
        <v>Assess Plan</v>
      </c>
      <c r="F248" s="81" t="str">
        <f>if(isblank(K248),"",vlookup(K248,Pacing!$A$1:$Z$213,18))</f>
        <v>Assess Plan</v>
      </c>
      <c r="G248" s="81" t="str">
        <f>if(isblank(L248),"",vlookup(L248,Pacing!$A$1:$Z$213,18))</f>
        <v>Assess Plan</v>
      </c>
      <c r="H248" s="81" t="str">
        <f>if(isblank(M248),"",vlookup(M248,Pacing!$A$1:$Z$213,18))</f>
        <v>Assess Plan</v>
      </c>
      <c r="I248" s="86">
        <f t="shared" ref="I248:M248" si="259">I247</f>
        <v>38</v>
      </c>
      <c r="J248" s="86">
        <f t="shared" si="259"/>
        <v>39</v>
      </c>
      <c r="K248" s="86">
        <f t="shared" si="259"/>
        <v>40</v>
      </c>
      <c r="L248" s="86">
        <f t="shared" si="259"/>
        <v>41</v>
      </c>
      <c r="M248" s="86">
        <f t="shared" si="259"/>
        <v>42</v>
      </c>
    </row>
    <row r="249" ht="15.75" customHeight="1">
      <c r="A249" s="69"/>
      <c r="B249" s="69"/>
      <c r="C249" s="71"/>
      <c r="D249" s="81" t="str">
        <f>if(isblank(I249),"",vlookup(I249,Pacing!$A$1:$Z$213,19))</f>
        <v>Perform Task</v>
      </c>
      <c r="E249" s="81" t="str">
        <f>if(isblank(J249),"",vlookup(J249,Pacing!$A$1:$Z$213,19))</f>
        <v>Perform Task</v>
      </c>
      <c r="F249" s="81" t="str">
        <f>if(isblank(K249),"",vlookup(K249,Pacing!$A$1:$Z$213,19))</f>
        <v>Perform Task</v>
      </c>
      <c r="G249" s="81" t="str">
        <f>if(isblank(L249),"",vlookup(L249,Pacing!$A$1:$Z$213,19))</f>
        <v>Perform Task</v>
      </c>
      <c r="H249" s="81" t="str">
        <f>if(isblank(M249),"",vlookup(M249,Pacing!$A$1:$Z$213,19))</f>
        <v>Perform Task</v>
      </c>
      <c r="I249" s="86">
        <f t="shared" ref="I249:M249" si="260">I248</f>
        <v>38</v>
      </c>
      <c r="J249" s="86">
        <f t="shared" si="260"/>
        <v>39</v>
      </c>
      <c r="K249" s="86">
        <f t="shared" si="260"/>
        <v>40</v>
      </c>
      <c r="L249" s="86">
        <f t="shared" si="260"/>
        <v>41</v>
      </c>
      <c r="M249" s="86">
        <f t="shared" si="260"/>
        <v>42</v>
      </c>
    </row>
    <row r="250" ht="15.75" customHeight="1">
      <c r="A250" s="69"/>
      <c r="B250" s="69"/>
      <c r="C250" s="71"/>
      <c r="D250" s="81" t="str">
        <f>if(isblank(I250),"",vlookup(I250,Pacing!$A$1:$Z$213,20))</f>
        <v>Quick Check</v>
      </c>
      <c r="E250" s="81" t="str">
        <f>if(isblank(J250),"",vlookup(J250,Pacing!$A$1:$Z$213,20))</f>
        <v>Quick Check</v>
      </c>
      <c r="F250" s="81" t="str">
        <f>if(isblank(K250),"",vlookup(K250,Pacing!$A$1:$Z$213,20))</f>
        <v>Quick Check</v>
      </c>
      <c r="G250" s="81" t="str">
        <f>if(isblank(L250),"",vlookup(L250,Pacing!$A$1:$Z$213,20))</f>
        <v>Quick Check</v>
      </c>
      <c r="H250" s="81" t="str">
        <f>if(isblank(M250),"",vlookup(M250,Pacing!$A$1:$Z$213,20))</f>
        <v>Quick Check</v>
      </c>
      <c r="I250" s="86">
        <f t="shared" ref="I250:M250" si="261">I249</f>
        <v>38</v>
      </c>
      <c r="J250" s="86">
        <f t="shared" si="261"/>
        <v>39</v>
      </c>
      <c r="K250" s="86">
        <f t="shared" si="261"/>
        <v>40</v>
      </c>
      <c r="L250" s="86">
        <f t="shared" si="261"/>
        <v>41</v>
      </c>
      <c r="M250" s="86">
        <f t="shared" si="261"/>
        <v>42</v>
      </c>
    </row>
    <row r="251" ht="15.75" customHeight="1">
      <c r="A251" s="69"/>
      <c r="B251" s="69"/>
      <c r="C251" s="71"/>
      <c r="D251" s="81" t="str">
        <f>if(isblank(I251),"",vlookup(I251,Pacing!$A$1:$Z$213,21))</f>
        <v>Exit Ticket</v>
      </c>
      <c r="E251" s="81" t="str">
        <f>if(isblank(J251),"",vlookup(J251,Pacing!$A$1:$Z$213,21))</f>
        <v>Exit Ticket</v>
      </c>
      <c r="F251" s="81" t="str">
        <f>if(isblank(K251),"",vlookup(K251,Pacing!$A$1:$Z$213,21))</f>
        <v>Exit Ticket</v>
      </c>
      <c r="G251" s="81" t="str">
        <f>if(isblank(L251),"",vlookup(L251,Pacing!$A$1:$Z$213,21))</f>
        <v>Exit Ticket</v>
      </c>
      <c r="H251" s="81" t="str">
        <f>if(isblank(M251),"",vlookup(M251,Pacing!$A$1:$Z$213,21))</f>
        <v>Exit Ticket</v>
      </c>
      <c r="I251" s="86">
        <f t="shared" ref="I251:M251" si="262">I250</f>
        <v>38</v>
      </c>
      <c r="J251" s="86">
        <f t="shared" si="262"/>
        <v>39</v>
      </c>
      <c r="K251" s="86">
        <f t="shared" si="262"/>
        <v>40</v>
      </c>
      <c r="L251" s="86">
        <f t="shared" si="262"/>
        <v>41</v>
      </c>
      <c r="M251" s="86">
        <f t="shared" si="262"/>
        <v>42</v>
      </c>
    </row>
    <row r="252" ht="15.75" customHeight="1">
      <c r="A252" s="69"/>
      <c r="B252" s="69"/>
      <c r="C252" s="71"/>
      <c r="D252" s="81" t="str">
        <f>if(isblank(I252),"",vlookup(I252,Pacing!$A$1:$Z$213,22))</f>
        <v>Practice 2</v>
      </c>
      <c r="E252" s="81" t="str">
        <f>if(isblank(J252),"",vlookup(J252,Pacing!$A$1:$Z$213,22))</f>
        <v>Practice 2</v>
      </c>
      <c r="F252" s="81" t="str">
        <f>if(isblank(K252),"",vlookup(K252,Pacing!$A$1:$Z$213,22))</f>
        <v>Practice 2</v>
      </c>
      <c r="G252" s="81" t="str">
        <f>if(isblank(L252),"",vlookup(L252,Pacing!$A$1:$Z$213,22))</f>
        <v>Practice 2</v>
      </c>
      <c r="H252" s="81" t="str">
        <f>if(isblank(M252),"",vlookup(M252,Pacing!$A$1:$Z$213,22))</f>
        <v>Practice 2</v>
      </c>
      <c r="I252" s="86">
        <f t="shared" ref="I252:M252" si="263">I251</f>
        <v>38</v>
      </c>
      <c r="J252" s="86">
        <f t="shared" si="263"/>
        <v>39</v>
      </c>
      <c r="K252" s="86">
        <f t="shared" si="263"/>
        <v>40</v>
      </c>
      <c r="L252" s="86">
        <f t="shared" si="263"/>
        <v>41</v>
      </c>
      <c r="M252" s="86">
        <f t="shared" si="263"/>
        <v>42</v>
      </c>
    </row>
    <row r="253" ht="15.75" customHeight="1">
      <c r="A253" s="69"/>
      <c r="B253" s="69"/>
      <c r="C253" s="71"/>
      <c r="D253" s="81" t="str">
        <f>if(isblank(I253),"",vlookup(I253,Pacing!$A$1:$Z$213,23))</f>
        <v>Practice 3</v>
      </c>
      <c r="E253" s="81" t="str">
        <f>if(isblank(J253),"",vlookup(J253,Pacing!$A$1:$Z$213,23))</f>
        <v>Practice 3</v>
      </c>
      <c r="F253" s="81" t="str">
        <f>if(isblank(K253),"",vlookup(K253,Pacing!$A$1:$Z$213,23))</f>
        <v>Practice 3</v>
      </c>
      <c r="G253" s="81" t="str">
        <f>if(isblank(L253),"",vlookup(L253,Pacing!$A$1:$Z$213,23))</f>
        <v>Practice 3</v>
      </c>
      <c r="H253" s="81" t="str">
        <f>if(isblank(M253),"",vlookup(M253,Pacing!$A$1:$Z$213,23))</f>
        <v>Practice 3</v>
      </c>
      <c r="I253" s="86">
        <f t="shared" ref="I253:M253" si="264">I252</f>
        <v>38</v>
      </c>
      <c r="J253" s="86">
        <f t="shared" si="264"/>
        <v>39</v>
      </c>
      <c r="K253" s="86">
        <f t="shared" si="264"/>
        <v>40</v>
      </c>
      <c r="L253" s="86">
        <f t="shared" si="264"/>
        <v>41</v>
      </c>
      <c r="M253" s="86">
        <f t="shared" si="264"/>
        <v>42</v>
      </c>
    </row>
    <row r="254" ht="15.75" customHeight="1">
      <c r="A254" s="69"/>
      <c r="B254" s="69"/>
      <c r="C254" s="71"/>
      <c r="D254" s="81" t="str">
        <f>if(isblank(I254),"",vlookup(I254,Pacing!$A$1:$Z$213,24))</f>
        <v>Sum Assess</v>
      </c>
      <c r="E254" s="81" t="str">
        <f>if(isblank(J254),"",vlookup(J254,Pacing!$A$1:$Z$213,24))</f>
        <v>Sum Assess</v>
      </c>
      <c r="F254" s="81" t="str">
        <f>if(isblank(K254),"",vlookup(K254,Pacing!$A$1:$Z$213,24))</f>
        <v>Sum Assess</v>
      </c>
      <c r="G254" s="81" t="str">
        <f>if(isblank(L254),"",vlookup(L254,Pacing!$A$1:$Z$213,24))</f>
        <v>Sum Assess</v>
      </c>
      <c r="H254" s="81" t="str">
        <f>if(isblank(M254),"",vlookup(M254,Pacing!$A$1:$Z$213,24))</f>
        <v>Sum Assess</v>
      </c>
      <c r="I254" s="86">
        <f t="shared" ref="I254:M254" si="265">I253</f>
        <v>38</v>
      </c>
      <c r="J254" s="86">
        <f t="shared" si="265"/>
        <v>39</v>
      </c>
      <c r="K254" s="86">
        <f t="shared" si="265"/>
        <v>40</v>
      </c>
      <c r="L254" s="86">
        <f t="shared" si="265"/>
        <v>41</v>
      </c>
      <c r="M254" s="86">
        <f t="shared" si="265"/>
        <v>42</v>
      </c>
    </row>
    <row r="255" ht="15.75" customHeight="1">
      <c r="A255" s="69"/>
      <c r="B255" s="69"/>
      <c r="C255" s="71"/>
      <c r="D255" s="81" t="str">
        <f>if(isblank(I255),"",vlookup(I255,Pacing!$A$1:$Z$213,25))</f>
        <v>Bank</v>
      </c>
      <c r="E255" s="81" t="str">
        <f>if(isblank(J255),"",vlookup(J255,Pacing!$A$1:$Z$213,25))</f>
        <v>Bank</v>
      </c>
      <c r="F255" s="81" t="str">
        <f>if(isblank(K255),"",vlookup(K255,Pacing!$A$1:$Z$213,25))</f>
        <v>Bank</v>
      </c>
      <c r="G255" s="81" t="str">
        <f>if(isblank(L255),"",vlookup(L255,Pacing!$A$1:$Z$213,25))</f>
        <v>Bank</v>
      </c>
      <c r="H255" s="81" t="str">
        <f>if(isblank(M255),"",vlookup(M255,Pacing!$A$1:$Z$213,25))</f>
        <v>Bank</v>
      </c>
      <c r="I255" s="86">
        <f t="shared" ref="I255:M255" si="266">I254</f>
        <v>38</v>
      </c>
      <c r="J255" s="86">
        <f t="shared" si="266"/>
        <v>39</v>
      </c>
      <c r="K255" s="86">
        <f t="shared" si="266"/>
        <v>40</v>
      </c>
      <c r="L255" s="86">
        <f t="shared" si="266"/>
        <v>41</v>
      </c>
      <c r="M255" s="86">
        <f t="shared" si="266"/>
        <v>42</v>
      </c>
    </row>
    <row r="256" ht="15.75" customHeight="1">
      <c r="A256" s="69"/>
      <c r="B256" s="69"/>
      <c r="C256" s="71"/>
      <c r="D256" s="91" t="str">
        <f>if(isblank(I256),"",vlookup(I256,Pacing!$A$1:$Z$213,26))</f>
        <v/>
      </c>
      <c r="E256" s="89" t="str">
        <f>if(isblank(J256),"",vlookup(J256,Pacing!$A$1:$Z$213,26))</f>
        <v/>
      </c>
      <c r="F256" s="89" t="str">
        <f>if(isblank(K256),"",vlookup(K256,Pacing!$A$1:$Z$213,26))</f>
        <v/>
      </c>
      <c r="G256" s="89" t="str">
        <f>if(isblank(L256),"",vlookup(L256,Pacing!$A$1:$Z$213,26))</f>
        <v/>
      </c>
      <c r="H256" s="89" t="str">
        <f>if(isblank(M256),"",vlookup(M256,Pacing!$A$1:$Z$213,26))</f>
        <v/>
      </c>
      <c r="I256" s="86">
        <f t="shared" ref="I256:M256" si="267">I255</f>
        <v>38</v>
      </c>
      <c r="J256" s="86">
        <f t="shared" si="267"/>
        <v>39</v>
      </c>
      <c r="K256" s="86">
        <f t="shared" si="267"/>
        <v>40</v>
      </c>
      <c r="L256" s="86">
        <f t="shared" si="267"/>
        <v>41</v>
      </c>
      <c r="M256" s="86">
        <f t="shared" si="267"/>
        <v>42</v>
      </c>
    </row>
    <row r="257" ht="15.75" customHeight="1">
      <c r="A257" s="137"/>
      <c r="B257" s="137"/>
      <c r="C257" s="138"/>
      <c r="D257" s="139">
        <f>H230+1</f>
        <v>43</v>
      </c>
      <c r="E257" s="139">
        <f t="shared" ref="E257:H257" si="268">D257+1</f>
        <v>44</v>
      </c>
      <c r="F257" s="139">
        <f t="shared" si="268"/>
        <v>45</v>
      </c>
      <c r="G257" s="139">
        <f t="shared" si="268"/>
        <v>46</v>
      </c>
      <c r="H257" s="139">
        <f t="shared" si="268"/>
        <v>47</v>
      </c>
      <c r="I257" s="55">
        <f t="shared" ref="I257:M257" si="269">D257</f>
        <v>43</v>
      </c>
      <c r="J257" s="55">
        <f t="shared" si="269"/>
        <v>44</v>
      </c>
      <c r="K257" s="55">
        <f t="shared" si="269"/>
        <v>45</v>
      </c>
      <c r="L257" s="55">
        <f t="shared" si="269"/>
        <v>46</v>
      </c>
      <c r="M257" s="55">
        <f t="shared" si="269"/>
        <v>47</v>
      </c>
    </row>
    <row r="258" ht="15.75" customHeight="1">
      <c r="A258" s="69">
        <f>B258+1</f>
        <v>101</v>
      </c>
      <c r="B258" s="69">
        <f t="shared" ref="B258:B265" si="271">$C$258*10</f>
        <v>100</v>
      </c>
      <c r="C258" s="71">
        <f>C231+1</f>
        <v>10</v>
      </c>
      <c r="D258" s="72">
        <f>D231+7</f>
        <v>46328</v>
      </c>
      <c r="E258" s="72">
        <f t="shared" ref="E258:H258" si="270">D258+1</f>
        <v>46329</v>
      </c>
      <c r="F258" s="72">
        <f t="shared" si="270"/>
        <v>46330</v>
      </c>
      <c r="G258" s="72">
        <f t="shared" si="270"/>
        <v>46331</v>
      </c>
      <c r="H258" s="72">
        <f t="shared" si="270"/>
        <v>46332</v>
      </c>
      <c r="I258" s="62" t="s">
        <v>42</v>
      </c>
    </row>
    <row r="259" ht="15.75" customHeight="1">
      <c r="A259" s="75">
        <f>B259+2</f>
        <v>102</v>
      </c>
      <c r="B259" s="75">
        <f t="shared" si="271"/>
        <v>100</v>
      </c>
      <c r="C259" s="76"/>
      <c r="D259" s="131" t="str">
        <f>if(isblank(I259),"",vlookup(I259,Pacing!$A$1:$Z$213,2))</f>
        <v>3.3: Fall &amp; Drag</v>
      </c>
      <c r="E259" s="131" t="str">
        <f>if(isblank(J259),"",vlookup(J259,Pacing!$A$1:$Z$213,2))</f>
        <v>3.3: Fall &amp; Drag</v>
      </c>
      <c r="F259" s="131" t="str">
        <f>if(isblank(K259),"",vlookup(K259,Pacing!$A$1:$Z$213,2))</f>
        <v>3.3: Fall &amp; Drag</v>
      </c>
      <c r="G259" s="131" t="str">
        <f>if(isblank(L259),"",vlookup(L259,Pacing!$A$1:$Z$213,2))</f>
        <v>3.4: Newton's 3rd</v>
      </c>
      <c r="H259" s="131" t="str">
        <f>if(isblank(M259),"",vlookup(M259,Pacing!$A$1:$Z$213,2))</f>
        <v>3.4: Newton's 3rd</v>
      </c>
      <c r="I259" s="78">
        <f t="shared" ref="I259:M259" si="272">I257</f>
        <v>43</v>
      </c>
      <c r="J259" s="78">
        <f t="shared" si="272"/>
        <v>44</v>
      </c>
      <c r="K259" s="78">
        <f t="shared" si="272"/>
        <v>45</v>
      </c>
      <c r="L259" s="78">
        <f t="shared" si="272"/>
        <v>46</v>
      </c>
      <c r="M259" s="78">
        <f t="shared" si="272"/>
        <v>47</v>
      </c>
    </row>
    <row r="260" ht="15.75" customHeight="1">
      <c r="A260" s="69">
        <f>B260+3</f>
        <v>103</v>
      </c>
      <c r="B260" s="69">
        <f t="shared" si="271"/>
        <v>100</v>
      </c>
      <c r="C260" s="76"/>
      <c r="D260" s="81" t="str">
        <f>if(isblank(I260),"",vlookup(I260,Pacing!$A$1:$Z$213,3))</f>
        <v>Warm Up</v>
      </c>
      <c r="E260" s="81" t="str">
        <f>if(isblank(J260),"",vlookup(J260,Pacing!$A$1:$Z$213,3))</f>
        <v>Warm Up</v>
      </c>
      <c r="F260" s="81" t="str">
        <f>if(isblank(K260),"",vlookup(K260,Pacing!$A$1:$Z$213,3))</f>
        <v>Warm Up</v>
      </c>
      <c r="G260" s="81" t="str">
        <f>if(isblank(L260),"",vlookup(L260,Pacing!$A$1:$Z$213,3))</f>
        <v>Warm Up</v>
      </c>
      <c r="H260" s="81" t="str">
        <f>if(isblank(M260),"",vlookup(M260,Pacing!$A$1:$Z$213,3))</f>
        <v>Warm Up</v>
      </c>
      <c r="I260" s="86">
        <f t="shared" ref="I260:M260" si="273">I259</f>
        <v>43</v>
      </c>
      <c r="J260" s="86">
        <f t="shared" si="273"/>
        <v>44</v>
      </c>
      <c r="K260" s="86">
        <f t="shared" si="273"/>
        <v>45</v>
      </c>
      <c r="L260" s="86">
        <f t="shared" si="273"/>
        <v>46</v>
      </c>
      <c r="M260" s="86">
        <f t="shared" si="273"/>
        <v>47</v>
      </c>
    </row>
    <row r="261" ht="15.75" customHeight="1">
      <c r="A261" s="69">
        <f>B261+4</f>
        <v>104</v>
      </c>
      <c r="B261" s="69">
        <f t="shared" si="271"/>
        <v>100</v>
      </c>
      <c r="C261" s="76"/>
      <c r="D261" s="81" t="str">
        <f>if(isblank(I261),"",vlookup(I261,Pacing!$A$1:$Z$213,4))</f>
        <v>Demo</v>
      </c>
      <c r="E261" s="81" t="str">
        <f>if(isblank(J261),"",vlookup(J261,Pacing!$A$1:$Z$213,4))</f>
        <v>Demo</v>
      </c>
      <c r="F261" s="81" t="str">
        <f>if(isblank(K261),"",vlookup(K261,Pacing!$A$1:$Z$213,4))</f>
        <v>Demo</v>
      </c>
      <c r="G261" s="81" t="str">
        <f>if(isblank(L261),"",vlookup(L261,Pacing!$A$1:$Z$213,4))</f>
        <v>Demo</v>
      </c>
      <c r="H261" s="81" t="str">
        <f>if(isblank(M261),"",vlookup(M261,Pacing!$A$1:$Z$213,4))</f>
        <v>Demo</v>
      </c>
      <c r="I261" s="86">
        <f t="shared" ref="I261:M261" si="274">I260</f>
        <v>43</v>
      </c>
      <c r="J261" s="86">
        <f t="shared" si="274"/>
        <v>44</v>
      </c>
      <c r="K261" s="86">
        <f t="shared" si="274"/>
        <v>45</v>
      </c>
      <c r="L261" s="86">
        <f t="shared" si="274"/>
        <v>46</v>
      </c>
      <c r="M261" s="86">
        <f t="shared" si="274"/>
        <v>47</v>
      </c>
    </row>
    <row r="262" ht="15.75" customHeight="1">
      <c r="A262" s="69">
        <f>B262+5</f>
        <v>105</v>
      </c>
      <c r="B262" s="69">
        <f t="shared" si="271"/>
        <v>100</v>
      </c>
      <c r="C262" s="76"/>
      <c r="D262" s="81" t="str">
        <f>if(isblank(I262),"",vlookup(I262,Pacing!$A$1:$Z$213,5))</f>
        <v>Notes</v>
      </c>
      <c r="E262" s="81" t="str">
        <f>if(isblank(J262),"",vlookup(J262,Pacing!$A$1:$Z$213,5))</f>
        <v>Notes</v>
      </c>
      <c r="F262" s="81" t="str">
        <f>if(isblank(K262),"",vlookup(K262,Pacing!$A$1:$Z$213,5))</f>
        <v>Notes</v>
      </c>
      <c r="G262" s="81" t="str">
        <f>if(isblank(L262),"",vlookup(L262,Pacing!$A$1:$Z$213,5))</f>
        <v>Notes</v>
      </c>
      <c r="H262" s="81" t="str">
        <f>if(isblank(M262),"",vlookup(M262,Pacing!$A$1:$Z$213,5))</f>
        <v>Notes</v>
      </c>
      <c r="I262" s="86">
        <f t="shared" ref="I262:M262" si="275">I261</f>
        <v>43</v>
      </c>
      <c r="J262" s="86">
        <f t="shared" si="275"/>
        <v>44</v>
      </c>
      <c r="K262" s="86">
        <f t="shared" si="275"/>
        <v>45</v>
      </c>
      <c r="L262" s="86">
        <f t="shared" si="275"/>
        <v>46</v>
      </c>
      <c r="M262" s="86">
        <f t="shared" si="275"/>
        <v>47</v>
      </c>
    </row>
    <row r="263" ht="15.75" customHeight="1">
      <c r="A263" s="69">
        <f>B263+6</f>
        <v>106</v>
      </c>
      <c r="B263" s="69">
        <f t="shared" si="271"/>
        <v>100</v>
      </c>
      <c r="C263" s="76"/>
      <c r="D263" s="81" t="str">
        <f>if(isblank(I263),"",vlookup(I263,Pacing!$A$1:$Z$213,6))</f>
        <v>Investigation</v>
      </c>
      <c r="E263" s="81" t="str">
        <f>if(isblank(J263),"",vlookup(J263,Pacing!$A$1:$Z$213,6))</f>
        <v>Investigation</v>
      </c>
      <c r="F263" s="81" t="str">
        <f>if(isblank(K263),"",vlookup(K263,Pacing!$A$1:$Z$213,6))</f>
        <v>Investigation</v>
      </c>
      <c r="G263" s="81" t="str">
        <f>if(isblank(L263),"",vlookup(L263,Pacing!$A$1:$Z$213,6))</f>
        <v>Investigation</v>
      </c>
      <c r="H263" s="81" t="str">
        <f>if(isblank(M263),"",vlookup(M263,Pacing!$A$1:$Z$213,6))</f>
        <v>Investigation</v>
      </c>
      <c r="I263" s="86">
        <f t="shared" ref="I263:M263" si="276">I262</f>
        <v>43</v>
      </c>
      <c r="J263" s="86">
        <f t="shared" si="276"/>
        <v>44</v>
      </c>
      <c r="K263" s="86">
        <f t="shared" si="276"/>
        <v>45</v>
      </c>
      <c r="L263" s="86">
        <f t="shared" si="276"/>
        <v>46</v>
      </c>
      <c r="M263" s="86">
        <f t="shared" si="276"/>
        <v>47</v>
      </c>
    </row>
    <row r="264" ht="15.75" customHeight="1">
      <c r="A264" s="69">
        <f>B264+7</f>
        <v>107</v>
      </c>
      <c r="B264" s="69">
        <f t="shared" si="271"/>
        <v>100</v>
      </c>
      <c r="C264" s="76"/>
      <c r="D264" s="81" t="str">
        <f>if(isblank(I264),"",vlookup(I264,Pacing!$A$1:$Z$213,7))</f>
        <v>Activity</v>
      </c>
      <c r="E264" s="81" t="str">
        <f>if(isblank(J264),"",vlookup(J264,Pacing!$A$1:$Z$213,7))</f>
        <v>Activity</v>
      </c>
      <c r="F264" s="81" t="str">
        <f>if(isblank(K264),"",vlookup(K264,Pacing!$A$1:$Z$213,7))</f>
        <v>Activity</v>
      </c>
      <c r="G264" s="81" t="str">
        <f>if(isblank(L264),"",vlookup(L264,Pacing!$A$1:$Z$213,7))</f>
        <v>Activity</v>
      </c>
      <c r="H264" s="81" t="str">
        <f>if(isblank(M264),"",vlookup(M264,Pacing!$A$1:$Z$213,7))</f>
        <v>Activity</v>
      </c>
      <c r="I264" s="86">
        <f t="shared" ref="I264:M264" si="277">I263</f>
        <v>43</v>
      </c>
      <c r="J264" s="86">
        <f t="shared" si="277"/>
        <v>44</v>
      </c>
      <c r="K264" s="86">
        <f t="shared" si="277"/>
        <v>45</v>
      </c>
      <c r="L264" s="86">
        <f t="shared" si="277"/>
        <v>46</v>
      </c>
      <c r="M264" s="86">
        <f t="shared" si="277"/>
        <v>47</v>
      </c>
    </row>
    <row r="265" ht="15.75" customHeight="1">
      <c r="A265" s="69">
        <f>B265+8</f>
        <v>108</v>
      </c>
      <c r="B265" s="69">
        <f t="shared" si="271"/>
        <v>100</v>
      </c>
      <c r="C265" s="95"/>
      <c r="D265" s="81" t="str">
        <f>if(isblank(I265),"",vlookup(I265,Pacing!$A$1:$Z$213,8))</f>
        <v>Practice Set</v>
      </c>
      <c r="E265" s="81" t="str">
        <f>if(isblank(J265),"",vlookup(J265,Pacing!$A$1:$Z$213,8))</f>
        <v>Practice Set</v>
      </c>
      <c r="F265" s="81" t="str">
        <f>if(isblank(K265),"",vlookup(K265,Pacing!$A$1:$Z$213,8))</f>
        <v>Practice Set</v>
      </c>
      <c r="G265" s="81" t="str">
        <f>if(isblank(L265),"",vlookup(L265,Pacing!$A$1:$Z$213,8))</f>
        <v>Practice Set</v>
      </c>
      <c r="H265" s="81" t="str">
        <f>if(isblank(M265),"",vlookup(M265,Pacing!$A$1:$Z$213,8))</f>
        <v>Practice Set</v>
      </c>
      <c r="I265" s="86">
        <f t="shared" ref="I265:M265" si="278">I264</f>
        <v>43</v>
      </c>
      <c r="J265" s="86">
        <f t="shared" si="278"/>
        <v>44</v>
      </c>
      <c r="K265" s="86">
        <f t="shared" si="278"/>
        <v>45</v>
      </c>
      <c r="L265" s="86">
        <f t="shared" si="278"/>
        <v>46</v>
      </c>
      <c r="M265" s="86">
        <f t="shared" si="278"/>
        <v>47</v>
      </c>
    </row>
    <row r="266" ht="15.75" customHeight="1">
      <c r="A266" s="69"/>
      <c r="B266" s="69"/>
      <c r="C266" s="71"/>
      <c r="D266" s="81" t="str">
        <f>if(isblank(I266),"",vlookup(I266,Pacing!$A$1:$Z$213,9))</f>
        <v>Extra Practice</v>
      </c>
      <c r="E266" s="81" t="str">
        <f>if(isblank(J266),"",vlookup(J266,Pacing!$A$1:$Z$213,9))</f>
        <v>Extra Practice</v>
      </c>
      <c r="F266" s="81" t="str">
        <f>if(isblank(K266),"",vlookup(K266,Pacing!$A$1:$Z$213,9))</f>
        <v>Extra Practice</v>
      </c>
      <c r="G266" s="81" t="str">
        <f>if(isblank(L266),"",vlookup(L266,Pacing!$A$1:$Z$213,9))</f>
        <v>Extra Practice</v>
      </c>
      <c r="H266" s="81" t="str">
        <f>if(isblank(M266),"",vlookup(M266,Pacing!$A$1:$Z$213,9))</f>
        <v>Extra Practice</v>
      </c>
      <c r="I266" s="86">
        <f t="shared" ref="I266:M266" si="279">I265</f>
        <v>43</v>
      </c>
      <c r="J266" s="86">
        <f t="shared" si="279"/>
        <v>44</v>
      </c>
      <c r="K266" s="86">
        <f t="shared" si="279"/>
        <v>45</v>
      </c>
      <c r="L266" s="86">
        <f t="shared" si="279"/>
        <v>46</v>
      </c>
      <c r="M266" s="86">
        <f t="shared" si="279"/>
        <v>47</v>
      </c>
    </row>
    <row r="267" ht="15.75" customHeight="1">
      <c r="A267" s="69"/>
      <c r="B267" s="69"/>
      <c r="C267" s="71"/>
      <c r="D267" s="81" t="str">
        <f>if(isblank(I267),"",vlookup(I267,Pacing!$A$1:$Z$213,10))</f>
        <v>CYU</v>
      </c>
      <c r="E267" s="81" t="str">
        <f>if(isblank(J267),"",vlookup(J267,Pacing!$A$1:$Z$213,10))</f>
        <v>CYU</v>
      </c>
      <c r="F267" s="81" t="str">
        <f>if(isblank(K267),"",vlookup(K267,Pacing!$A$1:$Z$213,10))</f>
        <v>CYU</v>
      </c>
      <c r="G267" s="81" t="str">
        <f>if(isblank(L267),"",vlookup(L267,Pacing!$A$1:$Z$213,10))</f>
        <v>CYU</v>
      </c>
      <c r="H267" s="81" t="str">
        <f>if(isblank(M267),"",vlookup(M267,Pacing!$A$1:$Z$213,10))</f>
        <v>CYU</v>
      </c>
      <c r="I267" s="86">
        <f t="shared" ref="I267:M267" si="280">I266</f>
        <v>43</v>
      </c>
      <c r="J267" s="86">
        <f t="shared" si="280"/>
        <v>44</v>
      </c>
      <c r="K267" s="86">
        <f t="shared" si="280"/>
        <v>45</v>
      </c>
      <c r="L267" s="86">
        <f t="shared" si="280"/>
        <v>46</v>
      </c>
      <c r="M267" s="86">
        <f t="shared" si="280"/>
        <v>47</v>
      </c>
    </row>
    <row r="268" ht="15.75" customHeight="1">
      <c r="A268" s="69"/>
      <c r="B268" s="69"/>
      <c r="C268" s="71"/>
      <c r="D268" s="81" t="str">
        <f>if(isblank(I268),"",vlookup(I268,Pacing!$A$1:$Z$213,11))</f>
        <v>Progress</v>
      </c>
      <c r="E268" s="81" t="str">
        <f>if(isblank(J268),"",vlookup(J268,Pacing!$A$1:$Z$213,11))</f>
        <v>Progress</v>
      </c>
      <c r="F268" s="81" t="str">
        <f>if(isblank(K268),"",vlookup(K268,Pacing!$A$1:$Z$213,11))</f>
        <v>Progress</v>
      </c>
      <c r="G268" s="81" t="str">
        <f>if(isblank(L268),"",vlookup(L268,Pacing!$A$1:$Z$213,11))</f>
        <v>Progress</v>
      </c>
      <c r="H268" s="81" t="str">
        <f>if(isblank(M268),"",vlookup(M268,Pacing!$A$1:$Z$213,11))</f>
        <v>Progress</v>
      </c>
      <c r="I268" s="86">
        <f t="shared" ref="I268:M268" si="281">I267</f>
        <v>43</v>
      </c>
      <c r="J268" s="86">
        <f t="shared" si="281"/>
        <v>44</v>
      </c>
      <c r="K268" s="86">
        <f t="shared" si="281"/>
        <v>45</v>
      </c>
      <c r="L268" s="86">
        <f t="shared" si="281"/>
        <v>46</v>
      </c>
      <c r="M268" s="86">
        <f t="shared" si="281"/>
        <v>47</v>
      </c>
    </row>
    <row r="269" ht="15.75" customHeight="1">
      <c r="A269" s="69"/>
      <c r="B269" s="69"/>
      <c r="C269" s="71"/>
      <c r="D269" s="81" t="str">
        <f>if(isblank(I269),"",vlookup(I269,Pacing!$A$1:$Z$213,12))</f>
        <v>Review</v>
      </c>
      <c r="E269" s="81" t="str">
        <f>if(isblank(J269),"",vlookup(J269,Pacing!$A$1:$Z$213,12))</f>
        <v>Review</v>
      </c>
      <c r="F269" s="81" t="str">
        <f>if(isblank(K269),"",vlookup(K269,Pacing!$A$1:$Z$213,12))</f>
        <v>Review</v>
      </c>
      <c r="G269" s="81" t="str">
        <f>if(isblank(L269),"",vlookup(L269,Pacing!$A$1:$Z$213,12))</f>
        <v>Review</v>
      </c>
      <c r="H269" s="81" t="str">
        <f>if(isblank(M269),"",vlookup(M269,Pacing!$A$1:$Z$213,12))</f>
        <v>Review</v>
      </c>
      <c r="I269" s="86">
        <f t="shared" ref="I269:M269" si="282">I268</f>
        <v>43</v>
      </c>
      <c r="J269" s="86">
        <f t="shared" si="282"/>
        <v>44</v>
      </c>
      <c r="K269" s="86">
        <f t="shared" si="282"/>
        <v>45</v>
      </c>
      <c r="L269" s="86">
        <f t="shared" si="282"/>
        <v>46</v>
      </c>
      <c r="M269" s="86">
        <f t="shared" si="282"/>
        <v>47</v>
      </c>
    </row>
    <row r="270" ht="15.75" customHeight="1">
      <c r="A270" s="69"/>
      <c r="B270" s="69"/>
      <c r="C270" s="71"/>
      <c r="D270" s="91" t="str">
        <f>if(isblank(I270),"",vlookup(I270,Pacing!$A$1:$Z$213,13))</f>
        <v/>
      </c>
      <c r="E270" s="91" t="str">
        <f>if(isblank(J270),"",vlookup(J270,Pacing!$A$1:$Z$213,13))</f>
        <v/>
      </c>
      <c r="F270" s="91" t="str">
        <f>if(isblank(K270),"",vlookup(K270,Pacing!$A$1:$Z$213,13))</f>
        <v/>
      </c>
      <c r="G270" s="91" t="str">
        <f>if(isblank(L270),"",vlookup(L270,Pacing!$A$1:$Z$213,13))</f>
        <v/>
      </c>
      <c r="H270" s="91" t="str">
        <f>if(isblank(M270),"",vlookup(M270,Pacing!$A$1:$Z$213,13))</f>
        <v/>
      </c>
      <c r="I270" s="86">
        <f t="shared" ref="I270:M270" si="283">I269</f>
        <v>43</v>
      </c>
      <c r="J270" s="86">
        <f t="shared" si="283"/>
        <v>44</v>
      </c>
      <c r="K270" s="86">
        <f t="shared" si="283"/>
        <v>45</v>
      </c>
      <c r="L270" s="86">
        <f t="shared" si="283"/>
        <v>46</v>
      </c>
      <c r="M270" s="86">
        <f t="shared" si="283"/>
        <v>47</v>
      </c>
    </row>
    <row r="271" ht="15.75" customHeight="1">
      <c r="A271" s="69"/>
      <c r="B271" s="69"/>
      <c r="C271" s="71"/>
      <c r="D271" s="81" t="str">
        <f>if(isblank(I271),"",vlookup(I271,Pacing!$A$1:$Z$213,14))</f>
        <v>Notes Teacher</v>
      </c>
      <c r="E271" s="81" t="str">
        <f>if(isblank(J271),"",vlookup(J271,Pacing!$A$1:$Z$213,14))</f>
        <v>Notes Teacher</v>
      </c>
      <c r="F271" s="81" t="str">
        <f>if(isblank(K271),"",vlookup(K271,Pacing!$A$1:$Z$213,14))</f>
        <v>Notes Teacher</v>
      </c>
      <c r="G271" s="81" t="str">
        <f>if(isblank(L271),"",vlookup(L271,Pacing!$A$1:$Z$213,14))</f>
        <v>Notes Teacher</v>
      </c>
      <c r="H271" s="81" t="str">
        <f>if(isblank(M271),"",vlookup(M271,Pacing!$A$1:$Z$213,14))</f>
        <v>Notes Teacher</v>
      </c>
      <c r="I271" s="86">
        <f t="shared" ref="I271:M271" si="284">I270</f>
        <v>43</v>
      </c>
      <c r="J271" s="86">
        <f t="shared" si="284"/>
        <v>44</v>
      </c>
      <c r="K271" s="86">
        <f t="shared" si="284"/>
        <v>45</v>
      </c>
      <c r="L271" s="86">
        <f t="shared" si="284"/>
        <v>46</v>
      </c>
      <c r="M271" s="86">
        <f t="shared" si="284"/>
        <v>47</v>
      </c>
    </row>
    <row r="272" ht="15.75" customHeight="1">
      <c r="A272" s="69"/>
      <c r="B272" s="69"/>
      <c r="C272" s="71"/>
      <c r="D272" s="81" t="str">
        <f>if(isblank(I272),"",vlookup(I272,Pacing!$A$1:$Z$213,15))</f>
        <v>Demo Teacher</v>
      </c>
      <c r="E272" s="81" t="str">
        <f>if(isblank(J272),"",vlookup(J272,Pacing!$A$1:$Z$213,15))</f>
        <v>Demo Teacher</v>
      </c>
      <c r="F272" s="81" t="str">
        <f>if(isblank(K272),"",vlookup(K272,Pacing!$A$1:$Z$213,15))</f>
        <v>Demo Teacher</v>
      </c>
      <c r="G272" s="81" t="str">
        <f>if(isblank(L272),"",vlookup(L272,Pacing!$A$1:$Z$213,15))</f>
        <v>Demo Teacher</v>
      </c>
      <c r="H272" s="81" t="str">
        <f>if(isblank(M272),"",vlookup(M272,Pacing!$A$1:$Z$213,15))</f>
        <v>Demo Teacher</v>
      </c>
      <c r="I272" s="86">
        <f t="shared" ref="I272:M272" si="285">I271</f>
        <v>43</v>
      </c>
      <c r="J272" s="86">
        <f t="shared" si="285"/>
        <v>44</v>
      </c>
      <c r="K272" s="86">
        <f t="shared" si="285"/>
        <v>45</v>
      </c>
      <c r="L272" s="86">
        <f t="shared" si="285"/>
        <v>46</v>
      </c>
      <c r="M272" s="86">
        <f t="shared" si="285"/>
        <v>47</v>
      </c>
    </row>
    <row r="273" ht="15.75" customHeight="1">
      <c r="A273" s="69"/>
      <c r="B273" s="69"/>
      <c r="C273" s="71"/>
      <c r="D273" s="81" t="str">
        <f>if(isblank(I273),"",vlookup(I273,Pacing!$A$1:$Z$213,16))</f>
        <v>Invest Teacher</v>
      </c>
      <c r="E273" s="81" t="str">
        <f>if(isblank(J273),"",vlookup(J273,Pacing!$A$1:$Z$213,16))</f>
        <v>Invest Teacher</v>
      </c>
      <c r="F273" s="81" t="str">
        <f>if(isblank(K273),"",vlookup(K273,Pacing!$A$1:$Z$213,16))</f>
        <v>Invest Teacher</v>
      </c>
      <c r="G273" s="81" t="str">
        <f>if(isblank(L273),"",vlookup(L273,Pacing!$A$1:$Z$213,16))</f>
        <v>Invest Teacher</v>
      </c>
      <c r="H273" s="81" t="str">
        <f>if(isblank(M273),"",vlookup(M273,Pacing!$A$1:$Z$213,16))</f>
        <v>Invest Teacher</v>
      </c>
      <c r="I273" s="86">
        <f t="shared" ref="I273:M273" si="286">I272</f>
        <v>43</v>
      </c>
      <c r="J273" s="86">
        <f t="shared" si="286"/>
        <v>44</v>
      </c>
      <c r="K273" s="86">
        <f t="shared" si="286"/>
        <v>45</v>
      </c>
      <c r="L273" s="86">
        <f t="shared" si="286"/>
        <v>46</v>
      </c>
      <c r="M273" s="86">
        <f t="shared" si="286"/>
        <v>47</v>
      </c>
    </row>
    <row r="274" ht="15.75" customHeight="1">
      <c r="A274" s="69"/>
      <c r="B274" s="69"/>
      <c r="C274" s="71"/>
      <c r="D274" s="81" t="str">
        <f>if(isblank(I274),"",vlookup(I274,Pacing!$A$1:$Z$213,17))</f>
        <v>PT Teacher</v>
      </c>
      <c r="E274" s="81" t="str">
        <f>if(isblank(J274),"",vlookup(J274,Pacing!$A$1:$Z$213,17))</f>
        <v>PT Teacher</v>
      </c>
      <c r="F274" s="81" t="str">
        <f>if(isblank(K274),"",vlookup(K274,Pacing!$A$1:$Z$213,17))</f>
        <v>PT Teacher</v>
      </c>
      <c r="G274" s="81" t="str">
        <f>if(isblank(L274),"",vlookup(L274,Pacing!$A$1:$Z$213,17))</f>
        <v>PT Teacher</v>
      </c>
      <c r="H274" s="81" t="str">
        <f>if(isblank(M274),"",vlookup(M274,Pacing!$A$1:$Z$213,17))</f>
        <v>PT Teacher</v>
      </c>
      <c r="I274" s="86">
        <f t="shared" ref="I274:M274" si="287">I273</f>
        <v>43</v>
      </c>
      <c r="J274" s="86">
        <f t="shared" si="287"/>
        <v>44</v>
      </c>
      <c r="K274" s="86">
        <f t="shared" si="287"/>
        <v>45</v>
      </c>
      <c r="L274" s="86">
        <f t="shared" si="287"/>
        <v>46</v>
      </c>
      <c r="M274" s="86">
        <f t="shared" si="287"/>
        <v>47</v>
      </c>
    </row>
    <row r="275" ht="15.75" customHeight="1">
      <c r="A275" s="69"/>
      <c r="B275" s="69"/>
      <c r="C275" s="71"/>
      <c r="D275" s="81" t="str">
        <f>if(isblank(I275),"",vlookup(I275,Pacing!$A$1:$Z$213,18))</f>
        <v>Assess Plan</v>
      </c>
      <c r="E275" s="81" t="str">
        <f>if(isblank(J275),"",vlookup(J275,Pacing!$A$1:$Z$213,18))</f>
        <v>Assess Plan</v>
      </c>
      <c r="F275" s="81" t="str">
        <f>if(isblank(K275),"",vlookup(K275,Pacing!$A$1:$Z$213,18))</f>
        <v>Assess Plan</v>
      </c>
      <c r="G275" s="81" t="str">
        <f>if(isblank(L275),"",vlookup(L275,Pacing!$A$1:$Z$213,18))</f>
        <v>Assess Plan</v>
      </c>
      <c r="H275" s="81" t="str">
        <f>if(isblank(M275),"",vlookup(M275,Pacing!$A$1:$Z$213,18))</f>
        <v>Assess Plan</v>
      </c>
      <c r="I275" s="86">
        <f t="shared" ref="I275:M275" si="288">I274</f>
        <v>43</v>
      </c>
      <c r="J275" s="86">
        <f t="shared" si="288"/>
        <v>44</v>
      </c>
      <c r="K275" s="86">
        <f t="shared" si="288"/>
        <v>45</v>
      </c>
      <c r="L275" s="86">
        <f t="shared" si="288"/>
        <v>46</v>
      </c>
      <c r="M275" s="86">
        <f t="shared" si="288"/>
        <v>47</v>
      </c>
    </row>
    <row r="276" ht="15.75" customHeight="1">
      <c r="A276" s="69"/>
      <c r="B276" s="69"/>
      <c r="C276" s="71"/>
      <c r="D276" s="81" t="str">
        <f>if(isblank(I276),"",vlookup(I276,Pacing!$A$1:$Z$213,19))</f>
        <v>Perform Task</v>
      </c>
      <c r="E276" s="81" t="str">
        <f>if(isblank(J276),"",vlookup(J276,Pacing!$A$1:$Z$213,19))</f>
        <v>Perform Task</v>
      </c>
      <c r="F276" s="81" t="str">
        <f>if(isblank(K276),"",vlookup(K276,Pacing!$A$1:$Z$213,19))</f>
        <v>Perform Task</v>
      </c>
      <c r="G276" s="81" t="str">
        <f>if(isblank(L276),"",vlookup(L276,Pacing!$A$1:$Z$213,19))</f>
        <v>Perform Task</v>
      </c>
      <c r="H276" s="81" t="str">
        <f>if(isblank(M276),"",vlookup(M276,Pacing!$A$1:$Z$213,19))</f>
        <v>Perform Task</v>
      </c>
      <c r="I276" s="86">
        <f t="shared" ref="I276:M276" si="289">I275</f>
        <v>43</v>
      </c>
      <c r="J276" s="86">
        <f t="shared" si="289"/>
        <v>44</v>
      </c>
      <c r="K276" s="86">
        <f t="shared" si="289"/>
        <v>45</v>
      </c>
      <c r="L276" s="86">
        <f t="shared" si="289"/>
        <v>46</v>
      </c>
      <c r="M276" s="86">
        <f t="shared" si="289"/>
        <v>47</v>
      </c>
    </row>
    <row r="277" ht="15.75" customHeight="1">
      <c r="A277" s="69"/>
      <c r="B277" s="69"/>
      <c r="C277" s="71"/>
      <c r="D277" s="81" t="str">
        <f>if(isblank(I277),"",vlookup(I277,Pacing!$A$1:$Z$213,20))</f>
        <v>Quick Check</v>
      </c>
      <c r="E277" s="81" t="str">
        <f>if(isblank(J277),"",vlookup(J277,Pacing!$A$1:$Z$213,20))</f>
        <v>Quick Check</v>
      </c>
      <c r="F277" s="81" t="str">
        <f>if(isblank(K277),"",vlookup(K277,Pacing!$A$1:$Z$213,20))</f>
        <v>Quick Check</v>
      </c>
      <c r="G277" s="81" t="str">
        <f>if(isblank(L277),"",vlookup(L277,Pacing!$A$1:$Z$213,20))</f>
        <v>Quick Check</v>
      </c>
      <c r="H277" s="81" t="str">
        <f>if(isblank(M277),"",vlookup(M277,Pacing!$A$1:$Z$213,20))</f>
        <v>Quick Check</v>
      </c>
      <c r="I277" s="86">
        <f t="shared" ref="I277:M277" si="290">I276</f>
        <v>43</v>
      </c>
      <c r="J277" s="86">
        <f t="shared" si="290"/>
        <v>44</v>
      </c>
      <c r="K277" s="86">
        <f t="shared" si="290"/>
        <v>45</v>
      </c>
      <c r="L277" s="86">
        <f t="shared" si="290"/>
        <v>46</v>
      </c>
      <c r="M277" s="86">
        <f t="shared" si="290"/>
        <v>47</v>
      </c>
    </row>
    <row r="278" ht="15.75" customHeight="1">
      <c r="A278" s="69"/>
      <c r="B278" s="69"/>
      <c r="C278" s="71"/>
      <c r="D278" s="81" t="str">
        <f>if(isblank(I278),"",vlookup(I278,Pacing!$A$1:$Z$213,21))</f>
        <v>Exit Ticket</v>
      </c>
      <c r="E278" s="81" t="str">
        <f>if(isblank(J278),"",vlookup(J278,Pacing!$A$1:$Z$213,21))</f>
        <v>Exit Ticket</v>
      </c>
      <c r="F278" s="81" t="str">
        <f>if(isblank(K278),"",vlookup(K278,Pacing!$A$1:$Z$213,21))</f>
        <v>Exit Ticket</v>
      </c>
      <c r="G278" s="81" t="str">
        <f>if(isblank(L278),"",vlookup(L278,Pacing!$A$1:$Z$213,21))</f>
        <v>Exit Ticket</v>
      </c>
      <c r="H278" s="81" t="str">
        <f>if(isblank(M278),"",vlookup(M278,Pacing!$A$1:$Z$213,21))</f>
        <v>Exit Ticket</v>
      </c>
      <c r="I278" s="86">
        <f t="shared" ref="I278:M278" si="291">I277</f>
        <v>43</v>
      </c>
      <c r="J278" s="86">
        <f t="shared" si="291"/>
        <v>44</v>
      </c>
      <c r="K278" s="86">
        <f t="shared" si="291"/>
        <v>45</v>
      </c>
      <c r="L278" s="86">
        <f t="shared" si="291"/>
        <v>46</v>
      </c>
      <c r="M278" s="86">
        <f t="shared" si="291"/>
        <v>47</v>
      </c>
    </row>
    <row r="279" ht="15.75" customHeight="1">
      <c r="A279" s="69"/>
      <c r="B279" s="69"/>
      <c r="C279" s="71"/>
      <c r="D279" s="81" t="str">
        <f>if(isblank(I279),"",vlookup(I279,Pacing!$A$1:$Z$213,22))</f>
        <v>Practice 2</v>
      </c>
      <c r="E279" s="81" t="str">
        <f>if(isblank(J279),"",vlookup(J279,Pacing!$A$1:$Z$213,22))</f>
        <v>Practice 2</v>
      </c>
      <c r="F279" s="81" t="str">
        <f>if(isblank(K279),"",vlookup(K279,Pacing!$A$1:$Z$213,22))</f>
        <v>Practice 2</v>
      </c>
      <c r="G279" s="81" t="str">
        <f>if(isblank(L279),"",vlookup(L279,Pacing!$A$1:$Z$213,22))</f>
        <v>Practice 2</v>
      </c>
      <c r="H279" s="81" t="str">
        <f>if(isblank(M279),"",vlookup(M279,Pacing!$A$1:$Z$213,22))</f>
        <v>Practice 2</v>
      </c>
      <c r="I279" s="86">
        <f t="shared" ref="I279:M279" si="292">I278</f>
        <v>43</v>
      </c>
      <c r="J279" s="86">
        <f t="shared" si="292"/>
        <v>44</v>
      </c>
      <c r="K279" s="86">
        <f t="shared" si="292"/>
        <v>45</v>
      </c>
      <c r="L279" s="86">
        <f t="shared" si="292"/>
        <v>46</v>
      </c>
      <c r="M279" s="86">
        <f t="shared" si="292"/>
        <v>47</v>
      </c>
    </row>
    <row r="280" ht="15.75" customHeight="1">
      <c r="A280" s="69"/>
      <c r="B280" s="69"/>
      <c r="C280" s="71"/>
      <c r="D280" s="81" t="str">
        <f>if(isblank(I280),"",vlookup(I280,Pacing!$A$1:$Z$213,23))</f>
        <v>Practice 3</v>
      </c>
      <c r="E280" s="81" t="str">
        <f>if(isblank(J280),"",vlookup(J280,Pacing!$A$1:$Z$213,23))</f>
        <v>Practice 3</v>
      </c>
      <c r="F280" s="81" t="str">
        <f>if(isblank(K280),"",vlookup(K280,Pacing!$A$1:$Z$213,23))</f>
        <v>Practice 3</v>
      </c>
      <c r="G280" s="81" t="str">
        <f>if(isblank(L280),"",vlookup(L280,Pacing!$A$1:$Z$213,23))</f>
        <v>Practice 3</v>
      </c>
      <c r="H280" s="81" t="str">
        <f>if(isblank(M280),"",vlookup(M280,Pacing!$A$1:$Z$213,23))</f>
        <v>Practice 3</v>
      </c>
      <c r="I280" s="86">
        <f t="shared" ref="I280:M280" si="293">I279</f>
        <v>43</v>
      </c>
      <c r="J280" s="86">
        <f t="shared" si="293"/>
        <v>44</v>
      </c>
      <c r="K280" s="86">
        <f t="shared" si="293"/>
        <v>45</v>
      </c>
      <c r="L280" s="86">
        <f t="shared" si="293"/>
        <v>46</v>
      </c>
      <c r="M280" s="86">
        <f t="shared" si="293"/>
        <v>47</v>
      </c>
    </row>
    <row r="281" ht="15.75" customHeight="1">
      <c r="A281" s="69"/>
      <c r="B281" s="69"/>
      <c r="C281" s="71"/>
      <c r="D281" s="81" t="str">
        <f>if(isblank(I281),"",vlookup(I281,Pacing!$A$1:$Z$213,24))</f>
        <v>Sum Assess</v>
      </c>
      <c r="E281" s="81" t="str">
        <f>if(isblank(J281),"",vlookup(J281,Pacing!$A$1:$Z$213,24))</f>
        <v>Sum Assess</v>
      </c>
      <c r="F281" s="81" t="str">
        <f>if(isblank(K281),"",vlookup(K281,Pacing!$A$1:$Z$213,24))</f>
        <v>Sum Assess</v>
      </c>
      <c r="G281" s="81" t="str">
        <f>if(isblank(L281),"",vlookup(L281,Pacing!$A$1:$Z$213,24))</f>
        <v>Sum Assess</v>
      </c>
      <c r="H281" s="81" t="str">
        <f>if(isblank(M281),"",vlookup(M281,Pacing!$A$1:$Z$213,24))</f>
        <v>Sum Assess</v>
      </c>
      <c r="I281" s="86">
        <f t="shared" ref="I281:M281" si="294">I280</f>
        <v>43</v>
      </c>
      <c r="J281" s="86">
        <f t="shared" si="294"/>
        <v>44</v>
      </c>
      <c r="K281" s="86">
        <f t="shared" si="294"/>
        <v>45</v>
      </c>
      <c r="L281" s="86">
        <f t="shared" si="294"/>
        <v>46</v>
      </c>
      <c r="M281" s="86">
        <f t="shared" si="294"/>
        <v>47</v>
      </c>
    </row>
    <row r="282" ht="15.75" customHeight="1">
      <c r="A282" s="69"/>
      <c r="B282" s="69"/>
      <c r="C282" s="71"/>
      <c r="D282" s="81" t="str">
        <f>if(isblank(I282),"",vlookup(I282,Pacing!$A$1:$Z$213,25))</f>
        <v>Bank</v>
      </c>
      <c r="E282" s="81" t="str">
        <f>if(isblank(J282),"",vlookup(J282,Pacing!$A$1:$Z$213,25))</f>
        <v>Bank</v>
      </c>
      <c r="F282" s="81" t="str">
        <f>if(isblank(K282),"",vlookup(K282,Pacing!$A$1:$Z$213,25))</f>
        <v>Bank</v>
      </c>
      <c r="G282" s="81" t="str">
        <f>if(isblank(L282),"",vlookup(L282,Pacing!$A$1:$Z$213,25))</f>
        <v>Bank</v>
      </c>
      <c r="H282" s="81" t="str">
        <f>if(isblank(M282),"",vlookup(M282,Pacing!$A$1:$Z$213,25))</f>
        <v>Bank</v>
      </c>
      <c r="I282" s="86">
        <f t="shared" ref="I282:M282" si="295">I281</f>
        <v>43</v>
      </c>
      <c r="J282" s="86">
        <f t="shared" si="295"/>
        <v>44</v>
      </c>
      <c r="K282" s="86">
        <f t="shared" si="295"/>
        <v>45</v>
      </c>
      <c r="L282" s="86">
        <f t="shared" si="295"/>
        <v>46</v>
      </c>
      <c r="M282" s="86">
        <f t="shared" si="295"/>
        <v>47</v>
      </c>
    </row>
    <row r="283" ht="15.75" customHeight="1">
      <c r="A283" s="69"/>
      <c r="B283" s="69"/>
      <c r="C283" s="71"/>
      <c r="D283" s="91" t="str">
        <f>if(isblank(I283),"",vlookup(I283,Pacing!$A$1:$Z$213,26))</f>
        <v/>
      </c>
      <c r="E283" s="89" t="str">
        <f>if(isblank(J283),"",vlookup(J283,Pacing!$A$1:$Z$213,26))</f>
        <v/>
      </c>
      <c r="F283" s="89" t="str">
        <f>if(isblank(K283),"",vlookup(K283,Pacing!$A$1:$Z$213,26))</f>
        <v/>
      </c>
      <c r="G283" s="89" t="str">
        <f>if(isblank(L283),"",vlookup(L283,Pacing!$A$1:$Z$213,26))</f>
        <v/>
      </c>
      <c r="H283" s="89" t="str">
        <f>if(isblank(M283),"",vlookup(M283,Pacing!$A$1:$Z$213,26))</f>
        <v/>
      </c>
      <c r="I283" s="86">
        <f t="shared" ref="I283:M283" si="296">I282</f>
        <v>43</v>
      </c>
      <c r="J283" s="86">
        <f t="shared" si="296"/>
        <v>44</v>
      </c>
      <c r="K283" s="86">
        <f t="shared" si="296"/>
        <v>45</v>
      </c>
      <c r="L283" s="86">
        <f t="shared" si="296"/>
        <v>46</v>
      </c>
      <c r="M283" s="86">
        <f t="shared" si="296"/>
        <v>47</v>
      </c>
    </row>
    <row r="284" ht="15.75" customHeight="1">
      <c r="A284" s="137"/>
      <c r="B284" s="137"/>
      <c r="C284" s="138"/>
      <c r="D284" s="139">
        <f>H257+1</f>
        <v>48</v>
      </c>
      <c r="E284" s="139">
        <f t="shared" ref="E284:H284" si="297">D284+1</f>
        <v>49</v>
      </c>
      <c r="F284" s="139">
        <f t="shared" si="297"/>
        <v>50</v>
      </c>
      <c r="G284" s="139">
        <f t="shared" si="297"/>
        <v>51</v>
      </c>
      <c r="H284" s="139">
        <f t="shared" si="297"/>
        <v>52</v>
      </c>
      <c r="I284" s="55">
        <f t="shared" ref="I284:M284" si="298">D284</f>
        <v>48</v>
      </c>
      <c r="J284" s="55">
        <f t="shared" si="298"/>
        <v>49</v>
      </c>
      <c r="K284" s="55">
        <f t="shared" si="298"/>
        <v>50</v>
      </c>
      <c r="L284" s="55">
        <f t="shared" si="298"/>
        <v>51</v>
      </c>
      <c r="M284" s="55">
        <f t="shared" si="298"/>
        <v>52</v>
      </c>
    </row>
    <row r="285" ht="15.75" customHeight="1">
      <c r="A285" s="69">
        <f>B285+1</f>
        <v>111</v>
      </c>
      <c r="B285" s="69">
        <f t="shared" ref="B285:B292" si="300">$C$285*10</f>
        <v>110</v>
      </c>
      <c r="C285" s="71">
        <f>C258+1</f>
        <v>11</v>
      </c>
      <c r="D285" s="72">
        <f>D258+7</f>
        <v>46335</v>
      </c>
      <c r="E285" s="72">
        <f t="shared" ref="E285:H285" si="299">D285+1</f>
        <v>46336</v>
      </c>
      <c r="F285" s="72">
        <f t="shared" si="299"/>
        <v>46337</v>
      </c>
      <c r="G285" s="72">
        <f t="shared" si="299"/>
        <v>46338</v>
      </c>
      <c r="H285" s="72">
        <f t="shared" si="299"/>
        <v>46339</v>
      </c>
      <c r="I285" s="62" t="s">
        <v>42</v>
      </c>
    </row>
    <row r="286" ht="15.75" customHeight="1">
      <c r="A286" s="75">
        <f>B286+2</f>
        <v>112</v>
      </c>
      <c r="B286" s="75">
        <f t="shared" si="300"/>
        <v>110</v>
      </c>
      <c r="C286" s="76"/>
      <c r="D286" s="131" t="str">
        <f>if(isblank(I286),"",vlookup(I286,Pacing!$A$1:$Z$213,2))</f>
        <v>3.4: Newton's 3rd</v>
      </c>
      <c r="E286" s="131" t="str">
        <f>if(isblank(J286),"",vlookup(J286,Pacing!$A$1:$Z$213,2))</f>
        <v>3.5: Projectile</v>
      </c>
      <c r="F286" s="131" t="str">
        <f>if(isblank(K286),"",vlookup(K286,Pacing!$A$1:$Z$213,2))</f>
        <v>3.5: Projectile</v>
      </c>
      <c r="G286" s="131" t="str">
        <f>if(isblank(L286),"",vlookup(L286,Pacing!$A$1:$Z$213,2))</f>
        <v>3.5: Projectile</v>
      </c>
      <c r="H286" s="131" t="str">
        <f>if(isblank(M286),"",vlookup(M286,Pacing!$A$1:$Z$213,2))</f>
        <v>Unit 3 Sum Assess</v>
      </c>
      <c r="I286" s="78">
        <f t="shared" ref="I286:M286" si="301">I284</f>
        <v>48</v>
      </c>
      <c r="J286" s="78">
        <f t="shared" si="301"/>
        <v>49</v>
      </c>
      <c r="K286" s="78">
        <f t="shared" si="301"/>
        <v>50</v>
      </c>
      <c r="L286" s="78">
        <f t="shared" si="301"/>
        <v>51</v>
      </c>
      <c r="M286" s="78">
        <f t="shared" si="301"/>
        <v>52</v>
      </c>
    </row>
    <row r="287" ht="15.75" customHeight="1">
      <c r="A287" s="69">
        <f>B287+3</f>
        <v>113</v>
      </c>
      <c r="B287" s="69">
        <f t="shared" si="300"/>
        <v>110</v>
      </c>
      <c r="C287" s="76"/>
      <c r="D287" s="81" t="str">
        <f>if(isblank(I287),"",vlookup(I287,Pacing!$A$1:$Z$213,3))</f>
        <v>Warm Up</v>
      </c>
      <c r="E287" s="81" t="str">
        <f>if(isblank(J287),"",vlookup(J287,Pacing!$A$1:$Z$213,3))</f>
        <v>Warm Up</v>
      </c>
      <c r="F287" s="81" t="str">
        <f>if(isblank(K287),"",vlookup(K287,Pacing!$A$1:$Z$213,3))</f>
        <v>Warm Up</v>
      </c>
      <c r="G287" s="81" t="str">
        <f>if(isblank(L287),"",vlookup(L287,Pacing!$A$1:$Z$213,3))</f>
        <v>Warm Up</v>
      </c>
      <c r="H287" s="89" t="str">
        <f>if(isblank(M287),"",vlookup(M287,Pacing!$A$1:$Z$213,3))</f>
        <v/>
      </c>
      <c r="I287" s="86">
        <f t="shared" ref="I287:M287" si="302">I286</f>
        <v>48</v>
      </c>
      <c r="J287" s="86">
        <f t="shared" si="302"/>
        <v>49</v>
      </c>
      <c r="K287" s="86">
        <f t="shared" si="302"/>
        <v>50</v>
      </c>
      <c r="L287" s="86">
        <f t="shared" si="302"/>
        <v>51</v>
      </c>
      <c r="M287" s="86">
        <f t="shared" si="302"/>
        <v>52</v>
      </c>
    </row>
    <row r="288" ht="15.75" customHeight="1">
      <c r="A288" s="69">
        <f>B288+4</f>
        <v>114</v>
      </c>
      <c r="B288" s="69">
        <f t="shared" si="300"/>
        <v>110</v>
      </c>
      <c r="C288" s="76"/>
      <c r="D288" s="81" t="str">
        <f>if(isblank(I288),"",vlookup(I288,Pacing!$A$1:$Z$213,4))</f>
        <v>Demo</v>
      </c>
      <c r="E288" s="81" t="str">
        <f>if(isblank(J288),"",vlookup(J288,Pacing!$A$1:$Z$213,4))</f>
        <v>Demo</v>
      </c>
      <c r="F288" s="81" t="str">
        <f>if(isblank(K288),"",vlookup(K288,Pacing!$A$1:$Z$213,4))</f>
        <v>Demo</v>
      </c>
      <c r="G288" s="81" t="str">
        <f>if(isblank(L288),"",vlookup(L288,Pacing!$A$1:$Z$213,4))</f>
        <v>Demo</v>
      </c>
      <c r="H288" s="89" t="str">
        <f>if(isblank(M288),"",vlookup(M288,Pacing!$A$1:$Z$213,4))</f>
        <v/>
      </c>
      <c r="I288" s="86">
        <f t="shared" ref="I288:M288" si="303">I287</f>
        <v>48</v>
      </c>
      <c r="J288" s="86">
        <f t="shared" si="303"/>
        <v>49</v>
      </c>
      <c r="K288" s="86">
        <f t="shared" si="303"/>
        <v>50</v>
      </c>
      <c r="L288" s="86">
        <f t="shared" si="303"/>
        <v>51</v>
      </c>
      <c r="M288" s="86">
        <f t="shared" si="303"/>
        <v>52</v>
      </c>
    </row>
    <row r="289" ht="15.75" customHeight="1">
      <c r="A289" s="69">
        <f>B289+5</f>
        <v>115</v>
      </c>
      <c r="B289" s="69">
        <f t="shared" si="300"/>
        <v>110</v>
      </c>
      <c r="C289" s="76"/>
      <c r="D289" s="81" t="str">
        <f>if(isblank(I289),"",vlookup(I289,Pacing!$A$1:$Z$213,5))</f>
        <v>Notes</v>
      </c>
      <c r="E289" s="81" t="str">
        <f>if(isblank(J289),"",vlookup(J289,Pacing!$A$1:$Z$213,5))</f>
        <v>Notes</v>
      </c>
      <c r="F289" s="81" t="str">
        <f>if(isblank(K289),"",vlookup(K289,Pacing!$A$1:$Z$213,5))</f>
        <v>Notes</v>
      </c>
      <c r="G289" s="81" t="str">
        <f>if(isblank(L289),"",vlookup(L289,Pacing!$A$1:$Z$213,5))</f>
        <v>Notes</v>
      </c>
      <c r="H289" s="89" t="str">
        <f>if(isblank(M289),"",vlookup(M289,Pacing!$A$1:$Z$213,5))</f>
        <v/>
      </c>
      <c r="I289" s="86">
        <f t="shared" ref="I289:M289" si="304">I288</f>
        <v>48</v>
      </c>
      <c r="J289" s="86">
        <f t="shared" si="304"/>
        <v>49</v>
      </c>
      <c r="K289" s="86">
        <f t="shared" si="304"/>
        <v>50</v>
      </c>
      <c r="L289" s="86">
        <f t="shared" si="304"/>
        <v>51</v>
      </c>
      <c r="M289" s="86">
        <f t="shared" si="304"/>
        <v>52</v>
      </c>
    </row>
    <row r="290" ht="15.75" customHeight="1">
      <c r="A290" s="69">
        <f>B290+6</f>
        <v>116</v>
      </c>
      <c r="B290" s="69">
        <f t="shared" si="300"/>
        <v>110</v>
      </c>
      <c r="C290" s="76"/>
      <c r="D290" s="81" t="str">
        <f>if(isblank(I290),"",vlookup(I290,Pacing!$A$1:$Z$213,6))</f>
        <v>Investigation</v>
      </c>
      <c r="E290" s="81" t="str">
        <f>if(isblank(J290),"",vlookup(J290,Pacing!$A$1:$Z$213,6))</f>
        <v>Investigation</v>
      </c>
      <c r="F290" s="81" t="str">
        <f>if(isblank(K290),"",vlookup(K290,Pacing!$A$1:$Z$213,6))</f>
        <v>Investigation</v>
      </c>
      <c r="G290" s="81" t="str">
        <f>if(isblank(L290),"",vlookup(L290,Pacing!$A$1:$Z$213,6))</f>
        <v>Investigation</v>
      </c>
      <c r="H290" s="89" t="str">
        <f>if(isblank(M290),"",vlookup(M290,Pacing!$A$1:$Z$213,6))</f>
        <v/>
      </c>
      <c r="I290" s="86">
        <f t="shared" ref="I290:M290" si="305">I289</f>
        <v>48</v>
      </c>
      <c r="J290" s="86">
        <f t="shared" si="305"/>
        <v>49</v>
      </c>
      <c r="K290" s="86">
        <f t="shared" si="305"/>
        <v>50</v>
      </c>
      <c r="L290" s="86">
        <f t="shared" si="305"/>
        <v>51</v>
      </c>
      <c r="M290" s="86">
        <f t="shared" si="305"/>
        <v>52</v>
      </c>
    </row>
    <row r="291" ht="15.75" customHeight="1">
      <c r="A291" s="69">
        <f>B291+7</f>
        <v>117</v>
      </c>
      <c r="B291" s="69">
        <f t="shared" si="300"/>
        <v>110</v>
      </c>
      <c r="C291" s="76"/>
      <c r="D291" s="81" t="str">
        <f>if(isblank(I291),"",vlookup(I291,Pacing!$A$1:$Z$213,7))</f>
        <v>Activity</v>
      </c>
      <c r="E291" s="81" t="str">
        <f>if(isblank(J291),"",vlookup(J291,Pacing!$A$1:$Z$213,7))</f>
        <v>Activity</v>
      </c>
      <c r="F291" s="81" t="str">
        <f>if(isblank(K291),"",vlookup(K291,Pacing!$A$1:$Z$213,7))</f>
        <v>Activity</v>
      </c>
      <c r="G291" s="81" t="str">
        <f>if(isblank(L291),"",vlookup(L291,Pacing!$A$1:$Z$213,7))</f>
        <v>Activity</v>
      </c>
      <c r="H291" s="89" t="str">
        <f>if(isblank(M291),"",vlookup(M291,Pacing!$A$1:$Z$213,7))</f>
        <v/>
      </c>
      <c r="I291" s="86">
        <f t="shared" ref="I291:M291" si="306">I290</f>
        <v>48</v>
      </c>
      <c r="J291" s="86">
        <f t="shared" si="306"/>
        <v>49</v>
      </c>
      <c r="K291" s="86">
        <f t="shared" si="306"/>
        <v>50</v>
      </c>
      <c r="L291" s="86">
        <f t="shared" si="306"/>
        <v>51</v>
      </c>
      <c r="M291" s="86">
        <f t="shared" si="306"/>
        <v>52</v>
      </c>
    </row>
    <row r="292" ht="15.75" customHeight="1">
      <c r="A292" s="69">
        <f>B292+8</f>
        <v>118</v>
      </c>
      <c r="B292" s="69">
        <f t="shared" si="300"/>
        <v>110</v>
      </c>
      <c r="C292" s="95"/>
      <c r="D292" s="81" t="str">
        <f>if(isblank(I292),"",vlookup(I292,Pacing!$A$1:$Z$213,8))</f>
        <v>Practice Set</v>
      </c>
      <c r="E292" s="81" t="str">
        <f>if(isblank(J292),"",vlookup(J292,Pacing!$A$1:$Z$213,8))</f>
        <v>Practice Set</v>
      </c>
      <c r="F292" s="81" t="str">
        <f>if(isblank(K292),"",vlookup(K292,Pacing!$A$1:$Z$213,8))</f>
        <v>Practice Set</v>
      </c>
      <c r="G292" s="81" t="str">
        <f>if(isblank(L292),"",vlookup(L292,Pacing!$A$1:$Z$213,8))</f>
        <v>Practice Set</v>
      </c>
      <c r="H292" s="89" t="str">
        <f>if(isblank(M292),"",vlookup(M292,Pacing!$A$1:$Z$213,8))</f>
        <v/>
      </c>
      <c r="I292" s="86">
        <f t="shared" ref="I292:M292" si="307">I291</f>
        <v>48</v>
      </c>
      <c r="J292" s="86">
        <f t="shared" si="307"/>
        <v>49</v>
      </c>
      <c r="K292" s="86">
        <f t="shared" si="307"/>
        <v>50</v>
      </c>
      <c r="L292" s="86">
        <f t="shared" si="307"/>
        <v>51</v>
      </c>
      <c r="M292" s="86">
        <f t="shared" si="307"/>
        <v>52</v>
      </c>
    </row>
    <row r="293" ht="15.75" customHeight="1">
      <c r="A293" s="69"/>
      <c r="B293" s="69"/>
      <c r="C293" s="71"/>
      <c r="D293" s="81" t="str">
        <f>if(isblank(I293),"",vlookup(I293,Pacing!$A$1:$Z$213,9))</f>
        <v>Extra Practice</v>
      </c>
      <c r="E293" s="81" t="str">
        <f>if(isblank(J293),"",vlookup(J293,Pacing!$A$1:$Z$213,9))</f>
        <v>Extra Practice</v>
      </c>
      <c r="F293" s="81" t="str">
        <f>if(isblank(K293),"",vlookup(K293,Pacing!$A$1:$Z$213,9))</f>
        <v>Extra Practice</v>
      </c>
      <c r="G293" s="81" t="str">
        <f>if(isblank(L293),"",vlookup(L293,Pacing!$A$1:$Z$213,9))</f>
        <v>Extra Practice</v>
      </c>
      <c r="H293" s="89" t="str">
        <f>if(isblank(M293),"",vlookup(M293,Pacing!$A$1:$Z$213,9))</f>
        <v/>
      </c>
      <c r="I293" s="86">
        <f t="shared" ref="I293:M293" si="308">I292</f>
        <v>48</v>
      </c>
      <c r="J293" s="86">
        <f t="shared" si="308"/>
        <v>49</v>
      </c>
      <c r="K293" s="86">
        <f t="shared" si="308"/>
        <v>50</v>
      </c>
      <c r="L293" s="86">
        <f t="shared" si="308"/>
        <v>51</v>
      </c>
      <c r="M293" s="86">
        <f t="shared" si="308"/>
        <v>52</v>
      </c>
    </row>
    <row r="294" ht="15.75" customHeight="1">
      <c r="A294" s="69"/>
      <c r="B294" s="69"/>
      <c r="C294" s="71"/>
      <c r="D294" s="81" t="str">
        <f>if(isblank(I294),"",vlookup(I294,Pacing!$A$1:$Z$213,10))</f>
        <v>CYU</v>
      </c>
      <c r="E294" s="81" t="str">
        <f>if(isblank(J294),"",vlookup(J294,Pacing!$A$1:$Z$213,10))</f>
        <v>CYU</v>
      </c>
      <c r="F294" s="81" t="str">
        <f>if(isblank(K294),"",vlookup(K294,Pacing!$A$1:$Z$213,10))</f>
        <v>CYU</v>
      </c>
      <c r="G294" s="81" t="str">
        <f>if(isblank(L294),"",vlookup(L294,Pacing!$A$1:$Z$213,10))</f>
        <v>CYU</v>
      </c>
      <c r="H294" s="89" t="str">
        <f>if(isblank(M294),"",vlookup(M294,Pacing!$A$1:$Z$213,10))</f>
        <v/>
      </c>
      <c r="I294" s="86">
        <f t="shared" ref="I294:M294" si="309">I293</f>
        <v>48</v>
      </c>
      <c r="J294" s="86">
        <f t="shared" si="309"/>
        <v>49</v>
      </c>
      <c r="K294" s="86">
        <f t="shared" si="309"/>
        <v>50</v>
      </c>
      <c r="L294" s="86">
        <f t="shared" si="309"/>
        <v>51</v>
      </c>
      <c r="M294" s="86">
        <f t="shared" si="309"/>
        <v>52</v>
      </c>
    </row>
    <row r="295" ht="15.75" customHeight="1">
      <c r="A295" s="69"/>
      <c r="B295" s="69"/>
      <c r="C295" s="71"/>
      <c r="D295" s="81" t="str">
        <f>if(isblank(I295),"",vlookup(I295,Pacing!$A$1:$Z$213,11))</f>
        <v>Progress</v>
      </c>
      <c r="E295" s="81" t="str">
        <f>if(isblank(J295),"",vlookup(J295,Pacing!$A$1:$Z$213,11))</f>
        <v>Progress</v>
      </c>
      <c r="F295" s="81" t="str">
        <f>if(isblank(K295),"",vlookup(K295,Pacing!$A$1:$Z$213,11))</f>
        <v>Progress</v>
      </c>
      <c r="G295" s="81" t="str">
        <f>if(isblank(L295),"",vlookup(L295,Pacing!$A$1:$Z$213,11))</f>
        <v>Progress</v>
      </c>
      <c r="H295" s="89" t="str">
        <f>if(isblank(M295),"",vlookup(M295,Pacing!$A$1:$Z$213,11))</f>
        <v/>
      </c>
      <c r="I295" s="86">
        <f t="shared" ref="I295:M295" si="310">I294</f>
        <v>48</v>
      </c>
      <c r="J295" s="86">
        <f t="shared" si="310"/>
        <v>49</v>
      </c>
      <c r="K295" s="86">
        <f t="shared" si="310"/>
        <v>50</v>
      </c>
      <c r="L295" s="86">
        <f t="shared" si="310"/>
        <v>51</v>
      </c>
      <c r="M295" s="86">
        <f t="shared" si="310"/>
        <v>52</v>
      </c>
    </row>
    <row r="296" ht="15.75" customHeight="1">
      <c r="A296" s="69"/>
      <c r="B296" s="69"/>
      <c r="C296" s="71"/>
      <c r="D296" s="81" t="str">
        <f>if(isblank(I296),"",vlookup(I296,Pacing!$A$1:$Z$213,12))</f>
        <v>Review</v>
      </c>
      <c r="E296" s="81" t="str">
        <f>if(isblank(J296),"",vlookup(J296,Pacing!$A$1:$Z$213,12))</f>
        <v>Review</v>
      </c>
      <c r="F296" s="81" t="str">
        <f>if(isblank(K296),"",vlookup(K296,Pacing!$A$1:$Z$213,12))</f>
        <v>Review</v>
      </c>
      <c r="G296" s="81" t="str">
        <f>if(isblank(L296),"",vlookup(L296,Pacing!$A$1:$Z$213,12))</f>
        <v>Review</v>
      </c>
      <c r="H296" s="91" t="str">
        <f>if(isblank(M296),"",vlookup(M296,Pacing!$A$1:$Z$213,12))</f>
        <v/>
      </c>
      <c r="I296" s="86">
        <f t="shared" ref="I296:M296" si="311">I295</f>
        <v>48</v>
      </c>
      <c r="J296" s="86">
        <f t="shared" si="311"/>
        <v>49</v>
      </c>
      <c r="K296" s="86">
        <f t="shared" si="311"/>
        <v>50</v>
      </c>
      <c r="L296" s="86">
        <f t="shared" si="311"/>
        <v>51</v>
      </c>
      <c r="M296" s="86">
        <f t="shared" si="311"/>
        <v>52</v>
      </c>
    </row>
    <row r="297" ht="15.75" customHeight="1">
      <c r="A297" s="69"/>
      <c r="B297" s="69"/>
      <c r="C297" s="71"/>
      <c r="D297" s="91" t="str">
        <f>if(isblank(I297),"",vlookup(I297,Pacing!$A$1:$Z$213,13))</f>
        <v/>
      </c>
      <c r="E297" s="91" t="str">
        <f>if(isblank(J297),"",vlookup(J297,Pacing!$A$1:$Z$213,13))</f>
        <v/>
      </c>
      <c r="F297" s="91" t="str">
        <f>if(isblank(K297),"",vlookup(K297,Pacing!$A$1:$Z$213,13))</f>
        <v/>
      </c>
      <c r="G297" s="91" t="str">
        <f>if(isblank(L297),"",vlookup(L297,Pacing!$A$1:$Z$213,13))</f>
        <v/>
      </c>
      <c r="H297" s="91" t="str">
        <f>if(isblank(M297),"",vlookup(M297,Pacing!$A$1:$Z$213,13))</f>
        <v/>
      </c>
      <c r="I297" s="86">
        <f t="shared" ref="I297:M297" si="312">I296</f>
        <v>48</v>
      </c>
      <c r="J297" s="86">
        <f t="shared" si="312"/>
        <v>49</v>
      </c>
      <c r="K297" s="86">
        <f t="shared" si="312"/>
        <v>50</v>
      </c>
      <c r="L297" s="86">
        <f t="shared" si="312"/>
        <v>51</v>
      </c>
      <c r="M297" s="86">
        <f t="shared" si="312"/>
        <v>52</v>
      </c>
    </row>
    <row r="298" ht="15.75" customHeight="1">
      <c r="A298" s="69"/>
      <c r="B298" s="69"/>
      <c r="C298" s="71"/>
      <c r="D298" s="81" t="str">
        <f>if(isblank(I298),"",vlookup(I298,Pacing!$A$1:$Z$213,14))</f>
        <v>Notes Teacher</v>
      </c>
      <c r="E298" s="81" t="str">
        <f>if(isblank(J298),"",vlookup(J298,Pacing!$A$1:$Z$213,14))</f>
        <v>Notes Teacher</v>
      </c>
      <c r="F298" s="81" t="str">
        <f>if(isblank(K298),"",vlookup(K298,Pacing!$A$1:$Z$213,14))</f>
        <v>Notes Teacher</v>
      </c>
      <c r="G298" s="81" t="str">
        <f>if(isblank(L298),"",vlookup(L298,Pacing!$A$1:$Z$213,14))</f>
        <v>Notes Teacher</v>
      </c>
      <c r="H298" s="81" t="str">
        <f>if(isblank(M298),"",vlookup(M298,Pacing!$A$1:$Z$213,14))</f>
        <v>Sum Assess</v>
      </c>
      <c r="I298" s="86">
        <f t="shared" ref="I298:M298" si="313">I297</f>
        <v>48</v>
      </c>
      <c r="J298" s="86">
        <f t="shared" si="313"/>
        <v>49</v>
      </c>
      <c r="K298" s="86">
        <f t="shared" si="313"/>
        <v>50</v>
      </c>
      <c r="L298" s="86">
        <f t="shared" si="313"/>
        <v>51</v>
      </c>
      <c r="M298" s="86">
        <f t="shared" si="313"/>
        <v>52</v>
      </c>
    </row>
    <row r="299" ht="15.75" customHeight="1">
      <c r="A299" s="69"/>
      <c r="B299" s="69"/>
      <c r="C299" s="71"/>
      <c r="D299" s="81" t="str">
        <f>if(isblank(I299),"",vlookup(I299,Pacing!$A$1:$Z$213,15))</f>
        <v>Demo Teacher</v>
      </c>
      <c r="E299" s="81" t="str">
        <f>if(isblank(J299),"",vlookup(J299,Pacing!$A$1:$Z$213,15))</f>
        <v>Demo Teacher</v>
      </c>
      <c r="F299" s="81" t="str">
        <f>if(isblank(K299),"",vlookup(K299,Pacing!$A$1:$Z$213,15))</f>
        <v>Demo Teacher</v>
      </c>
      <c r="G299" s="81" t="str">
        <f>if(isblank(L299),"",vlookup(L299,Pacing!$A$1:$Z$213,15))</f>
        <v>Demo Teacher</v>
      </c>
      <c r="H299" s="81" t="str">
        <f>if(isblank(M299),"",vlookup(M299,Pacing!$A$1:$Z$213,15))</f>
        <v>Bank</v>
      </c>
      <c r="I299" s="86">
        <f t="shared" ref="I299:M299" si="314">I298</f>
        <v>48</v>
      </c>
      <c r="J299" s="86">
        <f t="shared" si="314"/>
        <v>49</v>
      </c>
      <c r="K299" s="86">
        <f t="shared" si="314"/>
        <v>50</v>
      </c>
      <c r="L299" s="86">
        <f t="shared" si="314"/>
        <v>51</v>
      </c>
      <c r="M299" s="86">
        <f t="shared" si="314"/>
        <v>52</v>
      </c>
    </row>
    <row r="300" ht="15.75" customHeight="1">
      <c r="A300" s="69"/>
      <c r="B300" s="69"/>
      <c r="C300" s="71"/>
      <c r="D300" s="81" t="str">
        <f>if(isblank(I300),"",vlookup(I300,Pacing!$A$1:$Z$213,16))</f>
        <v>Invest Teacher</v>
      </c>
      <c r="E300" s="81" t="str">
        <f>if(isblank(J300),"",vlookup(J300,Pacing!$A$1:$Z$213,16))</f>
        <v>Invest Teacher</v>
      </c>
      <c r="F300" s="81" t="str">
        <f>if(isblank(K300),"",vlookup(K300,Pacing!$A$1:$Z$213,16))</f>
        <v>Invest Teacher</v>
      </c>
      <c r="G300" s="81" t="str">
        <f>if(isblank(L300),"",vlookup(L300,Pacing!$A$1:$Z$213,16))</f>
        <v>Invest Teacher</v>
      </c>
      <c r="H300" s="81" t="str">
        <f>if(isblank(M300),"",vlookup(M300,Pacing!$A$1:$Z$213,16))</f>
        <v>Assess Plan</v>
      </c>
      <c r="I300" s="86">
        <f t="shared" ref="I300:M300" si="315">I299</f>
        <v>48</v>
      </c>
      <c r="J300" s="86">
        <f t="shared" si="315"/>
        <v>49</v>
      </c>
      <c r="K300" s="86">
        <f t="shared" si="315"/>
        <v>50</v>
      </c>
      <c r="L300" s="86">
        <f t="shared" si="315"/>
        <v>51</v>
      </c>
      <c r="M300" s="86">
        <f t="shared" si="315"/>
        <v>52</v>
      </c>
    </row>
    <row r="301" ht="15.75" customHeight="1">
      <c r="A301" s="69"/>
      <c r="B301" s="69"/>
      <c r="C301" s="71"/>
      <c r="D301" s="81" t="str">
        <f>if(isblank(I301),"",vlookup(I301,Pacing!$A$1:$Z$213,17))</f>
        <v>PT Teacher</v>
      </c>
      <c r="E301" s="81" t="str">
        <f>if(isblank(J301),"",vlookup(J301,Pacing!$A$1:$Z$213,17))</f>
        <v>PT Teacher</v>
      </c>
      <c r="F301" s="81" t="str">
        <f>if(isblank(K301),"",vlookup(K301,Pacing!$A$1:$Z$213,17))</f>
        <v>PT Teacher</v>
      </c>
      <c r="G301" s="81" t="str">
        <f>if(isblank(L301),"",vlookup(L301,Pacing!$A$1:$Z$213,17))</f>
        <v>PT Teacher</v>
      </c>
      <c r="H301" s="89" t="str">
        <f>if(isblank(M301),"",vlookup(M301,Pacing!$A$1:$Z$213,17))</f>
        <v/>
      </c>
      <c r="I301" s="86">
        <f t="shared" ref="I301:M301" si="316">I300</f>
        <v>48</v>
      </c>
      <c r="J301" s="86">
        <f t="shared" si="316"/>
        <v>49</v>
      </c>
      <c r="K301" s="86">
        <f t="shared" si="316"/>
        <v>50</v>
      </c>
      <c r="L301" s="86">
        <f t="shared" si="316"/>
        <v>51</v>
      </c>
      <c r="M301" s="86">
        <f t="shared" si="316"/>
        <v>52</v>
      </c>
    </row>
    <row r="302" ht="15.75" customHeight="1">
      <c r="A302" s="69"/>
      <c r="B302" s="69"/>
      <c r="C302" s="71"/>
      <c r="D302" s="81" t="str">
        <f>if(isblank(I302),"",vlookup(I302,Pacing!$A$1:$Z$213,18))</f>
        <v>Assess Plan</v>
      </c>
      <c r="E302" s="81" t="str">
        <f>if(isblank(J302),"",vlookup(J302,Pacing!$A$1:$Z$213,18))</f>
        <v>Assess Plan</v>
      </c>
      <c r="F302" s="81" t="str">
        <f>if(isblank(K302),"",vlookup(K302,Pacing!$A$1:$Z$213,18))</f>
        <v>Assess Plan</v>
      </c>
      <c r="G302" s="81" t="str">
        <f>if(isblank(L302),"",vlookup(L302,Pacing!$A$1:$Z$213,18))</f>
        <v>Assess Plan</v>
      </c>
      <c r="H302" s="81" t="str">
        <f>if(isblank(M302),"",vlookup(M302,Pacing!$A$1:$Z$213,18))</f>
        <v/>
      </c>
      <c r="I302" s="86">
        <f t="shared" ref="I302:M302" si="317">I301</f>
        <v>48</v>
      </c>
      <c r="J302" s="86">
        <f t="shared" si="317"/>
        <v>49</v>
      </c>
      <c r="K302" s="86">
        <f t="shared" si="317"/>
        <v>50</v>
      </c>
      <c r="L302" s="86">
        <f t="shared" si="317"/>
        <v>51</v>
      </c>
      <c r="M302" s="86">
        <f t="shared" si="317"/>
        <v>52</v>
      </c>
    </row>
    <row r="303" ht="15.75" customHeight="1">
      <c r="A303" s="69"/>
      <c r="B303" s="69"/>
      <c r="C303" s="71"/>
      <c r="D303" s="81" t="str">
        <f>if(isblank(I303),"",vlookup(I303,Pacing!$A$1:$Z$213,19))</f>
        <v>Perform Task</v>
      </c>
      <c r="E303" s="81" t="str">
        <f>if(isblank(J303),"",vlookup(J303,Pacing!$A$1:$Z$213,19))</f>
        <v>Perform Task</v>
      </c>
      <c r="F303" s="81" t="str">
        <f>if(isblank(K303),"",vlookup(K303,Pacing!$A$1:$Z$213,19))</f>
        <v>Perform Task</v>
      </c>
      <c r="G303" s="81" t="str">
        <f>if(isblank(L303),"",vlookup(L303,Pacing!$A$1:$Z$213,19))</f>
        <v>Perform Task</v>
      </c>
      <c r="H303" s="89" t="str">
        <f>if(isblank(M303),"",vlookup(M303,Pacing!$A$1:$Z$213,19))</f>
        <v/>
      </c>
      <c r="I303" s="86">
        <f t="shared" ref="I303:M303" si="318">I302</f>
        <v>48</v>
      </c>
      <c r="J303" s="86">
        <f t="shared" si="318"/>
        <v>49</v>
      </c>
      <c r="K303" s="86">
        <f t="shared" si="318"/>
        <v>50</v>
      </c>
      <c r="L303" s="86">
        <f t="shared" si="318"/>
        <v>51</v>
      </c>
      <c r="M303" s="86">
        <f t="shared" si="318"/>
        <v>52</v>
      </c>
    </row>
    <row r="304" ht="15.75" customHeight="1">
      <c r="A304" s="69"/>
      <c r="B304" s="69"/>
      <c r="C304" s="71"/>
      <c r="D304" s="81" t="str">
        <f>if(isblank(I304),"",vlookup(I304,Pacing!$A$1:$Z$213,20))</f>
        <v>Quick Check</v>
      </c>
      <c r="E304" s="81" t="str">
        <f>if(isblank(J304),"",vlookup(J304,Pacing!$A$1:$Z$213,20))</f>
        <v>Quick Check</v>
      </c>
      <c r="F304" s="81" t="str">
        <f>if(isblank(K304),"",vlookup(K304,Pacing!$A$1:$Z$213,20))</f>
        <v>Quick Check</v>
      </c>
      <c r="G304" s="81" t="str">
        <f>if(isblank(L304),"",vlookup(L304,Pacing!$A$1:$Z$213,20))</f>
        <v>Quick Check</v>
      </c>
      <c r="H304" s="89" t="str">
        <f>if(isblank(M304),"",vlookup(M304,Pacing!$A$1:$Z$213,20))</f>
        <v/>
      </c>
      <c r="I304" s="86">
        <f t="shared" ref="I304:M304" si="319">I303</f>
        <v>48</v>
      </c>
      <c r="J304" s="86">
        <f t="shared" si="319"/>
        <v>49</v>
      </c>
      <c r="K304" s="86">
        <f t="shared" si="319"/>
        <v>50</v>
      </c>
      <c r="L304" s="86">
        <f t="shared" si="319"/>
        <v>51</v>
      </c>
      <c r="M304" s="86">
        <f t="shared" si="319"/>
        <v>52</v>
      </c>
    </row>
    <row r="305" ht="15.75" customHeight="1">
      <c r="A305" s="69"/>
      <c r="B305" s="69"/>
      <c r="C305" s="71"/>
      <c r="D305" s="81" t="str">
        <f>if(isblank(I305),"",vlookup(I305,Pacing!$A$1:$Z$213,21))</f>
        <v>Exit Ticket</v>
      </c>
      <c r="E305" s="81" t="str">
        <f>if(isblank(J305),"",vlookup(J305,Pacing!$A$1:$Z$213,21))</f>
        <v>Exit Ticket</v>
      </c>
      <c r="F305" s="81" t="str">
        <f>if(isblank(K305),"",vlookup(K305,Pacing!$A$1:$Z$213,21))</f>
        <v>Exit Ticket</v>
      </c>
      <c r="G305" s="81" t="str">
        <f>if(isblank(L305),"",vlookup(L305,Pacing!$A$1:$Z$213,21))</f>
        <v>Exit Ticket</v>
      </c>
      <c r="H305" s="81" t="str">
        <f>if(isblank(M305),"",vlookup(M305,Pacing!$A$1:$Z$213,21))</f>
        <v/>
      </c>
      <c r="I305" s="86">
        <f t="shared" ref="I305:M305" si="320">I304</f>
        <v>48</v>
      </c>
      <c r="J305" s="86">
        <f t="shared" si="320"/>
        <v>49</v>
      </c>
      <c r="K305" s="86">
        <f t="shared" si="320"/>
        <v>50</v>
      </c>
      <c r="L305" s="86">
        <f t="shared" si="320"/>
        <v>51</v>
      </c>
      <c r="M305" s="86">
        <f t="shared" si="320"/>
        <v>52</v>
      </c>
    </row>
    <row r="306" ht="15.75" customHeight="1">
      <c r="A306" s="69"/>
      <c r="B306" s="69"/>
      <c r="C306" s="71"/>
      <c r="D306" s="81" t="str">
        <f>if(isblank(I306),"",vlookup(I306,Pacing!$A$1:$Z$213,22))</f>
        <v>Practice 2</v>
      </c>
      <c r="E306" s="81" t="str">
        <f>if(isblank(J306),"",vlookup(J306,Pacing!$A$1:$Z$213,22))</f>
        <v>Practice 2</v>
      </c>
      <c r="F306" s="81" t="str">
        <f>if(isblank(K306),"",vlookup(K306,Pacing!$A$1:$Z$213,22))</f>
        <v>Practice 2</v>
      </c>
      <c r="G306" s="81" t="str">
        <f>if(isblank(L306),"",vlookup(L306,Pacing!$A$1:$Z$213,22))</f>
        <v>Practice 2</v>
      </c>
      <c r="H306" s="91" t="str">
        <f>if(isblank(M306),"",vlookup(M306,Pacing!$A$1:$Z$213,22))</f>
        <v/>
      </c>
      <c r="I306" s="86">
        <f t="shared" ref="I306:M306" si="321">I305</f>
        <v>48</v>
      </c>
      <c r="J306" s="86">
        <f t="shared" si="321"/>
        <v>49</v>
      </c>
      <c r="K306" s="86">
        <f t="shared" si="321"/>
        <v>50</v>
      </c>
      <c r="L306" s="86">
        <f t="shared" si="321"/>
        <v>51</v>
      </c>
      <c r="M306" s="86">
        <f t="shared" si="321"/>
        <v>52</v>
      </c>
    </row>
    <row r="307" ht="15.75" customHeight="1">
      <c r="A307" s="69"/>
      <c r="B307" s="69"/>
      <c r="C307" s="71"/>
      <c r="D307" s="81" t="str">
        <f>if(isblank(I307),"",vlookup(I307,Pacing!$A$1:$Z$213,23))</f>
        <v>Practice 3</v>
      </c>
      <c r="E307" s="81" t="str">
        <f>if(isblank(J307),"",vlookup(J307,Pacing!$A$1:$Z$213,23))</f>
        <v>Practice 3</v>
      </c>
      <c r="F307" s="81" t="str">
        <f>if(isblank(K307),"",vlookup(K307,Pacing!$A$1:$Z$213,23))</f>
        <v>Practice 3</v>
      </c>
      <c r="G307" s="81" t="str">
        <f>if(isblank(L307),"",vlookup(L307,Pacing!$A$1:$Z$213,23))</f>
        <v>Practice 3</v>
      </c>
      <c r="H307" s="89" t="str">
        <f>if(isblank(M307),"",vlookup(M307,Pacing!$A$1:$Z$213,23))</f>
        <v/>
      </c>
      <c r="I307" s="86">
        <f t="shared" ref="I307:M307" si="322">I306</f>
        <v>48</v>
      </c>
      <c r="J307" s="86">
        <f t="shared" si="322"/>
        <v>49</v>
      </c>
      <c r="K307" s="86">
        <f t="shared" si="322"/>
        <v>50</v>
      </c>
      <c r="L307" s="86">
        <f t="shared" si="322"/>
        <v>51</v>
      </c>
      <c r="M307" s="86">
        <f t="shared" si="322"/>
        <v>52</v>
      </c>
    </row>
    <row r="308" ht="15.75" customHeight="1">
      <c r="A308" s="69"/>
      <c r="B308" s="69"/>
      <c r="C308" s="71"/>
      <c r="D308" s="81" t="str">
        <f>if(isblank(I308),"",vlookup(I308,Pacing!$A$1:$Z$213,24))</f>
        <v>Sum Assess</v>
      </c>
      <c r="E308" s="81" t="str">
        <f>if(isblank(J308),"",vlookup(J308,Pacing!$A$1:$Z$213,24))</f>
        <v>Sum Assess</v>
      </c>
      <c r="F308" s="81" t="str">
        <f>if(isblank(K308),"",vlookup(K308,Pacing!$A$1:$Z$213,24))</f>
        <v>Sum Assess</v>
      </c>
      <c r="G308" s="81" t="str">
        <f>if(isblank(L308),"",vlookup(L308,Pacing!$A$1:$Z$213,24))</f>
        <v>Sum Assess</v>
      </c>
      <c r="H308" s="81" t="str">
        <f>if(isblank(M308),"",vlookup(M308,Pacing!$A$1:$Z$213,24))</f>
        <v/>
      </c>
      <c r="I308" s="86">
        <f t="shared" ref="I308:M308" si="323">I307</f>
        <v>48</v>
      </c>
      <c r="J308" s="86">
        <f t="shared" si="323"/>
        <v>49</v>
      </c>
      <c r="K308" s="86">
        <f t="shared" si="323"/>
        <v>50</v>
      </c>
      <c r="L308" s="86">
        <f t="shared" si="323"/>
        <v>51</v>
      </c>
      <c r="M308" s="86">
        <f t="shared" si="323"/>
        <v>52</v>
      </c>
    </row>
    <row r="309" ht="15.75" customHeight="1">
      <c r="A309" s="69"/>
      <c r="B309" s="69"/>
      <c r="C309" s="71"/>
      <c r="D309" s="81" t="str">
        <f>if(isblank(I309),"",vlookup(I309,Pacing!$A$1:$Z$213,25))</f>
        <v>Bank</v>
      </c>
      <c r="E309" s="81" t="str">
        <f>if(isblank(J309),"",vlookup(J309,Pacing!$A$1:$Z$213,25))</f>
        <v>Bank</v>
      </c>
      <c r="F309" s="81" t="str">
        <f>if(isblank(K309),"",vlookup(K309,Pacing!$A$1:$Z$213,25))</f>
        <v>Bank</v>
      </c>
      <c r="G309" s="81" t="str">
        <f>if(isblank(L309),"",vlookup(L309,Pacing!$A$1:$Z$213,25))</f>
        <v>Bank</v>
      </c>
      <c r="H309" s="81" t="str">
        <f>if(isblank(M309),"",vlookup(M309,Pacing!$A$1:$Z$213,25))</f>
        <v/>
      </c>
      <c r="I309" s="86">
        <f t="shared" ref="I309:M309" si="324">I308</f>
        <v>48</v>
      </c>
      <c r="J309" s="86">
        <f t="shared" si="324"/>
        <v>49</v>
      </c>
      <c r="K309" s="86">
        <f t="shared" si="324"/>
        <v>50</v>
      </c>
      <c r="L309" s="86">
        <f t="shared" si="324"/>
        <v>51</v>
      </c>
      <c r="M309" s="86">
        <f t="shared" si="324"/>
        <v>52</v>
      </c>
    </row>
    <row r="310" ht="15.75" customHeight="1">
      <c r="A310" s="69"/>
      <c r="B310" s="69"/>
      <c r="C310" s="71"/>
      <c r="D310" s="91" t="str">
        <f>if(isblank(I310),"",vlookup(I310,Pacing!$A$1:$Z$213,26))</f>
        <v/>
      </c>
      <c r="E310" s="89" t="str">
        <f>if(isblank(J310),"",vlookup(J310,Pacing!$A$1:$Z$213,26))</f>
        <v/>
      </c>
      <c r="F310" s="89" t="str">
        <f>if(isblank(K310),"",vlookup(K310,Pacing!$A$1:$Z$213,26))</f>
        <v/>
      </c>
      <c r="G310" s="89" t="str">
        <f>if(isblank(L310),"",vlookup(L310,Pacing!$A$1:$Z$213,26))</f>
        <v/>
      </c>
      <c r="H310" s="89" t="str">
        <f>if(isblank(M310),"",vlookup(M310,Pacing!$A$1:$Z$213,26))</f>
        <v/>
      </c>
      <c r="I310" s="86">
        <f t="shared" ref="I310:M310" si="325">I309</f>
        <v>48</v>
      </c>
      <c r="J310" s="86">
        <f t="shared" si="325"/>
        <v>49</v>
      </c>
      <c r="K310" s="86">
        <f t="shared" si="325"/>
        <v>50</v>
      </c>
      <c r="L310" s="86">
        <f t="shared" si="325"/>
        <v>51</v>
      </c>
      <c r="M310" s="86">
        <f t="shared" si="325"/>
        <v>52</v>
      </c>
    </row>
    <row r="311" ht="15.75" customHeight="1">
      <c r="A311" s="137"/>
      <c r="B311" s="137"/>
      <c r="C311" s="138"/>
      <c r="D311" s="139">
        <f>H284+1</f>
        <v>53</v>
      </c>
      <c r="E311" s="139">
        <f t="shared" ref="E311:H311" si="326">D311+1</f>
        <v>54</v>
      </c>
      <c r="F311" s="139">
        <f t="shared" si="326"/>
        <v>55</v>
      </c>
      <c r="G311" s="139">
        <f t="shared" si="326"/>
        <v>56</v>
      </c>
      <c r="H311" s="139">
        <f t="shared" si="326"/>
        <v>57</v>
      </c>
      <c r="I311" s="55">
        <f t="shared" ref="I311:M311" si="327">D311</f>
        <v>53</v>
      </c>
      <c r="J311" s="55">
        <f t="shared" si="327"/>
        <v>54</v>
      </c>
      <c r="K311" s="55">
        <f t="shared" si="327"/>
        <v>55</v>
      </c>
      <c r="L311" s="55">
        <f t="shared" si="327"/>
        <v>56</v>
      </c>
      <c r="M311" s="55">
        <f t="shared" si="327"/>
        <v>57</v>
      </c>
    </row>
    <row r="312" ht="15.75" customHeight="1">
      <c r="A312" s="69">
        <f>B312+1</f>
        <v>121</v>
      </c>
      <c r="B312" s="69">
        <f t="shared" ref="B312:B319" si="329">$C$312*10</f>
        <v>120</v>
      </c>
      <c r="C312" s="71">
        <f>C285+1</f>
        <v>12</v>
      </c>
      <c r="D312" s="72">
        <f>D285+7</f>
        <v>46342</v>
      </c>
      <c r="E312" s="72">
        <f t="shared" ref="E312:H312" si="328">D312+1</f>
        <v>46343</v>
      </c>
      <c r="F312" s="72">
        <f t="shared" si="328"/>
        <v>46344</v>
      </c>
      <c r="G312" s="72">
        <f t="shared" si="328"/>
        <v>46345</v>
      </c>
      <c r="H312" s="72">
        <f t="shared" si="328"/>
        <v>46346</v>
      </c>
      <c r="I312" s="62" t="s">
        <v>42</v>
      </c>
    </row>
    <row r="313" ht="15.75" customHeight="1">
      <c r="A313" s="75">
        <f>B313+2</f>
        <v>122</v>
      </c>
      <c r="B313" s="75">
        <f t="shared" si="329"/>
        <v>120</v>
      </c>
      <c r="C313" s="76"/>
      <c r="D313" s="131" t="str">
        <f>if(isblank(I313),"",vlookup(I313,Pacing!$A$1:$Z$213,2))</f>
        <v>4.1: Mom &amp; Impulse</v>
      </c>
      <c r="E313" s="131" t="str">
        <f>if(isblank(J313),"",vlookup(J313,Pacing!$A$1:$Z$213,2))</f>
        <v>4.1: Mom &amp; Impulse</v>
      </c>
      <c r="F313" s="131" t="str">
        <f>if(isblank(K313),"",vlookup(K313,Pacing!$A$1:$Z$213,2))</f>
        <v>4.1: Mom &amp; Impulse</v>
      </c>
      <c r="G313" s="131" t="str">
        <f>if(isblank(L313),"",vlookup(L313,Pacing!$A$1:$Z$213,2))</f>
        <v>4.2: Conserve Mom</v>
      </c>
      <c r="H313" s="131" t="str">
        <f>if(isblank(M313),"",vlookup(M313,Pacing!$A$1:$Z$213,2))</f>
        <v>4.2: Conserve Mom</v>
      </c>
      <c r="I313" s="78">
        <f t="shared" ref="I313:M313" si="330">I311</f>
        <v>53</v>
      </c>
      <c r="J313" s="78">
        <f t="shared" si="330"/>
        <v>54</v>
      </c>
      <c r="K313" s="78">
        <f t="shared" si="330"/>
        <v>55</v>
      </c>
      <c r="L313" s="78">
        <f t="shared" si="330"/>
        <v>56</v>
      </c>
      <c r="M313" s="78">
        <f t="shared" si="330"/>
        <v>57</v>
      </c>
    </row>
    <row r="314" ht="15.75" customHeight="1">
      <c r="A314" s="69">
        <f>B314+3</f>
        <v>123</v>
      </c>
      <c r="B314" s="69">
        <f t="shared" si="329"/>
        <v>120</v>
      </c>
      <c r="C314" s="76"/>
      <c r="D314" s="81" t="str">
        <f>if(isblank(I314),"",vlookup(I314,Pacing!$A$1:$Z$213,3))</f>
        <v>Warm Up</v>
      </c>
      <c r="E314" s="81" t="str">
        <f>if(isblank(J314),"",vlookup(J314,Pacing!$A$1:$Z$213,3))</f>
        <v>Warm Up</v>
      </c>
      <c r="F314" s="81" t="str">
        <f>if(isblank(K314),"",vlookup(K314,Pacing!$A$1:$Z$213,3))</f>
        <v>Warm Up</v>
      </c>
      <c r="G314" s="81" t="str">
        <f>if(isblank(L314),"",vlookup(L314,Pacing!$A$1:$Z$213,3))</f>
        <v>Warm Up</v>
      </c>
      <c r="H314" s="81" t="str">
        <f>if(isblank(M314),"",vlookup(M314,Pacing!$A$1:$Z$213,3))</f>
        <v>Warm Up</v>
      </c>
      <c r="I314" s="86">
        <f t="shared" ref="I314:M314" si="331">I313</f>
        <v>53</v>
      </c>
      <c r="J314" s="86">
        <f t="shared" si="331"/>
        <v>54</v>
      </c>
      <c r="K314" s="86">
        <f t="shared" si="331"/>
        <v>55</v>
      </c>
      <c r="L314" s="86">
        <f t="shared" si="331"/>
        <v>56</v>
      </c>
      <c r="M314" s="86">
        <f t="shared" si="331"/>
        <v>57</v>
      </c>
    </row>
    <row r="315" ht="15.75" customHeight="1">
      <c r="A315" s="69">
        <f>B315+4</f>
        <v>124</v>
      </c>
      <c r="B315" s="69">
        <f t="shared" si="329"/>
        <v>120</v>
      </c>
      <c r="C315" s="76"/>
      <c r="D315" s="81" t="str">
        <f>if(isblank(I315),"",vlookup(I315,Pacing!$A$1:$Z$213,4))</f>
        <v>Demo</v>
      </c>
      <c r="E315" s="81" t="str">
        <f>if(isblank(J315),"",vlookup(J315,Pacing!$A$1:$Z$213,4))</f>
        <v>Demo</v>
      </c>
      <c r="F315" s="81" t="str">
        <f>if(isblank(K315),"",vlookup(K315,Pacing!$A$1:$Z$213,4))</f>
        <v>Demo</v>
      </c>
      <c r="G315" s="81" t="str">
        <f>if(isblank(L315),"",vlookup(L315,Pacing!$A$1:$Z$213,4))</f>
        <v>Demo</v>
      </c>
      <c r="H315" s="81" t="str">
        <f>if(isblank(M315),"",vlookup(M315,Pacing!$A$1:$Z$213,4))</f>
        <v>Demo</v>
      </c>
      <c r="I315" s="86">
        <f t="shared" ref="I315:M315" si="332">I314</f>
        <v>53</v>
      </c>
      <c r="J315" s="86">
        <f t="shared" si="332"/>
        <v>54</v>
      </c>
      <c r="K315" s="86">
        <f t="shared" si="332"/>
        <v>55</v>
      </c>
      <c r="L315" s="86">
        <f t="shared" si="332"/>
        <v>56</v>
      </c>
      <c r="M315" s="86">
        <f t="shared" si="332"/>
        <v>57</v>
      </c>
    </row>
    <row r="316" ht="15.75" customHeight="1">
      <c r="A316" s="69">
        <f>B316+5</f>
        <v>125</v>
      </c>
      <c r="B316" s="69">
        <f t="shared" si="329"/>
        <v>120</v>
      </c>
      <c r="C316" s="76"/>
      <c r="D316" s="81" t="str">
        <f>if(isblank(I316),"",vlookup(I316,Pacing!$A$1:$Z$213,5))</f>
        <v>Notes</v>
      </c>
      <c r="E316" s="81" t="str">
        <f>if(isblank(J316),"",vlookup(J316,Pacing!$A$1:$Z$213,5))</f>
        <v>Notes</v>
      </c>
      <c r="F316" s="81" t="str">
        <f>if(isblank(K316),"",vlookup(K316,Pacing!$A$1:$Z$213,5))</f>
        <v>Notes</v>
      </c>
      <c r="G316" s="81" t="str">
        <f>if(isblank(L316),"",vlookup(L316,Pacing!$A$1:$Z$213,5))</f>
        <v>Notes</v>
      </c>
      <c r="H316" s="81" t="str">
        <f>if(isblank(M316),"",vlookup(M316,Pacing!$A$1:$Z$213,5))</f>
        <v>Notes</v>
      </c>
      <c r="I316" s="86">
        <f t="shared" ref="I316:M316" si="333">I315</f>
        <v>53</v>
      </c>
      <c r="J316" s="86">
        <f t="shared" si="333"/>
        <v>54</v>
      </c>
      <c r="K316" s="86">
        <f t="shared" si="333"/>
        <v>55</v>
      </c>
      <c r="L316" s="86">
        <f t="shared" si="333"/>
        <v>56</v>
      </c>
      <c r="M316" s="86">
        <f t="shared" si="333"/>
        <v>57</v>
      </c>
    </row>
    <row r="317" ht="15.75" customHeight="1">
      <c r="A317" s="69">
        <f>B317+6</f>
        <v>126</v>
      </c>
      <c r="B317" s="69">
        <f t="shared" si="329"/>
        <v>120</v>
      </c>
      <c r="C317" s="76"/>
      <c r="D317" s="81" t="str">
        <f>if(isblank(I317),"",vlookup(I317,Pacing!$A$1:$Z$213,6))</f>
        <v>Investigation</v>
      </c>
      <c r="E317" s="81" t="str">
        <f>if(isblank(J317),"",vlookup(J317,Pacing!$A$1:$Z$213,6))</f>
        <v>Investigation</v>
      </c>
      <c r="F317" s="81" t="str">
        <f>if(isblank(K317),"",vlookup(K317,Pacing!$A$1:$Z$213,6))</f>
        <v>Investigation</v>
      </c>
      <c r="G317" s="81" t="str">
        <f>if(isblank(L317),"",vlookup(L317,Pacing!$A$1:$Z$213,6))</f>
        <v>Investigation</v>
      </c>
      <c r="H317" s="81" t="str">
        <f>if(isblank(M317),"",vlookup(M317,Pacing!$A$1:$Z$213,6))</f>
        <v>Investigation</v>
      </c>
      <c r="I317" s="86">
        <f t="shared" ref="I317:M317" si="334">I316</f>
        <v>53</v>
      </c>
      <c r="J317" s="86">
        <f t="shared" si="334"/>
        <v>54</v>
      </c>
      <c r="K317" s="86">
        <f t="shared" si="334"/>
        <v>55</v>
      </c>
      <c r="L317" s="86">
        <f t="shared" si="334"/>
        <v>56</v>
      </c>
      <c r="M317" s="86">
        <f t="shared" si="334"/>
        <v>57</v>
      </c>
    </row>
    <row r="318" ht="15.75" customHeight="1">
      <c r="A318" s="69">
        <f>B318+7</f>
        <v>127</v>
      </c>
      <c r="B318" s="69">
        <f t="shared" si="329"/>
        <v>120</v>
      </c>
      <c r="C318" s="76"/>
      <c r="D318" s="81" t="str">
        <f>if(isblank(I318),"",vlookup(I318,Pacing!$A$1:$Z$213,7))</f>
        <v>Activity</v>
      </c>
      <c r="E318" s="81" t="str">
        <f>if(isblank(J318),"",vlookup(J318,Pacing!$A$1:$Z$213,7))</f>
        <v>Activity</v>
      </c>
      <c r="F318" s="81" t="str">
        <f>if(isblank(K318),"",vlookup(K318,Pacing!$A$1:$Z$213,7))</f>
        <v>Activity</v>
      </c>
      <c r="G318" s="81" t="str">
        <f>if(isblank(L318),"",vlookup(L318,Pacing!$A$1:$Z$213,7))</f>
        <v>Activity</v>
      </c>
      <c r="H318" s="81" t="str">
        <f>if(isblank(M318),"",vlookup(M318,Pacing!$A$1:$Z$213,7))</f>
        <v>Activity</v>
      </c>
      <c r="I318" s="86">
        <f t="shared" ref="I318:M318" si="335">I317</f>
        <v>53</v>
      </c>
      <c r="J318" s="86">
        <f t="shared" si="335"/>
        <v>54</v>
      </c>
      <c r="K318" s="86">
        <f t="shared" si="335"/>
        <v>55</v>
      </c>
      <c r="L318" s="86">
        <f t="shared" si="335"/>
        <v>56</v>
      </c>
      <c r="M318" s="86">
        <f t="shared" si="335"/>
        <v>57</v>
      </c>
    </row>
    <row r="319" ht="15.75" customHeight="1">
      <c r="A319" s="69">
        <f>B319+8</f>
        <v>128</v>
      </c>
      <c r="B319" s="69">
        <f t="shared" si="329"/>
        <v>120</v>
      </c>
      <c r="C319" s="95"/>
      <c r="D319" s="81" t="str">
        <f>if(isblank(I319),"",vlookup(I319,Pacing!$A$1:$Z$213,8))</f>
        <v>Practice Set</v>
      </c>
      <c r="E319" s="81" t="str">
        <f>if(isblank(J319),"",vlookup(J319,Pacing!$A$1:$Z$213,8))</f>
        <v>Practice Set</v>
      </c>
      <c r="F319" s="81" t="str">
        <f>if(isblank(K319),"",vlookup(K319,Pacing!$A$1:$Z$213,8))</f>
        <v>Practice Set</v>
      </c>
      <c r="G319" s="81" t="str">
        <f>if(isblank(L319),"",vlookup(L319,Pacing!$A$1:$Z$213,8))</f>
        <v>Practice Set</v>
      </c>
      <c r="H319" s="81" t="str">
        <f>if(isblank(M319),"",vlookup(M319,Pacing!$A$1:$Z$213,8))</f>
        <v>Practice Set</v>
      </c>
      <c r="I319" s="86">
        <f t="shared" ref="I319:M319" si="336">I318</f>
        <v>53</v>
      </c>
      <c r="J319" s="86">
        <f t="shared" si="336"/>
        <v>54</v>
      </c>
      <c r="K319" s="86">
        <f t="shared" si="336"/>
        <v>55</v>
      </c>
      <c r="L319" s="86">
        <f t="shared" si="336"/>
        <v>56</v>
      </c>
      <c r="M319" s="86">
        <f t="shared" si="336"/>
        <v>57</v>
      </c>
    </row>
    <row r="320" ht="15.75" customHeight="1">
      <c r="A320" s="69"/>
      <c r="B320" s="69"/>
      <c r="C320" s="71"/>
      <c r="D320" s="81" t="str">
        <f>if(isblank(I320),"",vlookup(I320,Pacing!$A$1:$Z$213,9))</f>
        <v>Extra Practice</v>
      </c>
      <c r="E320" s="81" t="str">
        <f>if(isblank(J320),"",vlookup(J320,Pacing!$A$1:$Z$213,9))</f>
        <v>Extra Practice</v>
      </c>
      <c r="F320" s="81" t="str">
        <f>if(isblank(K320),"",vlookup(K320,Pacing!$A$1:$Z$213,9))</f>
        <v>Extra Practice</v>
      </c>
      <c r="G320" s="81" t="str">
        <f>if(isblank(L320),"",vlookup(L320,Pacing!$A$1:$Z$213,9))</f>
        <v>Extra Practice</v>
      </c>
      <c r="H320" s="81" t="str">
        <f>if(isblank(M320),"",vlookup(M320,Pacing!$A$1:$Z$213,9))</f>
        <v>Extra Practice</v>
      </c>
      <c r="I320" s="86">
        <f t="shared" ref="I320:M320" si="337">I319</f>
        <v>53</v>
      </c>
      <c r="J320" s="86">
        <f t="shared" si="337"/>
        <v>54</v>
      </c>
      <c r="K320" s="86">
        <f t="shared" si="337"/>
        <v>55</v>
      </c>
      <c r="L320" s="86">
        <f t="shared" si="337"/>
        <v>56</v>
      </c>
      <c r="M320" s="86">
        <f t="shared" si="337"/>
        <v>57</v>
      </c>
    </row>
    <row r="321" ht="15.75" customHeight="1">
      <c r="A321" s="69"/>
      <c r="B321" s="69"/>
      <c r="C321" s="71"/>
      <c r="D321" s="81" t="str">
        <f>if(isblank(I321),"",vlookup(I321,Pacing!$A$1:$Z$213,10))</f>
        <v>CYU</v>
      </c>
      <c r="E321" s="81" t="str">
        <f>if(isblank(J321),"",vlookup(J321,Pacing!$A$1:$Z$213,10))</f>
        <v>CYU</v>
      </c>
      <c r="F321" s="81" t="str">
        <f>if(isblank(K321),"",vlookup(K321,Pacing!$A$1:$Z$213,10))</f>
        <v>CYU</v>
      </c>
      <c r="G321" s="81" t="str">
        <f>if(isblank(L321),"",vlookup(L321,Pacing!$A$1:$Z$213,10))</f>
        <v>CYU</v>
      </c>
      <c r="H321" s="81" t="str">
        <f>if(isblank(M321),"",vlookup(M321,Pacing!$A$1:$Z$213,10))</f>
        <v>CYU</v>
      </c>
      <c r="I321" s="86">
        <f t="shared" ref="I321:M321" si="338">I320</f>
        <v>53</v>
      </c>
      <c r="J321" s="86">
        <f t="shared" si="338"/>
        <v>54</v>
      </c>
      <c r="K321" s="86">
        <f t="shared" si="338"/>
        <v>55</v>
      </c>
      <c r="L321" s="86">
        <f t="shared" si="338"/>
        <v>56</v>
      </c>
      <c r="M321" s="86">
        <f t="shared" si="338"/>
        <v>57</v>
      </c>
    </row>
    <row r="322" ht="15.75" customHeight="1">
      <c r="A322" s="69"/>
      <c r="B322" s="69"/>
      <c r="C322" s="71"/>
      <c r="D322" s="81" t="str">
        <f>if(isblank(I322),"",vlookup(I322,Pacing!$A$1:$Z$213,11))</f>
        <v>Progress</v>
      </c>
      <c r="E322" s="81" t="str">
        <f>if(isblank(J322),"",vlookup(J322,Pacing!$A$1:$Z$213,11))</f>
        <v>Progress</v>
      </c>
      <c r="F322" s="81" t="str">
        <f>if(isblank(K322),"",vlookup(K322,Pacing!$A$1:$Z$213,11))</f>
        <v>Progress</v>
      </c>
      <c r="G322" s="81" t="str">
        <f>if(isblank(L322),"",vlookup(L322,Pacing!$A$1:$Z$213,11))</f>
        <v>Progress</v>
      </c>
      <c r="H322" s="81" t="str">
        <f>if(isblank(M322),"",vlookup(M322,Pacing!$A$1:$Z$213,11))</f>
        <v>Progress</v>
      </c>
      <c r="I322" s="86">
        <f t="shared" ref="I322:M322" si="339">I321</f>
        <v>53</v>
      </c>
      <c r="J322" s="86">
        <f t="shared" si="339"/>
        <v>54</v>
      </c>
      <c r="K322" s="86">
        <f t="shared" si="339"/>
        <v>55</v>
      </c>
      <c r="L322" s="86">
        <f t="shared" si="339"/>
        <v>56</v>
      </c>
      <c r="M322" s="86">
        <f t="shared" si="339"/>
        <v>57</v>
      </c>
    </row>
    <row r="323" ht="15.75" customHeight="1">
      <c r="A323" s="69"/>
      <c r="B323" s="69"/>
      <c r="C323" s="71"/>
      <c r="D323" s="81" t="str">
        <f>if(isblank(I323),"",vlookup(I323,Pacing!$A$1:$Z$213,12))</f>
        <v>Review</v>
      </c>
      <c r="E323" s="81" t="str">
        <f>if(isblank(J323),"",vlookup(J323,Pacing!$A$1:$Z$213,12))</f>
        <v>Review</v>
      </c>
      <c r="F323" s="81" t="str">
        <f>if(isblank(K323),"",vlookup(K323,Pacing!$A$1:$Z$213,12))</f>
        <v>Review</v>
      </c>
      <c r="G323" s="81" t="str">
        <f>if(isblank(L323),"",vlookup(L323,Pacing!$A$1:$Z$213,12))</f>
        <v>Review</v>
      </c>
      <c r="H323" s="81" t="str">
        <f>if(isblank(M323),"",vlookup(M323,Pacing!$A$1:$Z$213,12))</f>
        <v>Review</v>
      </c>
      <c r="I323" s="86">
        <f t="shared" ref="I323:M323" si="340">I322</f>
        <v>53</v>
      </c>
      <c r="J323" s="86">
        <f t="shared" si="340"/>
        <v>54</v>
      </c>
      <c r="K323" s="86">
        <f t="shared" si="340"/>
        <v>55</v>
      </c>
      <c r="L323" s="86">
        <f t="shared" si="340"/>
        <v>56</v>
      </c>
      <c r="M323" s="86">
        <f t="shared" si="340"/>
        <v>57</v>
      </c>
    </row>
    <row r="324" ht="15.75" customHeight="1">
      <c r="A324" s="69"/>
      <c r="B324" s="69"/>
      <c r="C324" s="71"/>
      <c r="D324" s="91" t="str">
        <f>if(isblank(I324),"",vlookup(I324,Pacing!$A$1:$Z$213,13))</f>
        <v/>
      </c>
      <c r="E324" s="91" t="str">
        <f>if(isblank(J324),"",vlookup(J324,Pacing!$A$1:$Z$213,13))</f>
        <v/>
      </c>
      <c r="F324" s="91" t="str">
        <f>if(isblank(K324),"",vlookup(K324,Pacing!$A$1:$Z$213,13))</f>
        <v/>
      </c>
      <c r="G324" s="91" t="str">
        <f>if(isblank(L324),"",vlookup(L324,Pacing!$A$1:$Z$213,13))</f>
        <v/>
      </c>
      <c r="H324" s="91" t="str">
        <f>if(isblank(M324),"",vlookup(M324,Pacing!$A$1:$Z$213,13))</f>
        <v/>
      </c>
      <c r="I324" s="86">
        <f t="shared" ref="I324:M324" si="341">I323</f>
        <v>53</v>
      </c>
      <c r="J324" s="86">
        <f t="shared" si="341"/>
        <v>54</v>
      </c>
      <c r="K324" s="86">
        <f t="shared" si="341"/>
        <v>55</v>
      </c>
      <c r="L324" s="86">
        <f t="shared" si="341"/>
        <v>56</v>
      </c>
      <c r="M324" s="86">
        <f t="shared" si="341"/>
        <v>57</v>
      </c>
    </row>
    <row r="325" ht="15.75" customHeight="1">
      <c r="A325" s="69"/>
      <c r="B325" s="69"/>
      <c r="C325" s="71"/>
      <c r="D325" s="81" t="str">
        <f>if(isblank(I325),"",vlookup(I325,Pacing!$A$1:$Z$213,14))</f>
        <v>Notes Teacher</v>
      </c>
      <c r="E325" s="81" t="str">
        <f>if(isblank(J325),"",vlookup(J325,Pacing!$A$1:$Z$213,14))</f>
        <v>Notes Teacher</v>
      </c>
      <c r="F325" s="81" t="str">
        <f>if(isblank(K325),"",vlookup(K325,Pacing!$A$1:$Z$213,14))</f>
        <v>Notes Teacher</v>
      </c>
      <c r="G325" s="81" t="str">
        <f>if(isblank(L325),"",vlookup(L325,Pacing!$A$1:$Z$213,14))</f>
        <v>Notes Teacher</v>
      </c>
      <c r="H325" s="81" t="str">
        <f>if(isblank(M325),"",vlookup(M325,Pacing!$A$1:$Z$213,14))</f>
        <v>Notes Teacher</v>
      </c>
      <c r="I325" s="86">
        <f t="shared" ref="I325:M325" si="342">I324</f>
        <v>53</v>
      </c>
      <c r="J325" s="86">
        <f t="shared" si="342"/>
        <v>54</v>
      </c>
      <c r="K325" s="86">
        <f t="shared" si="342"/>
        <v>55</v>
      </c>
      <c r="L325" s="86">
        <f t="shared" si="342"/>
        <v>56</v>
      </c>
      <c r="M325" s="86">
        <f t="shared" si="342"/>
        <v>57</v>
      </c>
    </row>
    <row r="326" ht="15.75" customHeight="1">
      <c r="A326" s="69"/>
      <c r="B326" s="69"/>
      <c r="C326" s="71"/>
      <c r="D326" s="81" t="str">
        <f>if(isblank(I326),"",vlookup(I326,Pacing!$A$1:$Z$213,15))</f>
        <v>Demo Teacher</v>
      </c>
      <c r="E326" s="81" t="str">
        <f>if(isblank(J326),"",vlookup(J326,Pacing!$A$1:$Z$213,15))</f>
        <v>Demo Teacher</v>
      </c>
      <c r="F326" s="81" t="str">
        <f>if(isblank(K326),"",vlookup(K326,Pacing!$A$1:$Z$213,15))</f>
        <v>Demo Teacher</v>
      </c>
      <c r="G326" s="81" t="str">
        <f>if(isblank(L326),"",vlookup(L326,Pacing!$A$1:$Z$213,15))</f>
        <v>Demo Teacher</v>
      </c>
      <c r="H326" s="81" t="str">
        <f>if(isblank(M326),"",vlookup(M326,Pacing!$A$1:$Z$213,15))</f>
        <v>Demo Teacher</v>
      </c>
      <c r="I326" s="86">
        <f t="shared" ref="I326:M326" si="343">I325</f>
        <v>53</v>
      </c>
      <c r="J326" s="86">
        <f t="shared" si="343"/>
        <v>54</v>
      </c>
      <c r="K326" s="86">
        <f t="shared" si="343"/>
        <v>55</v>
      </c>
      <c r="L326" s="86">
        <f t="shared" si="343"/>
        <v>56</v>
      </c>
      <c r="M326" s="86">
        <f t="shared" si="343"/>
        <v>57</v>
      </c>
    </row>
    <row r="327" ht="15.75" customHeight="1">
      <c r="A327" s="69"/>
      <c r="B327" s="69"/>
      <c r="C327" s="71"/>
      <c r="D327" s="81" t="str">
        <f>if(isblank(I327),"",vlookup(I327,Pacing!$A$1:$Z$213,16))</f>
        <v>Invest Teacher</v>
      </c>
      <c r="E327" s="81" t="str">
        <f>if(isblank(J327),"",vlookup(J327,Pacing!$A$1:$Z$213,16))</f>
        <v>Invest Teacher</v>
      </c>
      <c r="F327" s="81" t="str">
        <f>if(isblank(K327),"",vlookup(K327,Pacing!$A$1:$Z$213,16))</f>
        <v>Invest Teacher</v>
      </c>
      <c r="G327" s="81" t="str">
        <f>if(isblank(L327),"",vlookup(L327,Pacing!$A$1:$Z$213,16))</f>
        <v>Invest Teacher</v>
      </c>
      <c r="H327" s="81" t="str">
        <f>if(isblank(M327),"",vlookup(M327,Pacing!$A$1:$Z$213,16))</f>
        <v>Invest Teacher</v>
      </c>
      <c r="I327" s="86">
        <f t="shared" ref="I327:M327" si="344">I326</f>
        <v>53</v>
      </c>
      <c r="J327" s="86">
        <f t="shared" si="344"/>
        <v>54</v>
      </c>
      <c r="K327" s="86">
        <f t="shared" si="344"/>
        <v>55</v>
      </c>
      <c r="L327" s="86">
        <f t="shared" si="344"/>
        <v>56</v>
      </c>
      <c r="M327" s="86">
        <f t="shared" si="344"/>
        <v>57</v>
      </c>
    </row>
    <row r="328" ht="15.75" customHeight="1">
      <c r="A328" s="69"/>
      <c r="B328" s="69"/>
      <c r="C328" s="71"/>
      <c r="D328" s="81" t="str">
        <f>if(isblank(I328),"",vlookup(I328,Pacing!$A$1:$Z$213,17))</f>
        <v>PT Teacher</v>
      </c>
      <c r="E328" s="81" t="str">
        <f>if(isblank(J328),"",vlookup(J328,Pacing!$A$1:$Z$213,17))</f>
        <v>PT Teacher</v>
      </c>
      <c r="F328" s="81" t="str">
        <f>if(isblank(K328),"",vlookup(K328,Pacing!$A$1:$Z$213,17))</f>
        <v>PT Teacher</v>
      </c>
      <c r="G328" s="81" t="str">
        <f>if(isblank(L328),"",vlookup(L328,Pacing!$A$1:$Z$213,17))</f>
        <v>PT Teacher</v>
      </c>
      <c r="H328" s="81" t="str">
        <f>if(isblank(M328),"",vlookup(M328,Pacing!$A$1:$Z$213,17))</f>
        <v>PT Teacher</v>
      </c>
      <c r="I328" s="86">
        <f t="shared" ref="I328:M328" si="345">I327</f>
        <v>53</v>
      </c>
      <c r="J328" s="86">
        <f t="shared" si="345"/>
        <v>54</v>
      </c>
      <c r="K328" s="86">
        <f t="shared" si="345"/>
        <v>55</v>
      </c>
      <c r="L328" s="86">
        <f t="shared" si="345"/>
        <v>56</v>
      </c>
      <c r="M328" s="86">
        <f t="shared" si="345"/>
        <v>57</v>
      </c>
    </row>
    <row r="329" ht="15.75" customHeight="1">
      <c r="A329" s="69"/>
      <c r="B329" s="69"/>
      <c r="C329" s="71"/>
      <c r="D329" s="81" t="str">
        <f>if(isblank(I329),"",vlookup(I329,Pacing!$A$1:$Z$213,18))</f>
        <v>Assess Plan</v>
      </c>
      <c r="E329" s="81" t="str">
        <f>if(isblank(J329),"",vlookup(J329,Pacing!$A$1:$Z$213,18))</f>
        <v>Assess Plan</v>
      </c>
      <c r="F329" s="81" t="str">
        <f>if(isblank(K329),"",vlookup(K329,Pacing!$A$1:$Z$213,18))</f>
        <v>Assess Plan</v>
      </c>
      <c r="G329" s="81" t="str">
        <f>if(isblank(L329),"",vlookup(L329,Pacing!$A$1:$Z$213,18))</f>
        <v>Assess Plan</v>
      </c>
      <c r="H329" s="81" t="str">
        <f>if(isblank(M329),"",vlookup(M329,Pacing!$A$1:$Z$213,18))</f>
        <v>Assess Plan</v>
      </c>
      <c r="I329" s="86">
        <f t="shared" ref="I329:M329" si="346">I328</f>
        <v>53</v>
      </c>
      <c r="J329" s="86">
        <f t="shared" si="346"/>
        <v>54</v>
      </c>
      <c r="K329" s="86">
        <f t="shared" si="346"/>
        <v>55</v>
      </c>
      <c r="L329" s="86">
        <f t="shared" si="346"/>
        <v>56</v>
      </c>
      <c r="M329" s="86">
        <f t="shared" si="346"/>
        <v>57</v>
      </c>
    </row>
    <row r="330" ht="15.75" customHeight="1">
      <c r="A330" s="69"/>
      <c r="B330" s="69"/>
      <c r="C330" s="71"/>
      <c r="D330" s="81" t="str">
        <f>if(isblank(I330),"",vlookup(I330,Pacing!$A$1:$Z$213,19))</f>
        <v>Perform Task</v>
      </c>
      <c r="E330" s="81" t="str">
        <f>if(isblank(J330),"",vlookup(J330,Pacing!$A$1:$Z$213,19))</f>
        <v>Perform Task</v>
      </c>
      <c r="F330" s="81" t="str">
        <f>if(isblank(K330),"",vlookup(K330,Pacing!$A$1:$Z$213,19))</f>
        <v>Perform Task</v>
      </c>
      <c r="G330" s="81" t="str">
        <f>if(isblank(L330),"",vlookup(L330,Pacing!$A$1:$Z$213,19))</f>
        <v>Perform Task</v>
      </c>
      <c r="H330" s="81" t="str">
        <f>if(isblank(M330),"",vlookup(M330,Pacing!$A$1:$Z$213,19))</f>
        <v>Perform Task</v>
      </c>
      <c r="I330" s="86">
        <f t="shared" ref="I330:M330" si="347">I329</f>
        <v>53</v>
      </c>
      <c r="J330" s="86">
        <f t="shared" si="347"/>
        <v>54</v>
      </c>
      <c r="K330" s="86">
        <f t="shared" si="347"/>
        <v>55</v>
      </c>
      <c r="L330" s="86">
        <f t="shared" si="347"/>
        <v>56</v>
      </c>
      <c r="M330" s="86">
        <f t="shared" si="347"/>
        <v>57</v>
      </c>
    </row>
    <row r="331" ht="15.75" customHeight="1">
      <c r="A331" s="69"/>
      <c r="B331" s="69"/>
      <c r="C331" s="71"/>
      <c r="D331" s="81" t="str">
        <f>if(isblank(I331),"",vlookup(I331,Pacing!$A$1:$Z$213,20))</f>
        <v>Quick Check</v>
      </c>
      <c r="E331" s="81" t="str">
        <f>if(isblank(J331),"",vlookup(J331,Pacing!$A$1:$Z$213,20))</f>
        <v>Quick Check</v>
      </c>
      <c r="F331" s="81" t="str">
        <f>if(isblank(K331),"",vlookup(K331,Pacing!$A$1:$Z$213,20))</f>
        <v>Quick Check</v>
      </c>
      <c r="G331" s="81" t="str">
        <f>if(isblank(L331),"",vlookup(L331,Pacing!$A$1:$Z$213,20))</f>
        <v>Quick Check</v>
      </c>
      <c r="H331" s="81" t="str">
        <f>if(isblank(M331),"",vlookup(M331,Pacing!$A$1:$Z$213,20))</f>
        <v>Quick Check</v>
      </c>
      <c r="I331" s="86">
        <f t="shared" ref="I331:M331" si="348">I330</f>
        <v>53</v>
      </c>
      <c r="J331" s="86">
        <f t="shared" si="348"/>
        <v>54</v>
      </c>
      <c r="K331" s="86">
        <f t="shared" si="348"/>
        <v>55</v>
      </c>
      <c r="L331" s="86">
        <f t="shared" si="348"/>
        <v>56</v>
      </c>
      <c r="M331" s="86">
        <f t="shared" si="348"/>
        <v>57</v>
      </c>
    </row>
    <row r="332" ht="15.75" customHeight="1">
      <c r="A332" s="69"/>
      <c r="B332" s="69"/>
      <c r="C332" s="71"/>
      <c r="D332" s="81" t="str">
        <f>if(isblank(I332),"",vlookup(I332,Pacing!$A$1:$Z$213,21))</f>
        <v>Exit Ticket</v>
      </c>
      <c r="E332" s="81" t="str">
        <f>if(isblank(J332),"",vlookup(J332,Pacing!$A$1:$Z$213,21))</f>
        <v>Exit Ticket</v>
      </c>
      <c r="F332" s="81" t="str">
        <f>if(isblank(K332),"",vlookup(K332,Pacing!$A$1:$Z$213,21))</f>
        <v>Exit Ticket</v>
      </c>
      <c r="G332" s="81" t="str">
        <f>if(isblank(L332),"",vlookup(L332,Pacing!$A$1:$Z$213,21))</f>
        <v>Exit Ticket</v>
      </c>
      <c r="H332" s="81" t="str">
        <f>if(isblank(M332),"",vlookup(M332,Pacing!$A$1:$Z$213,21))</f>
        <v>Exit Ticket</v>
      </c>
      <c r="I332" s="86">
        <f t="shared" ref="I332:M332" si="349">I331</f>
        <v>53</v>
      </c>
      <c r="J332" s="86">
        <f t="shared" si="349"/>
        <v>54</v>
      </c>
      <c r="K332" s="86">
        <f t="shared" si="349"/>
        <v>55</v>
      </c>
      <c r="L332" s="86">
        <f t="shared" si="349"/>
        <v>56</v>
      </c>
      <c r="M332" s="86">
        <f t="shared" si="349"/>
        <v>57</v>
      </c>
    </row>
    <row r="333" ht="15.75" customHeight="1">
      <c r="A333" s="69"/>
      <c r="B333" s="69"/>
      <c r="C333" s="71"/>
      <c r="D333" s="81" t="str">
        <f>if(isblank(I333),"",vlookup(I333,Pacing!$A$1:$Z$213,22))</f>
        <v>Practice 2</v>
      </c>
      <c r="E333" s="81" t="str">
        <f>if(isblank(J333),"",vlookup(J333,Pacing!$A$1:$Z$213,22))</f>
        <v>Practice 2</v>
      </c>
      <c r="F333" s="81" t="str">
        <f>if(isblank(K333),"",vlookup(K333,Pacing!$A$1:$Z$213,22))</f>
        <v>Practice 2</v>
      </c>
      <c r="G333" s="81" t="str">
        <f>if(isblank(L333),"",vlookup(L333,Pacing!$A$1:$Z$213,22))</f>
        <v>Practice 2</v>
      </c>
      <c r="H333" s="81" t="str">
        <f>if(isblank(M333),"",vlookup(M333,Pacing!$A$1:$Z$213,22))</f>
        <v>Practice 2</v>
      </c>
      <c r="I333" s="86">
        <f t="shared" ref="I333:M333" si="350">I332</f>
        <v>53</v>
      </c>
      <c r="J333" s="86">
        <f t="shared" si="350"/>
        <v>54</v>
      </c>
      <c r="K333" s="86">
        <f t="shared" si="350"/>
        <v>55</v>
      </c>
      <c r="L333" s="86">
        <f t="shared" si="350"/>
        <v>56</v>
      </c>
      <c r="M333" s="86">
        <f t="shared" si="350"/>
        <v>57</v>
      </c>
    </row>
    <row r="334" ht="15.75" customHeight="1">
      <c r="A334" s="69"/>
      <c r="B334" s="69"/>
      <c r="C334" s="71"/>
      <c r="D334" s="81" t="str">
        <f>if(isblank(I334),"",vlookup(I334,Pacing!$A$1:$Z$213,23))</f>
        <v>Practice 3</v>
      </c>
      <c r="E334" s="81" t="str">
        <f>if(isblank(J334),"",vlookup(J334,Pacing!$A$1:$Z$213,23))</f>
        <v>Practice 3</v>
      </c>
      <c r="F334" s="81" t="str">
        <f>if(isblank(K334),"",vlookup(K334,Pacing!$A$1:$Z$213,23))</f>
        <v>Practice 3</v>
      </c>
      <c r="G334" s="81" t="str">
        <f>if(isblank(L334),"",vlookup(L334,Pacing!$A$1:$Z$213,23))</f>
        <v>Practice 3</v>
      </c>
      <c r="H334" s="81" t="str">
        <f>if(isblank(M334),"",vlookup(M334,Pacing!$A$1:$Z$213,23))</f>
        <v>Practice 3</v>
      </c>
      <c r="I334" s="86">
        <f t="shared" ref="I334:M334" si="351">I333</f>
        <v>53</v>
      </c>
      <c r="J334" s="86">
        <f t="shared" si="351"/>
        <v>54</v>
      </c>
      <c r="K334" s="86">
        <f t="shared" si="351"/>
        <v>55</v>
      </c>
      <c r="L334" s="86">
        <f t="shared" si="351"/>
        <v>56</v>
      </c>
      <c r="M334" s="86">
        <f t="shared" si="351"/>
        <v>57</v>
      </c>
    </row>
    <row r="335" ht="15.75" customHeight="1">
      <c r="A335" s="69"/>
      <c r="B335" s="69"/>
      <c r="C335" s="71"/>
      <c r="D335" s="81" t="str">
        <f>if(isblank(I335),"",vlookup(I335,Pacing!$A$1:$Z$213,24))</f>
        <v>Sum Assess</v>
      </c>
      <c r="E335" s="81" t="str">
        <f>if(isblank(J335),"",vlookup(J335,Pacing!$A$1:$Z$213,24))</f>
        <v>Sum Assess</v>
      </c>
      <c r="F335" s="81" t="str">
        <f>if(isblank(K335),"",vlookup(K335,Pacing!$A$1:$Z$213,24))</f>
        <v>Sum Assess</v>
      </c>
      <c r="G335" s="81" t="str">
        <f>if(isblank(L335),"",vlookup(L335,Pacing!$A$1:$Z$213,24))</f>
        <v>Sum Assess</v>
      </c>
      <c r="H335" s="81" t="str">
        <f>if(isblank(M335),"",vlookup(M335,Pacing!$A$1:$Z$213,24))</f>
        <v>Sum Assess</v>
      </c>
      <c r="I335" s="86">
        <f t="shared" ref="I335:M335" si="352">I334</f>
        <v>53</v>
      </c>
      <c r="J335" s="86">
        <f t="shared" si="352"/>
        <v>54</v>
      </c>
      <c r="K335" s="86">
        <f t="shared" si="352"/>
        <v>55</v>
      </c>
      <c r="L335" s="86">
        <f t="shared" si="352"/>
        <v>56</v>
      </c>
      <c r="M335" s="86">
        <f t="shared" si="352"/>
        <v>57</v>
      </c>
    </row>
    <row r="336" ht="15.75" customHeight="1">
      <c r="A336" s="69"/>
      <c r="B336" s="69"/>
      <c r="C336" s="71"/>
      <c r="D336" s="81" t="str">
        <f>if(isblank(I336),"",vlookup(I336,Pacing!$A$1:$Z$213,25))</f>
        <v>Bank</v>
      </c>
      <c r="E336" s="81" t="str">
        <f>if(isblank(J336),"",vlookup(J336,Pacing!$A$1:$Z$213,25))</f>
        <v>Bank</v>
      </c>
      <c r="F336" s="81" t="str">
        <f>if(isblank(K336),"",vlookup(K336,Pacing!$A$1:$Z$213,25))</f>
        <v>Bank</v>
      </c>
      <c r="G336" s="81" t="str">
        <f>if(isblank(L336),"",vlookup(L336,Pacing!$A$1:$Z$213,25))</f>
        <v>Bank</v>
      </c>
      <c r="H336" s="81" t="str">
        <f>if(isblank(M336),"",vlookup(M336,Pacing!$A$1:$Z$213,25))</f>
        <v>Bank</v>
      </c>
      <c r="I336" s="86">
        <f t="shared" ref="I336:M336" si="353">I335</f>
        <v>53</v>
      </c>
      <c r="J336" s="86">
        <f t="shared" si="353"/>
        <v>54</v>
      </c>
      <c r="K336" s="86">
        <f t="shared" si="353"/>
        <v>55</v>
      </c>
      <c r="L336" s="86">
        <f t="shared" si="353"/>
        <v>56</v>
      </c>
      <c r="M336" s="86">
        <f t="shared" si="353"/>
        <v>57</v>
      </c>
    </row>
    <row r="337" ht="15.75" customHeight="1">
      <c r="A337" s="69"/>
      <c r="B337" s="69"/>
      <c r="C337" s="71"/>
      <c r="D337" s="91" t="str">
        <f>if(isblank(I337),"",vlookup(I337,Pacing!$A$1:$Z$213,26))</f>
        <v/>
      </c>
      <c r="E337" s="89" t="str">
        <f>if(isblank(J337),"",vlookup(J337,Pacing!$A$1:$Z$213,26))</f>
        <v/>
      </c>
      <c r="F337" s="89" t="str">
        <f>if(isblank(K337),"",vlookup(K337,Pacing!$A$1:$Z$213,26))</f>
        <v/>
      </c>
      <c r="G337" s="89" t="str">
        <f>if(isblank(L337),"",vlookup(L337,Pacing!$A$1:$Z$213,26))</f>
        <v/>
      </c>
      <c r="H337" s="89" t="str">
        <f>if(isblank(M337),"",vlookup(M337,Pacing!$A$1:$Z$213,26))</f>
        <v/>
      </c>
      <c r="I337" s="86">
        <f t="shared" ref="I337:M337" si="354">I336</f>
        <v>53</v>
      </c>
      <c r="J337" s="86">
        <f t="shared" si="354"/>
        <v>54</v>
      </c>
      <c r="K337" s="86">
        <f t="shared" si="354"/>
        <v>55</v>
      </c>
      <c r="L337" s="86">
        <f t="shared" si="354"/>
        <v>56</v>
      </c>
      <c r="M337" s="86">
        <f t="shared" si="354"/>
        <v>57</v>
      </c>
    </row>
    <row r="338" ht="15.75" customHeight="1">
      <c r="A338" s="137"/>
      <c r="B338" s="137"/>
      <c r="C338" s="138"/>
      <c r="D338" s="139">
        <f>H311+1</f>
        <v>58</v>
      </c>
      <c r="E338" s="139">
        <f t="shared" ref="E338:F338" si="355">D338+1</f>
        <v>59</v>
      </c>
      <c r="F338" s="139">
        <f t="shared" si="355"/>
        <v>60</v>
      </c>
      <c r="G338" s="139"/>
      <c r="H338" s="139"/>
      <c r="I338" s="55">
        <f t="shared" ref="I338:M338" si="356">D338</f>
        <v>58</v>
      </c>
      <c r="J338" s="55">
        <f t="shared" si="356"/>
        <v>59</v>
      </c>
      <c r="K338" s="55">
        <f t="shared" si="356"/>
        <v>60</v>
      </c>
      <c r="L338" s="55" t="str">
        <f t="shared" si="356"/>
        <v/>
      </c>
      <c r="M338" s="55" t="str">
        <f t="shared" si="356"/>
        <v/>
      </c>
    </row>
    <row r="339" ht="15.75" customHeight="1">
      <c r="A339" s="69">
        <f>B339+1</f>
        <v>131</v>
      </c>
      <c r="B339" s="69">
        <f t="shared" ref="B339:B346" si="358">$C$339*10</f>
        <v>130</v>
      </c>
      <c r="C339" s="71">
        <f>C312+1</f>
        <v>13</v>
      </c>
      <c r="D339" s="72">
        <f>D312+7</f>
        <v>46349</v>
      </c>
      <c r="E339" s="72">
        <f t="shared" ref="E339:H339" si="357">D339+1</f>
        <v>46350</v>
      </c>
      <c r="F339" s="204">
        <f t="shared" si="357"/>
        <v>46351</v>
      </c>
      <c r="G339" s="74">
        <f t="shared" si="357"/>
        <v>46352</v>
      </c>
      <c r="H339" s="74">
        <f t="shared" si="357"/>
        <v>46353</v>
      </c>
      <c r="I339" s="62" t="s">
        <v>42</v>
      </c>
    </row>
    <row r="340" ht="15.75" customHeight="1">
      <c r="A340" s="75">
        <f>B340+2</f>
        <v>132</v>
      </c>
      <c r="B340" s="75">
        <f t="shared" si="358"/>
        <v>130</v>
      </c>
      <c r="C340" s="76"/>
      <c r="D340" s="131" t="str">
        <f>if(isblank(I340),"",vlookup(I340,Pacing!$A$1:$Z$213,2))</f>
        <v>4.2: Conserve Mom</v>
      </c>
      <c r="E340" s="131" t="str">
        <f>if(isblank(J340),"",vlookup(J340,Pacing!$A$1:$Z$213,2))</f>
        <v>4.3: Work &amp; Energy</v>
      </c>
      <c r="F340" s="206" t="str">
        <f>if(isblank(K340),"",vlookup(K340,Pacing!$A$1:$Z$213,2))</f>
        <v>4.3: Work &amp; Energy</v>
      </c>
      <c r="G340" s="77" t="str">
        <f>if(isblank(L340),"",vlookup(L340,Pacing!$A$1:$Z$213,2))</f>
        <v/>
      </c>
      <c r="H340" s="77" t="str">
        <f>if(isblank(M340),"",vlookup(M340,Pacing!$A$1:$Z$213,2))</f>
        <v/>
      </c>
      <c r="I340" s="78">
        <f t="shared" ref="I340:M340" si="359">I338</f>
        <v>58</v>
      </c>
      <c r="J340" s="78">
        <f t="shared" si="359"/>
        <v>59</v>
      </c>
      <c r="K340" s="78">
        <f t="shared" si="359"/>
        <v>60</v>
      </c>
      <c r="L340" s="78" t="str">
        <f t="shared" si="359"/>
        <v/>
      </c>
      <c r="M340" s="78" t="str">
        <f t="shared" si="359"/>
        <v/>
      </c>
    </row>
    <row r="341" ht="15.75" customHeight="1">
      <c r="A341" s="69">
        <f>B341+3</f>
        <v>133</v>
      </c>
      <c r="B341" s="69">
        <f t="shared" si="358"/>
        <v>130</v>
      </c>
      <c r="C341" s="76"/>
      <c r="D341" s="81" t="str">
        <f>if(isblank(I341),"",vlookup(I341,Pacing!$A$1:$Z$213,3))</f>
        <v>Warm Up</v>
      </c>
      <c r="E341" s="81" t="str">
        <f>if(isblank(J341),"",vlookup(J341,Pacing!$A$1:$Z$213,3))</f>
        <v>Warm Up</v>
      </c>
      <c r="F341" s="208" t="str">
        <f>if(isblank(K341),"",vlookup(K341,Pacing!$A$1:$Z$213,3))</f>
        <v>Warm Up</v>
      </c>
      <c r="G341" s="85" t="str">
        <f>if(isblank(L341),"",vlookup(L341,Pacing!$A$1:$Z$213,3))</f>
        <v/>
      </c>
      <c r="H341" s="85" t="str">
        <f>if(isblank(M341),"",vlookup(M341,Pacing!$A$1:$Z$213,3))</f>
        <v/>
      </c>
      <c r="I341" s="86">
        <f t="shared" ref="I341:M341" si="360">I340</f>
        <v>58</v>
      </c>
      <c r="J341" s="86">
        <f t="shared" si="360"/>
        <v>59</v>
      </c>
      <c r="K341" s="86">
        <f t="shared" si="360"/>
        <v>60</v>
      </c>
      <c r="L341" s="86" t="str">
        <f t="shared" si="360"/>
        <v/>
      </c>
      <c r="M341" s="86" t="str">
        <f t="shared" si="360"/>
        <v/>
      </c>
    </row>
    <row r="342" ht="15.75" customHeight="1">
      <c r="A342" s="69">
        <f>B342+4</f>
        <v>134</v>
      </c>
      <c r="B342" s="69">
        <f t="shared" si="358"/>
        <v>130</v>
      </c>
      <c r="C342" s="76"/>
      <c r="D342" s="81" t="str">
        <f>if(isblank(I342),"",vlookup(I342,Pacing!$A$1:$Z$213,4))</f>
        <v>Demo</v>
      </c>
      <c r="E342" s="81" t="str">
        <f>if(isblank(J342),"",vlookup(J342,Pacing!$A$1:$Z$213,4))</f>
        <v>Demo</v>
      </c>
      <c r="F342" s="208" t="str">
        <f>if(isblank(K342),"",vlookup(K342,Pacing!$A$1:$Z$213,4))</f>
        <v>Demo</v>
      </c>
      <c r="G342" s="85" t="str">
        <f>if(isblank(L342),"",vlookup(L342,Pacing!$A$1:$Z$213,4))</f>
        <v/>
      </c>
      <c r="H342" s="85" t="str">
        <f>if(isblank(M342),"",vlookup(M342,Pacing!$A$1:$Z$213,4))</f>
        <v/>
      </c>
      <c r="I342" s="86">
        <f t="shared" ref="I342:M342" si="361">I341</f>
        <v>58</v>
      </c>
      <c r="J342" s="86">
        <f t="shared" si="361"/>
        <v>59</v>
      </c>
      <c r="K342" s="86">
        <f t="shared" si="361"/>
        <v>60</v>
      </c>
      <c r="L342" s="86" t="str">
        <f t="shared" si="361"/>
        <v/>
      </c>
      <c r="M342" s="86" t="str">
        <f t="shared" si="361"/>
        <v/>
      </c>
    </row>
    <row r="343" ht="15.75" customHeight="1">
      <c r="A343" s="69">
        <f>B343+5</f>
        <v>135</v>
      </c>
      <c r="B343" s="69">
        <f t="shared" si="358"/>
        <v>130</v>
      </c>
      <c r="C343" s="76"/>
      <c r="D343" s="81" t="str">
        <f>if(isblank(I343),"",vlookup(I343,Pacing!$A$1:$Z$213,5))</f>
        <v>Notes</v>
      </c>
      <c r="E343" s="81" t="str">
        <f>if(isblank(J343),"",vlookup(J343,Pacing!$A$1:$Z$213,5))</f>
        <v>Notes</v>
      </c>
      <c r="F343" s="208" t="str">
        <f>if(isblank(K343),"",vlookup(K343,Pacing!$A$1:$Z$213,5))</f>
        <v>Notes</v>
      </c>
      <c r="G343" s="85" t="str">
        <f>if(isblank(L343),"",vlookup(L343,Pacing!$A$1:$Z$213,5))</f>
        <v/>
      </c>
      <c r="H343" s="85" t="str">
        <f>if(isblank(M343),"",vlookup(M343,Pacing!$A$1:$Z$213,5))</f>
        <v/>
      </c>
      <c r="I343" s="86">
        <f t="shared" ref="I343:M343" si="362">I342</f>
        <v>58</v>
      </c>
      <c r="J343" s="86">
        <f t="shared" si="362"/>
        <v>59</v>
      </c>
      <c r="K343" s="86">
        <f t="shared" si="362"/>
        <v>60</v>
      </c>
      <c r="L343" s="86" t="str">
        <f t="shared" si="362"/>
        <v/>
      </c>
      <c r="M343" s="86" t="str">
        <f t="shared" si="362"/>
        <v/>
      </c>
    </row>
    <row r="344" ht="15.75" customHeight="1">
      <c r="A344" s="69">
        <f>B344+6</f>
        <v>136</v>
      </c>
      <c r="B344" s="69">
        <f t="shared" si="358"/>
        <v>130</v>
      </c>
      <c r="C344" s="76"/>
      <c r="D344" s="81" t="str">
        <f>if(isblank(I344),"",vlookup(I344,Pacing!$A$1:$Z$213,6))</f>
        <v>Investigation</v>
      </c>
      <c r="E344" s="81" t="str">
        <f>if(isblank(J344),"",vlookup(J344,Pacing!$A$1:$Z$213,6))</f>
        <v>Investigation</v>
      </c>
      <c r="F344" s="208" t="str">
        <f>if(isblank(K344),"",vlookup(K344,Pacing!$A$1:$Z$213,6))</f>
        <v>Investigation</v>
      </c>
      <c r="G344" s="85" t="str">
        <f>if(isblank(L344),"",vlookup(L344,Pacing!$A$1:$Z$213,6))</f>
        <v/>
      </c>
      <c r="H344" s="85" t="str">
        <f>if(isblank(M344),"",vlookup(M344,Pacing!$A$1:$Z$213,6))</f>
        <v/>
      </c>
      <c r="I344" s="86">
        <f t="shared" ref="I344:M344" si="363">I343</f>
        <v>58</v>
      </c>
      <c r="J344" s="86">
        <f t="shared" si="363"/>
        <v>59</v>
      </c>
      <c r="K344" s="86">
        <f t="shared" si="363"/>
        <v>60</v>
      </c>
      <c r="L344" s="86" t="str">
        <f t="shared" si="363"/>
        <v/>
      </c>
      <c r="M344" s="86" t="str">
        <f t="shared" si="363"/>
        <v/>
      </c>
    </row>
    <row r="345" ht="15.75" customHeight="1">
      <c r="A345" s="69">
        <f>B345+7</f>
        <v>137</v>
      </c>
      <c r="B345" s="69">
        <f t="shared" si="358"/>
        <v>130</v>
      </c>
      <c r="C345" s="76"/>
      <c r="D345" s="81" t="str">
        <f>if(isblank(I345),"",vlookup(I345,Pacing!$A$1:$Z$213,7))</f>
        <v>Activity</v>
      </c>
      <c r="E345" s="81" t="str">
        <f>if(isblank(J345),"",vlookup(J345,Pacing!$A$1:$Z$213,7))</f>
        <v>Activity</v>
      </c>
      <c r="F345" s="208" t="str">
        <f>if(isblank(K345),"",vlookup(K345,Pacing!$A$1:$Z$213,7))</f>
        <v>Activity</v>
      </c>
      <c r="G345" s="85" t="str">
        <f>if(isblank(L345),"",vlookup(L345,Pacing!$A$1:$Z$213,7))</f>
        <v/>
      </c>
      <c r="H345" s="85" t="str">
        <f>if(isblank(M345),"",vlookup(M345,Pacing!$A$1:$Z$213,7))</f>
        <v/>
      </c>
      <c r="I345" s="86">
        <f t="shared" ref="I345:M345" si="364">I344</f>
        <v>58</v>
      </c>
      <c r="J345" s="86">
        <f t="shared" si="364"/>
        <v>59</v>
      </c>
      <c r="K345" s="86">
        <f t="shared" si="364"/>
        <v>60</v>
      </c>
      <c r="L345" s="86" t="str">
        <f t="shared" si="364"/>
        <v/>
      </c>
      <c r="M345" s="86" t="str">
        <f t="shared" si="364"/>
        <v/>
      </c>
    </row>
    <row r="346" ht="15.75" customHeight="1">
      <c r="A346" s="69">
        <f>B346+8</f>
        <v>138</v>
      </c>
      <c r="B346" s="69">
        <f t="shared" si="358"/>
        <v>130</v>
      </c>
      <c r="C346" s="95"/>
      <c r="D346" s="81" t="str">
        <f>if(isblank(I346),"",vlookup(I346,Pacing!$A$1:$Z$213,8))</f>
        <v>Practice Set</v>
      </c>
      <c r="E346" s="81" t="str">
        <f>if(isblank(J346),"",vlookup(J346,Pacing!$A$1:$Z$213,8))</f>
        <v>Practice Set</v>
      </c>
      <c r="F346" s="208" t="str">
        <f>if(isblank(K346),"",vlookup(K346,Pacing!$A$1:$Z$213,8))</f>
        <v>Practice Set</v>
      </c>
      <c r="G346" s="85" t="str">
        <f>if(isblank(L346),"",vlookup(L346,Pacing!$A$1:$Z$213,8))</f>
        <v/>
      </c>
      <c r="H346" s="85" t="str">
        <f>if(isblank(M346),"",vlookup(M346,Pacing!$A$1:$Z$213,8))</f>
        <v/>
      </c>
      <c r="I346" s="86">
        <f t="shared" ref="I346:M346" si="365">I345</f>
        <v>58</v>
      </c>
      <c r="J346" s="86">
        <f t="shared" si="365"/>
        <v>59</v>
      </c>
      <c r="K346" s="86">
        <f t="shared" si="365"/>
        <v>60</v>
      </c>
      <c r="L346" s="86" t="str">
        <f t="shared" si="365"/>
        <v/>
      </c>
      <c r="M346" s="86" t="str">
        <f t="shared" si="365"/>
        <v/>
      </c>
    </row>
    <row r="347" ht="15.75" customHeight="1">
      <c r="A347" s="69"/>
      <c r="B347" s="69"/>
      <c r="C347" s="71"/>
      <c r="D347" s="81" t="str">
        <f>if(isblank(I347),"",vlookup(I347,Pacing!$A$1:$Z$213,9))</f>
        <v>Extra Practice</v>
      </c>
      <c r="E347" s="81" t="str">
        <f>if(isblank(J347),"",vlookup(J347,Pacing!$A$1:$Z$213,9))</f>
        <v>Extra Practice</v>
      </c>
      <c r="F347" s="208" t="str">
        <f>if(isblank(K347),"",vlookup(K347,Pacing!$A$1:$Z$213,9))</f>
        <v>Extra Practice</v>
      </c>
      <c r="G347" s="85" t="str">
        <f>if(isblank(L347),"",vlookup(L347,Pacing!$A$1:$Z$213,9))</f>
        <v/>
      </c>
      <c r="H347" s="85" t="str">
        <f>if(isblank(M347),"",vlookup(M347,Pacing!$A$1:$Z$213,9))</f>
        <v/>
      </c>
      <c r="I347" s="86">
        <f t="shared" ref="I347:M347" si="366">I346</f>
        <v>58</v>
      </c>
      <c r="J347" s="86">
        <f t="shared" si="366"/>
        <v>59</v>
      </c>
      <c r="K347" s="86">
        <f t="shared" si="366"/>
        <v>60</v>
      </c>
      <c r="L347" s="86" t="str">
        <f t="shared" si="366"/>
        <v/>
      </c>
      <c r="M347" s="86" t="str">
        <f t="shared" si="366"/>
        <v/>
      </c>
    </row>
    <row r="348" ht="15.75" customHeight="1">
      <c r="A348" s="69"/>
      <c r="B348" s="69"/>
      <c r="C348" s="71"/>
      <c r="D348" s="81" t="str">
        <f>if(isblank(I348),"",vlookup(I348,Pacing!$A$1:$Z$213,10))</f>
        <v>CYU</v>
      </c>
      <c r="E348" s="81" t="str">
        <f>if(isblank(J348),"",vlookup(J348,Pacing!$A$1:$Z$213,10))</f>
        <v>CYU</v>
      </c>
      <c r="F348" s="208" t="str">
        <f>if(isblank(K348),"",vlookup(K348,Pacing!$A$1:$Z$213,10))</f>
        <v>CYU</v>
      </c>
      <c r="G348" s="85" t="str">
        <f>if(isblank(L348),"",vlookup(L348,Pacing!$A$1:$Z$213,10))</f>
        <v/>
      </c>
      <c r="H348" s="85" t="str">
        <f>if(isblank(M348),"",vlookup(M348,Pacing!$A$1:$Z$213,10))</f>
        <v/>
      </c>
      <c r="I348" s="86">
        <f t="shared" ref="I348:M348" si="367">I347</f>
        <v>58</v>
      </c>
      <c r="J348" s="86">
        <f t="shared" si="367"/>
        <v>59</v>
      </c>
      <c r="K348" s="86">
        <f t="shared" si="367"/>
        <v>60</v>
      </c>
      <c r="L348" s="86" t="str">
        <f t="shared" si="367"/>
        <v/>
      </c>
      <c r="M348" s="86" t="str">
        <f t="shared" si="367"/>
        <v/>
      </c>
    </row>
    <row r="349" ht="15.75" customHeight="1">
      <c r="A349" s="69"/>
      <c r="B349" s="69"/>
      <c r="C349" s="71"/>
      <c r="D349" s="81" t="str">
        <f>if(isblank(I349),"",vlookup(I349,Pacing!$A$1:$Z$213,11))</f>
        <v>Progress</v>
      </c>
      <c r="E349" s="81" t="str">
        <f>if(isblank(J349),"",vlookup(J349,Pacing!$A$1:$Z$213,11))</f>
        <v>Progress</v>
      </c>
      <c r="F349" s="208" t="str">
        <f>if(isblank(K349),"",vlookup(K349,Pacing!$A$1:$Z$213,11))</f>
        <v>Progress</v>
      </c>
      <c r="G349" s="85" t="str">
        <f>if(isblank(L349),"",vlookup(L349,Pacing!$A$1:$Z$213,11))</f>
        <v/>
      </c>
      <c r="H349" s="85" t="str">
        <f>if(isblank(M349),"",vlookup(M349,Pacing!$A$1:$Z$213,11))</f>
        <v/>
      </c>
      <c r="I349" s="86">
        <f t="shared" ref="I349:M349" si="368">I348</f>
        <v>58</v>
      </c>
      <c r="J349" s="86">
        <f t="shared" si="368"/>
        <v>59</v>
      </c>
      <c r="K349" s="86">
        <f t="shared" si="368"/>
        <v>60</v>
      </c>
      <c r="L349" s="86" t="str">
        <f t="shared" si="368"/>
        <v/>
      </c>
      <c r="M349" s="86" t="str">
        <f t="shared" si="368"/>
        <v/>
      </c>
    </row>
    <row r="350" ht="15.75" customHeight="1">
      <c r="A350" s="69"/>
      <c r="B350" s="69"/>
      <c r="C350" s="71"/>
      <c r="D350" s="81" t="str">
        <f>if(isblank(I350),"",vlookup(I350,Pacing!$A$1:$Z$213,12))</f>
        <v>Review</v>
      </c>
      <c r="E350" s="81" t="str">
        <f>if(isblank(J350),"",vlookup(J350,Pacing!$A$1:$Z$213,12))</f>
        <v>Review</v>
      </c>
      <c r="F350" s="208" t="str">
        <f>if(isblank(K350),"",vlookup(K350,Pacing!$A$1:$Z$213,12))</f>
        <v>Review</v>
      </c>
      <c r="G350" s="129" t="str">
        <f>if(isblank(L350),"",vlookup(L350,Pacing!$A$1:$Z$213,12))</f>
        <v/>
      </c>
      <c r="H350" s="129" t="str">
        <f>if(isblank(M350),"",vlookup(M350,Pacing!$A$1:$Z$213,12))</f>
        <v/>
      </c>
      <c r="I350" s="86">
        <f t="shared" ref="I350:M350" si="369">I349</f>
        <v>58</v>
      </c>
      <c r="J350" s="86">
        <f t="shared" si="369"/>
        <v>59</v>
      </c>
      <c r="K350" s="86">
        <f t="shared" si="369"/>
        <v>60</v>
      </c>
      <c r="L350" s="86" t="str">
        <f t="shared" si="369"/>
        <v/>
      </c>
      <c r="M350" s="86" t="str">
        <f t="shared" si="369"/>
        <v/>
      </c>
    </row>
    <row r="351" ht="15.75" customHeight="1">
      <c r="A351" s="69"/>
      <c r="B351" s="69"/>
      <c r="C351" s="71"/>
      <c r="D351" s="91" t="str">
        <f>if(isblank(I351),"",vlookup(I351,Pacing!$A$1:$Z$213,13))</f>
        <v/>
      </c>
      <c r="E351" s="91" t="str">
        <f>if(isblank(J351),"",vlookup(J351,Pacing!$A$1:$Z$213,13))</f>
        <v/>
      </c>
      <c r="F351" s="210" t="str">
        <f>if(isblank(K351),"",vlookup(K351,Pacing!$A$1:$Z$213,13))</f>
        <v/>
      </c>
      <c r="G351" s="129" t="str">
        <f>if(isblank(L351),"",vlookup(L351,Pacing!$A$1:$Z$213,13))</f>
        <v/>
      </c>
      <c r="H351" s="129" t="str">
        <f>if(isblank(M351),"",vlookup(M351,Pacing!$A$1:$Z$213,13))</f>
        <v/>
      </c>
      <c r="I351" s="86">
        <f t="shared" ref="I351:M351" si="370">I350</f>
        <v>58</v>
      </c>
      <c r="J351" s="86">
        <f t="shared" si="370"/>
        <v>59</v>
      </c>
      <c r="K351" s="86">
        <f t="shared" si="370"/>
        <v>60</v>
      </c>
      <c r="L351" s="86" t="str">
        <f t="shared" si="370"/>
        <v/>
      </c>
      <c r="M351" s="86" t="str">
        <f t="shared" si="370"/>
        <v/>
      </c>
    </row>
    <row r="352" ht="15.75" customHeight="1">
      <c r="A352" s="69"/>
      <c r="B352" s="69"/>
      <c r="C352" s="71"/>
      <c r="D352" s="81" t="str">
        <f>if(isblank(I352),"",vlookup(I352,Pacing!$A$1:$Z$213,14))</f>
        <v>Notes Teacher</v>
      </c>
      <c r="E352" s="81" t="str">
        <f>if(isblank(J352),"",vlookup(J352,Pacing!$A$1:$Z$213,14))</f>
        <v>Notes Teacher</v>
      </c>
      <c r="F352" s="208" t="str">
        <f>if(isblank(K352),"",vlookup(K352,Pacing!$A$1:$Z$213,14))</f>
        <v>Notes Teacher</v>
      </c>
      <c r="G352" s="85" t="str">
        <f>if(isblank(L352),"",vlookup(L352,Pacing!$A$1:$Z$213,14))</f>
        <v/>
      </c>
      <c r="H352" s="85" t="str">
        <f>if(isblank(M352),"",vlookup(M352,Pacing!$A$1:$Z$213,14))</f>
        <v/>
      </c>
      <c r="I352" s="86">
        <f t="shared" ref="I352:M352" si="371">I351</f>
        <v>58</v>
      </c>
      <c r="J352" s="86">
        <f t="shared" si="371"/>
        <v>59</v>
      </c>
      <c r="K352" s="86">
        <f t="shared" si="371"/>
        <v>60</v>
      </c>
      <c r="L352" s="86" t="str">
        <f t="shared" si="371"/>
        <v/>
      </c>
      <c r="M352" s="86" t="str">
        <f t="shared" si="371"/>
        <v/>
      </c>
    </row>
    <row r="353" ht="15.75" customHeight="1">
      <c r="A353" s="69"/>
      <c r="B353" s="69"/>
      <c r="C353" s="71"/>
      <c r="D353" s="81" t="str">
        <f>if(isblank(I353),"",vlookup(I353,Pacing!$A$1:$Z$213,15))</f>
        <v>Demo Teacher</v>
      </c>
      <c r="E353" s="81" t="str">
        <f>if(isblank(J353),"",vlookup(J353,Pacing!$A$1:$Z$213,15))</f>
        <v>Demo Teacher</v>
      </c>
      <c r="F353" s="208" t="str">
        <f>if(isblank(K353),"",vlookup(K353,Pacing!$A$1:$Z$213,15))</f>
        <v>Demo Teacher</v>
      </c>
      <c r="G353" s="85" t="str">
        <f>if(isblank(L353),"",vlookup(L353,Pacing!$A$1:$Z$213,15))</f>
        <v/>
      </c>
      <c r="H353" s="85" t="str">
        <f>if(isblank(M353),"",vlookup(M353,Pacing!$A$1:$Z$213,15))</f>
        <v/>
      </c>
      <c r="I353" s="86">
        <f t="shared" ref="I353:M353" si="372">I352</f>
        <v>58</v>
      </c>
      <c r="J353" s="86">
        <f t="shared" si="372"/>
        <v>59</v>
      </c>
      <c r="K353" s="86">
        <f t="shared" si="372"/>
        <v>60</v>
      </c>
      <c r="L353" s="86" t="str">
        <f t="shared" si="372"/>
        <v/>
      </c>
      <c r="M353" s="86" t="str">
        <f t="shared" si="372"/>
        <v/>
      </c>
    </row>
    <row r="354" ht="15.75" customHeight="1">
      <c r="A354" s="69"/>
      <c r="B354" s="69"/>
      <c r="C354" s="71"/>
      <c r="D354" s="81" t="str">
        <f>if(isblank(I354),"",vlookup(I354,Pacing!$A$1:$Z$213,16))</f>
        <v>Invest Teacher</v>
      </c>
      <c r="E354" s="81" t="str">
        <f>if(isblank(J354),"",vlookup(J354,Pacing!$A$1:$Z$213,16))</f>
        <v>Invest Teacher</v>
      </c>
      <c r="F354" s="208" t="str">
        <f>if(isblank(K354),"",vlookup(K354,Pacing!$A$1:$Z$213,16))</f>
        <v>Invest Teacher</v>
      </c>
      <c r="G354" s="85" t="str">
        <f>if(isblank(L354),"",vlookup(L354,Pacing!$A$1:$Z$213,16))</f>
        <v/>
      </c>
      <c r="H354" s="85" t="str">
        <f>if(isblank(M354),"",vlookup(M354,Pacing!$A$1:$Z$213,16))</f>
        <v/>
      </c>
      <c r="I354" s="86">
        <f t="shared" ref="I354:M354" si="373">I353</f>
        <v>58</v>
      </c>
      <c r="J354" s="86">
        <f t="shared" si="373"/>
        <v>59</v>
      </c>
      <c r="K354" s="86">
        <f t="shared" si="373"/>
        <v>60</v>
      </c>
      <c r="L354" s="86" t="str">
        <f t="shared" si="373"/>
        <v/>
      </c>
      <c r="M354" s="86" t="str">
        <f t="shared" si="373"/>
        <v/>
      </c>
    </row>
    <row r="355" ht="15.75" customHeight="1">
      <c r="A355" s="69"/>
      <c r="B355" s="69"/>
      <c r="C355" s="71"/>
      <c r="D355" s="81" t="str">
        <f>if(isblank(I355),"",vlookup(I355,Pacing!$A$1:$Z$213,17))</f>
        <v>PT Teacher</v>
      </c>
      <c r="E355" s="81" t="str">
        <f>if(isblank(J355),"",vlookup(J355,Pacing!$A$1:$Z$213,17))</f>
        <v>PT Teacher</v>
      </c>
      <c r="F355" s="208" t="str">
        <f>if(isblank(K355),"",vlookup(K355,Pacing!$A$1:$Z$213,17))</f>
        <v>PT Teacher</v>
      </c>
      <c r="G355" s="85" t="str">
        <f>if(isblank(L355),"",vlookup(L355,Pacing!$A$1:$Z$213,17))</f>
        <v/>
      </c>
      <c r="H355" s="85" t="str">
        <f>if(isblank(M355),"",vlookup(M355,Pacing!$A$1:$Z$213,17))</f>
        <v/>
      </c>
      <c r="I355" s="86">
        <f t="shared" ref="I355:M355" si="374">I354</f>
        <v>58</v>
      </c>
      <c r="J355" s="86">
        <f t="shared" si="374"/>
        <v>59</v>
      </c>
      <c r="K355" s="86">
        <f t="shared" si="374"/>
        <v>60</v>
      </c>
      <c r="L355" s="86" t="str">
        <f t="shared" si="374"/>
        <v/>
      </c>
      <c r="M355" s="86" t="str">
        <f t="shared" si="374"/>
        <v/>
      </c>
    </row>
    <row r="356" ht="15.75" customHeight="1">
      <c r="A356" s="69"/>
      <c r="B356" s="69"/>
      <c r="C356" s="71"/>
      <c r="D356" s="81" t="str">
        <f>if(isblank(I356),"",vlookup(I356,Pacing!$A$1:$Z$213,18))</f>
        <v>Assess Plan</v>
      </c>
      <c r="E356" s="81" t="str">
        <f>if(isblank(J356),"",vlookup(J356,Pacing!$A$1:$Z$213,18))</f>
        <v>Assess Plan</v>
      </c>
      <c r="F356" s="208" t="str">
        <f>if(isblank(K356),"",vlookup(K356,Pacing!$A$1:$Z$213,18))</f>
        <v>Assess Plan</v>
      </c>
      <c r="G356" s="129" t="str">
        <f>if(isblank(L356),"",vlookup(L356,Pacing!$A$1:$Z$213,18))</f>
        <v/>
      </c>
      <c r="H356" s="129" t="str">
        <f>if(isblank(M356),"",vlookup(M356,Pacing!$A$1:$Z$213,18))</f>
        <v/>
      </c>
      <c r="I356" s="86">
        <f t="shared" ref="I356:M356" si="375">I355</f>
        <v>58</v>
      </c>
      <c r="J356" s="86">
        <f t="shared" si="375"/>
        <v>59</v>
      </c>
      <c r="K356" s="86">
        <f t="shared" si="375"/>
        <v>60</v>
      </c>
      <c r="L356" s="86" t="str">
        <f t="shared" si="375"/>
        <v/>
      </c>
      <c r="M356" s="86" t="str">
        <f t="shared" si="375"/>
        <v/>
      </c>
    </row>
    <row r="357" ht="15.75" customHeight="1">
      <c r="A357" s="69"/>
      <c r="B357" s="69"/>
      <c r="C357" s="71"/>
      <c r="D357" s="81" t="str">
        <f>if(isblank(I357),"",vlookup(I357,Pacing!$A$1:$Z$213,19))</f>
        <v>Perform Task</v>
      </c>
      <c r="E357" s="81" t="str">
        <f>if(isblank(J357),"",vlookup(J357,Pacing!$A$1:$Z$213,19))</f>
        <v>Perform Task</v>
      </c>
      <c r="F357" s="208" t="str">
        <f>if(isblank(K357),"",vlookup(K357,Pacing!$A$1:$Z$213,19))</f>
        <v>Perform Task</v>
      </c>
      <c r="G357" s="85" t="str">
        <f>if(isblank(L357),"",vlookup(L357,Pacing!$A$1:$Z$213,19))</f>
        <v/>
      </c>
      <c r="H357" s="85" t="str">
        <f>if(isblank(M357),"",vlookup(M357,Pacing!$A$1:$Z$213,19))</f>
        <v/>
      </c>
      <c r="I357" s="86">
        <f t="shared" ref="I357:M357" si="376">I356</f>
        <v>58</v>
      </c>
      <c r="J357" s="86">
        <f t="shared" si="376"/>
        <v>59</v>
      </c>
      <c r="K357" s="86">
        <f t="shared" si="376"/>
        <v>60</v>
      </c>
      <c r="L357" s="86" t="str">
        <f t="shared" si="376"/>
        <v/>
      </c>
      <c r="M357" s="86" t="str">
        <f t="shared" si="376"/>
        <v/>
      </c>
    </row>
    <row r="358" ht="15.75" customHeight="1">
      <c r="A358" s="69"/>
      <c r="B358" s="69"/>
      <c r="C358" s="71"/>
      <c r="D358" s="81" t="str">
        <f>if(isblank(I358),"",vlookup(I358,Pacing!$A$1:$Z$213,20))</f>
        <v>Quick Check</v>
      </c>
      <c r="E358" s="81" t="str">
        <f>if(isblank(J358),"",vlookup(J358,Pacing!$A$1:$Z$213,20))</f>
        <v>Quick Check</v>
      </c>
      <c r="F358" s="208" t="str">
        <f>if(isblank(K358),"",vlookup(K358,Pacing!$A$1:$Z$213,20))</f>
        <v>Quick Check</v>
      </c>
      <c r="G358" s="85" t="str">
        <f>if(isblank(L358),"",vlookup(L358,Pacing!$A$1:$Z$213,20))</f>
        <v/>
      </c>
      <c r="H358" s="85" t="str">
        <f>if(isblank(M358),"",vlookup(M358,Pacing!$A$1:$Z$213,20))</f>
        <v/>
      </c>
      <c r="I358" s="86">
        <f t="shared" ref="I358:M358" si="377">I357</f>
        <v>58</v>
      </c>
      <c r="J358" s="86">
        <f t="shared" si="377"/>
        <v>59</v>
      </c>
      <c r="K358" s="86">
        <f t="shared" si="377"/>
        <v>60</v>
      </c>
      <c r="L358" s="86" t="str">
        <f t="shared" si="377"/>
        <v/>
      </c>
      <c r="M358" s="86" t="str">
        <f t="shared" si="377"/>
        <v/>
      </c>
    </row>
    <row r="359" ht="15.75" customHeight="1">
      <c r="A359" s="69"/>
      <c r="B359" s="69"/>
      <c r="C359" s="71"/>
      <c r="D359" s="81" t="str">
        <f>if(isblank(I359),"",vlookup(I359,Pacing!$A$1:$Z$213,21))</f>
        <v>Exit Ticket</v>
      </c>
      <c r="E359" s="81" t="str">
        <f>if(isblank(J359),"",vlookup(J359,Pacing!$A$1:$Z$213,21))</f>
        <v>Exit Ticket</v>
      </c>
      <c r="F359" s="208" t="str">
        <f>if(isblank(K359),"",vlookup(K359,Pacing!$A$1:$Z$213,21))</f>
        <v>Exit Ticket</v>
      </c>
      <c r="G359" s="85" t="str">
        <f>if(isblank(L359),"",vlookup(L359,Pacing!$A$1:$Z$213,21))</f>
        <v/>
      </c>
      <c r="H359" s="85" t="str">
        <f>if(isblank(M359),"",vlookup(M359,Pacing!$A$1:$Z$213,21))</f>
        <v/>
      </c>
      <c r="I359" s="86">
        <f t="shared" ref="I359:M359" si="378">I358</f>
        <v>58</v>
      </c>
      <c r="J359" s="86">
        <f t="shared" si="378"/>
        <v>59</v>
      </c>
      <c r="K359" s="86">
        <f t="shared" si="378"/>
        <v>60</v>
      </c>
      <c r="L359" s="86" t="str">
        <f t="shared" si="378"/>
        <v/>
      </c>
      <c r="M359" s="86" t="str">
        <f t="shared" si="378"/>
        <v/>
      </c>
    </row>
    <row r="360" ht="15.75" customHeight="1">
      <c r="A360" s="69"/>
      <c r="B360" s="69"/>
      <c r="C360" s="71"/>
      <c r="D360" s="81" t="str">
        <f>if(isblank(I360),"",vlookup(I360,Pacing!$A$1:$Z$213,22))</f>
        <v>Practice 2</v>
      </c>
      <c r="E360" s="81" t="str">
        <f>if(isblank(J360),"",vlookup(J360,Pacing!$A$1:$Z$213,22))</f>
        <v>Practice 2</v>
      </c>
      <c r="F360" s="208" t="str">
        <f>if(isblank(K360),"",vlookup(K360,Pacing!$A$1:$Z$213,22))</f>
        <v>Practice 2</v>
      </c>
      <c r="G360" s="129" t="str">
        <f>if(isblank(L360),"",vlookup(L360,Pacing!$A$1:$Z$213,22))</f>
        <v/>
      </c>
      <c r="H360" s="129" t="str">
        <f>if(isblank(M360),"",vlookup(M360,Pacing!$A$1:$Z$213,22))</f>
        <v/>
      </c>
      <c r="I360" s="86">
        <f t="shared" ref="I360:M360" si="379">I359</f>
        <v>58</v>
      </c>
      <c r="J360" s="86">
        <f t="shared" si="379"/>
        <v>59</v>
      </c>
      <c r="K360" s="86">
        <f t="shared" si="379"/>
        <v>60</v>
      </c>
      <c r="L360" s="86" t="str">
        <f t="shared" si="379"/>
        <v/>
      </c>
      <c r="M360" s="86" t="str">
        <f t="shared" si="379"/>
        <v/>
      </c>
    </row>
    <row r="361" ht="15.75" customHeight="1">
      <c r="A361" s="69"/>
      <c r="B361" s="69"/>
      <c r="C361" s="71"/>
      <c r="D361" s="81" t="str">
        <f>if(isblank(I361),"",vlookup(I361,Pacing!$A$1:$Z$213,23))</f>
        <v>Practice 3</v>
      </c>
      <c r="E361" s="81" t="str">
        <f>if(isblank(J361),"",vlookup(J361,Pacing!$A$1:$Z$213,23))</f>
        <v>Practice 3</v>
      </c>
      <c r="F361" s="208" t="str">
        <f>if(isblank(K361),"",vlookup(K361,Pacing!$A$1:$Z$213,23))</f>
        <v>Practice 3</v>
      </c>
      <c r="G361" s="85" t="str">
        <f>if(isblank(L361),"",vlookup(L361,Pacing!$A$1:$Z$213,23))</f>
        <v/>
      </c>
      <c r="H361" s="85" t="str">
        <f>if(isblank(M361),"",vlookup(M361,Pacing!$A$1:$Z$213,23))</f>
        <v/>
      </c>
      <c r="I361" s="86">
        <f t="shared" ref="I361:M361" si="380">I360</f>
        <v>58</v>
      </c>
      <c r="J361" s="86">
        <f t="shared" si="380"/>
        <v>59</v>
      </c>
      <c r="K361" s="86">
        <f t="shared" si="380"/>
        <v>60</v>
      </c>
      <c r="L361" s="86" t="str">
        <f t="shared" si="380"/>
        <v/>
      </c>
      <c r="M361" s="86" t="str">
        <f t="shared" si="380"/>
        <v/>
      </c>
    </row>
    <row r="362" ht="15.75" customHeight="1">
      <c r="A362" s="69"/>
      <c r="B362" s="69"/>
      <c r="C362" s="71"/>
      <c r="D362" s="81" t="str">
        <f>if(isblank(I362),"",vlookup(I362,Pacing!$A$1:$Z$213,24))</f>
        <v>Sum Assess</v>
      </c>
      <c r="E362" s="81" t="str">
        <f>if(isblank(J362),"",vlookup(J362,Pacing!$A$1:$Z$213,24))</f>
        <v>Sum Assess</v>
      </c>
      <c r="F362" s="208" t="str">
        <f>if(isblank(K362),"",vlookup(K362,Pacing!$A$1:$Z$213,24))</f>
        <v>Sum Assess</v>
      </c>
      <c r="G362" s="85" t="str">
        <f>if(isblank(L362),"",vlookup(L362,Pacing!$A$1:$Z$213,24))</f>
        <v/>
      </c>
      <c r="H362" s="85" t="str">
        <f>if(isblank(M362),"",vlookup(M362,Pacing!$A$1:$Z$213,24))</f>
        <v/>
      </c>
      <c r="I362" s="86">
        <f t="shared" ref="I362:M362" si="381">I361</f>
        <v>58</v>
      </c>
      <c r="J362" s="86">
        <f t="shared" si="381"/>
        <v>59</v>
      </c>
      <c r="K362" s="86">
        <f t="shared" si="381"/>
        <v>60</v>
      </c>
      <c r="L362" s="86" t="str">
        <f t="shared" si="381"/>
        <v/>
      </c>
      <c r="M362" s="86" t="str">
        <f t="shared" si="381"/>
        <v/>
      </c>
    </row>
    <row r="363" ht="15.75" customHeight="1">
      <c r="A363" s="69"/>
      <c r="B363" s="69"/>
      <c r="C363" s="71"/>
      <c r="D363" s="81" t="str">
        <f>if(isblank(I363),"",vlookup(I363,Pacing!$A$1:$Z$213,25))</f>
        <v>Bank</v>
      </c>
      <c r="E363" s="81" t="str">
        <f>if(isblank(J363),"",vlookup(J363,Pacing!$A$1:$Z$213,25))</f>
        <v>Bank</v>
      </c>
      <c r="F363" s="208" t="str">
        <f>if(isblank(K363),"",vlookup(K363,Pacing!$A$1:$Z$213,25))</f>
        <v>Bank</v>
      </c>
      <c r="G363" s="85" t="str">
        <f>if(isblank(L363),"",vlookup(L363,Pacing!$A$1:$Z$213,25))</f>
        <v/>
      </c>
      <c r="H363" s="85" t="str">
        <f>if(isblank(M363),"",vlookup(M363,Pacing!$A$1:$Z$213,25))</f>
        <v/>
      </c>
      <c r="I363" s="86">
        <f t="shared" ref="I363:M363" si="382">I362</f>
        <v>58</v>
      </c>
      <c r="J363" s="86">
        <f t="shared" si="382"/>
        <v>59</v>
      </c>
      <c r="K363" s="86">
        <f t="shared" si="382"/>
        <v>60</v>
      </c>
      <c r="L363" s="86" t="str">
        <f t="shared" si="382"/>
        <v/>
      </c>
      <c r="M363" s="86" t="str">
        <f t="shared" si="382"/>
        <v/>
      </c>
    </row>
    <row r="364" ht="15.75" customHeight="1">
      <c r="A364" s="69"/>
      <c r="B364" s="69"/>
      <c r="C364" s="71"/>
      <c r="D364" s="91" t="str">
        <f>if(isblank(I364),"",vlookup(I364,Pacing!$A$1:$Z$213,26))</f>
        <v/>
      </c>
      <c r="E364" s="89" t="str">
        <f>if(isblank(J364),"",vlookup(J364,Pacing!$A$1:$Z$213,26))</f>
        <v/>
      </c>
      <c r="F364" s="212" t="str">
        <f>if(isblank(K364),"",vlookup(K364,Pacing!$A$1:$Z$213,26))</f>
        <v/>
      </c>
      <c r="G364" s="85" t="str">
        <f>if(isblank(L364),"",vlookup(L364,Pacing!$A$1:$Z$213,26))</f>
        <v/>
      </c>
      <c r="H364" s="85" t="str">
        <f>if(isblank(M364),"",vlookup(M364,Pacing!$A$1:$Z$213,26))</f>
        <v/>
      </c>
      <c r="I364" s="86">
        <f t="shared" ref="I364:M364" si="383">I363</f>
        <v>58</v>
      </c>
      <c r="J364" s="86">
        <f t="shared" si="383"/>
        <v>59</v>
      </c>
      <c r="K364" s="86">
        <f t="shared" si="383"/>
        <v>60</v>
      </c>
      <c r="L364" s="86" t="str">
        <f t="shared" si="383"/>
        <v/>
      </c>
      <c r="M364" s="86" t="str">
        <f t="shared" si="383"/>
        <v/>
      </c>
    </row>
    <row r="365" ht="15.75" customHeight="1">
      <c r="A365" s="137"/>
      <c r="B365" s="137"/>
      <c r="C365" s="138"/>
      <c r="D365" s="139">
        <f>F338+1</f>
        <v>61</v>
      </c>
      <c r="E365" s="139">
        <f t="shared" ref="E365:H365" si="384">D365+1</f>
        <v>62</v>
      </c>
      <c r="F365" s="139">
        <f t="shared" si="384"/>
        <v>63</v>
      </c>
      <c r="G365" s="139">
        <f t="shared" si="384"/>
        <v>64</v>
      </c>
      <c r="H365" s="139">
        <f t="shared" si="384"/>
        <v>65</v>
      </c>
      <c r="I365" s="55">
        <f t="shared" ref="I365:M365" si="385">D365</f>
        <v>61</v>
      </c>
      <c r="J365" s="55">
        <f t="shared" si="385"/>
        <v>62</v>
      </c>
      <c r="K365" s="55">
        <f t="shared" si="385"/>
        <v>63</v>
      </c>
      <c r="L365" s="55">
        <f t="shared" si="385"/>
        <v>64</v>
      </c>
      <c r="M365" s="55">
        <f t="shared" si="385"/>
        <v>65</v>
      </c>
    </row>
    <row r="366" ht="15.75" customHeight="1">
      <c r="A366" s="69">
        <f>B366+1</f>
        <v>141</v>
      </c>
      <c r="B366" s="69">
        <f t="shared" ref="B366:B373" si="387">$C$366*10</f>
        <v>140</v>
      </c>
      <c r="C366" s="71">
        <f>C339+1</f>
        <v>14</v>
      </c>
      <c r="D366" s="72">
        <f>D339+7</f>
        <v>46356</v>
      </c>
      <c r="E366" s="72">
        <f t="shared" ref="E366:H366" si="386">D366+1</f>
        <v>46357</v>
      </c>
      <c r="F366" s="72">
        <f t="shared" si="386"/>
        <v>46358</v>
      </c>
      <c r="G366" s="72">
        <f t="shared" si="386"/>
        <v>46359</v>
      </c>
      <c r="H366" s="72">
        <f t="shared" si="386"/>
        <v>46360</v>
      </c>
      <c r="I366" s="62" t="s">
        <v>42</v>
      </c>
    </row>
    <row r="367" ht="15.75" customHeight="1">
      <c r="A367" s="75">
        <f>B367+2</f>
        <v>142</v>
      </c>
      <c r="B367" s="75">
        <f t="shared" si="387"/>
        <v>140</v>
      </c>
      <c r="C367" s="76"/>
      <c r="D367" s="131" t="str">
        <f>if(isblank(I367),"",vlookup(I367,Pacing!$A$1:$Z$213,2))</f>
        <v>4.3: Work &amp; Energy</v>
      </c>
      <c r="E367" s="131" t="str">
        <f>if(isblank(J367),"",vlookup(J367,Pacing!$A$1:$Z$213,2))</f>
        <v>4.4: Conserve Energy</v>
      </c>
      <c r="F367" s="131" t="str">
        <f>if(isblank(K367),"",vlookup(K367,Pacing!$A$1:$Z$213,2))</f>
        <v>4.4: Conserve Energy</v>
      </c>
      <c r="G367" s="131" t="str">
        <f>if(isblank(L367),"",vlookup(L367,Pacing!$A$1:$Z$213,2))</f>
        <v>4.4: Conserve Energy</v>
      </c>
      <c r="H367" s="131" t="str">
        <f>if(isblank(M367),"",vlookup(M367,Pacing!$A$1:$Z$213,2))</f>
        <v>4.5: Energy &amp; Society</v>
      </c>
      <c r="I367" s="78">
        <f t="shared" ref="I367:M367" si="388">I365</f>
        <v>61</v>
      </c>
      <c r="J367" s="78">
        <f t="shared" si="388"/>
        <v>62</v>
      </c>
      <c r="K367" s="78">
        <f t="shared" si="388"/>
        <v>63</v>
      </c>
      <c r="L367" s="78">
        <f t="shared" si="388"/>
        <v>64</v>
      </c>
      <c r="M367" s="78">
        <f t="shared" si="388"/>
        <v>65</v>
      </c>
    </row>
    <row r="368" ht="15.75" customHeight="1">
      <c r="A368" s="69">
        <f>B368+3</f>
        <v>143</v>
      </c>
      <c r="B368" s="69">
        <f t="shared" si="387"/>
        <v>140</v>
      </c>
      <c r="C368" s="76"/>
      <c r="D368" s="81" t="str">
        <f>if(isblank(I368),"",vlookup(I368,Pacing!$A$1:$Z$213,3))</f>
        <v>Warm Up</v>
      </c>
      <c r="E368" s="81" t="str">
        <f>if(isblank(J368),"",vlookup(J368,Pacing!$A$1:$Z$213,3))</f>
        <v>Warm Up</v>
      </c>
      <c r="F368" s="81" t="str">
        <f>if(isblank(K368),"",vlookup(K368,Pacing!$A$1:$Z$213,3))</f>
        <v>Warm Up</v>
      </c>
      <c r="G368" s="81" t="str">
        <f>if(isblank(L368),"",vlookup(L368,Pacing!$A$1:$Z$213,3))</f>
        <v>Warm Up</v>
      </c>
      <c r="H368" s="81" t="str">
        <f>if(isblank(M368),"",vlookup(M368,Pacing!$A$1:$Z$213,3))</f>
        <v>Warm Up</v>
      </c>
      <c r="I368" s="86">
        <f t="shared" ref="I368:M368" si="389">I367</f>
        <v>61</v>
      </c>
      <c r="J368" s="86">
        <f t="shared" si="389"/>
        <v>62</v>
      </c>
      <c r="K368" s="86">
        <f t="shared" si="389"/>
        <v>63</v>
      </c>
      <c r="L368" s="86">
        <f t="shared" si="389"/>
        <v>64</v>
      </c>
      <c r="M368" s="86">
        <f t="shared" si="389"/>
        <v>65</v>
      </c>
    </row>
    <row r="369" ht="15.75" customHeight="1">
      <c r="A369" s="69">
        <f>B369+4</f>
        <v>144</v>
      </c>
      <c r="B369" s="69">
        <f t="shared" si="387"/>
        <v>140</v>
      </c>
      <c r="C369" s="76"/>
      <c r="D369" s="81" t="str">
        <f>if(isblank(I369),"",vlookup(I369,Pacing!$A$1:$Z$213,4))</f>
        <v>Demo</v>
      </c>
      <c r="E369" s="81" t="str">
        <f>if(isblank(J369),"",vlookup(J369,Pacing!$A$1:$Z$213,4))</f>
        <v>Demo</v>
      </c>
      <c r="F369" s="81" t="str">
        <f>if(isblank(K369),"",vlookup(K369,Pacing!$A$1:$Z$213,4))</f>
        <v>Demo</v>
      </c>
      <c r="G369" s="81" t="str">
        <f>if(isblank(L369),"",vlookup(L369,Pacing!$A$1:$Z$213,4))</f>
        <v>Demo</v>
      </c>
      <c r="H369" s="81" t="str">
        <f>if(isblank(M369),"",vlookup(M369,Pacing!$A$1:$Z$213,4))</f>
        <v>Demo</v>
      </c>
      <c r="I369" s="86">
        <f t="shared" ref="I369:M369" si="390">I368</f>
        <v>61</v>
      </c>
      <c r="J369" s="86">
        <f t="shared" si="390"/>
        <v>62</v>
      </c>
      <c r="K369" s="86">
        <f t="shared" si="390"/>
        <v>63</v>
      </c>
      <c r="L369" s="86">
        <f t="shared" si="390"/>
        <v>64</v>
      </c>
      <c r="M369" s="86">
        <f t="shared" si="390"/>
        <v>65</v>
      </c>
    </row>
    <row r="370" ht="15.75" customHeight="1">
      <c r="A370" s="69">
        <f>B370+5</f>
        <v>145</v>
      </c>
      <c r="B370" s="69">
        <f t="shared" si="387"/>
        <v>140</v>
      </c>
      <c r="C370" s="76"/>
      <c r="D370" s="81" t="str">
        <f>if(isblank(I370),"",vlookup(I370,Pacing!$A$1:$Z$213,5))</f>
        <v>Notes</v>
      </c>
      <c r="E370" s="81" t="str">
        <f>if(isblank(J370),"",vlookup(J370,Pacing!$A$1:$Z$213,5))</f>
        <v>Notes</v>
      </c>
      <c r="F370" s="81" t="str">
        <f>if(isblank(K370),"",vlookup(K370,Pacing!$A$1:$Z$213,5))</f>
        <v>Notes</v>
      </c>
      <c r="G370" s="81" t="str">
        <f>if(isblank(L370),"",vlookup(L370,Pacing!$A$1:$Z$213,5))</f>
        <v>Notes</v>
      </c>
      <c r="H370" s="81" t="str">
        <f>if(isblank(M370),"",vlookup(M370,Pacing!$A$1:$Z$213,5))</f>
        <v>Notes</v>
      </c>
      <c r="I370" s="86">
        <f t="shared" ref="I370:M370" si="391">I369</f>
        <v>61</v>
      </c>
      <c r="J370" s="86">
        <f t="shared" si="391"/>
        <v>62</v>
      </c>
      <c r="K370" s="86">
        <f t="shared" si="391"/>
        <v>63</v>
      </c>
      <c r="L370" s="86">
        <f t="shared" si="391"/>
        <v>64</v>
      </c>
      <c r="M370" s="86">
        <f t="shared" si="391"/>
        <v>65</v>
      </c>
    </row>
    <row r="371" ht="15.75" customHeight="1">
      <c r="A371" s="69">
        <f>B371+6</f>
        <v>146</v>
      </c>
      <c r="B371" s="69">
        <f t="shared" si="387"/>
        <v>140</v>
      </c>
      <c r="C371" s="76"/>
      <c r="D371" s="81" t="str">
        <f>if(isblank(I371),"",vlookup(I371,Pacing!$A$1:$Z$213,6))</f>
        <v>Investigation</v>
      </c>
      <c r="E371" s="81" t="str">
        <f>if(isblank(J371),"",vlookup(J371,Pacing!$A$1:$Z$213,6))</f>
        <v>Investigation</v>
      </c>
      <c r="F371" s="81" t="str">
        <f>if(isblank(K371),"",vlookup(K371,Pacing!$A$1:$Z$213,6))</f>
        <v>Investigation</v>
      </c>
      <c r="G371" s="81" t="str">
        <f>if(isblank(L371),"",vlookup(L371,Pacing!$A$1:$Z$213,6))</f>
        <v>Investigation</v>
      </c>
      <c r="H371" s="81" t="str">
        <f>if(isblank(M371),"",vlookup(M371,Pacing!$A$1:$Z$213,6))</f>
        <v>Investigation</v>
      </c>
      <c r="I371" s="86">
        <f t="shared" ref="I371:M371" si="392">I370</f>
        <v>61</v>
      </c>
      <c r="J371" s="86">
        <f t="shared" si="392"/>
        <v>62</v>
      </c>
      <c r="K371" s="86">
        <f t="shared" si="392"/>
        <v>63</v>
      </c>
      <c r="L371" s="86">
        <f t="shared" si="392"/>
        <v>64</v>
      </c>
      <c r="M371" s="86">
        <f t="shared" si="392"/>
        <v>65</v>
      </c>
    </row>
    <row r="372" ht="15.75" customHeight="1">
      <c r="A372" s="69">
        <f>B372+7</f>
        <v>147</v>
      </c>
      <c r="B372" s="69">
        <f t="shared" si="387"/>
        <v>140</v>
      </c>
      <c r="C372" s="76"/>
      <c r="D372" s="81" t="str">
        <f>if(isblank(I372),"",vlookup(I372,Pacing!$A$1:$Z$213,7))</f>
        <v>Activity</v>
      </c>
      <c r="E372" s="81" t="str">
        <f>if(isblank(J372),"",vlookup(J372,Pacing!$A$1:$Z$213,7))</f>
        <v>Activity</v>
      </c>
      <c r="F372" s="81" t="str">
        <f>if(isblank(K372),"",vlookup(K372,Pacing!$A$1:$Z$213,7))</f>
        <v>Activity</v>
      </c>
      <c r="G372" s="81" t="str">
        <f>if(isblank(L372),"",vlookup(L372,Pacing!$A$1:$Z$213,7))</f>
        <v>Activity</v>
      </c>
      <c r="H372" s="81" t="str">
        <f>if(isblank(M372),"",vlookup(M372,Pacing!$A$1:$Z$213,7))</f>
        <v>Activity</v>
      </c>
      <c r="I372" s="86">
        <f t="shared" ref="I372:M372" si="393">I371</f>
        <v>61</v>
      </c>
      <c r="J372" s="86">
        <f t="shared" si="393"/>
        <v>62</v>
      </c>
      <c r="K372" s="86">
        <f t="shared" si="393"/>
        <v>63</v>
      </c>
      <c r="L372" s="86">
        <f t="shared" si="393"/>
        <v>64</v>
      </c>
      <c r="M372" s="86">
        <f t="shared" si="393"/>
        <v>65</v>
      </c>
    </row>
    <row r="373" ht="15.75" customHeight="1">
      <c r="A373" s="69">
        <f>B373+8</f>
        <v>148</v>
      </c>
      <c r="B373" s="69">
        <f t="shared" si="387"/>
        <v>140</v>
      </c>
      <c r="C373" s="95"/>
      <c r="D373" s="81" t="str">
        <f>if(isblank(I373),"",vlookup(I373,Pacing!$A$1:$Z$213,8))</f>
        <v>Practice Set</v>
      </c>
      <c r="E373" s="81" t="str">
        <f>if(isblank(J373),"",vlookup(J373,Pacing!$A$1:$Z$213,8))</f>
        <v>Practice Set</v>
      </c>
      <c r="F373" s="81" t="str">
        <f>if(isblank(K373),"",vlookup(K373,Pacing!$A$1:$Z$213,8))</f>
        <v>Practice Set</v>
      </c>
      <c r="G373" s="81" t="str">
        <f>if(isblank(L373),"",vlookup(L373,Pacing!$A$1:$Z$213,8))</f>
        <v>Practice Set</v>
      </c>
      <c r="H373" s="81" t="str">
        <f>if(isblank(M373),"",vlookup(M373,Pacing!$A$1:$Z$213,8))</f>
        <v>Practice Set</v>
      </c>
      <c r="I373" s="86">
        <f t="shared" ref="I373:M373" si="394">I372</f>
        <v>61</v>
      </c>
      <c r="J373" s="86">
        <f t="shared" si="394"/>
        <v>62</v>
      </c>
      <c r="K373" s="86">
        <f t="shared" si="394"/>
        <v>63</v>
      </c>
      <c r="L373" s="86">
        <f t="shared" si="394"/>
        <v>64</v>
      </c>
      <c r="M373" s="86">
        <f t="shared" si="394"/>
        <v>65</v>
      </c>
    </row>
    <row r="374" ht="15.75" customHeight="1">
      <c r="A374" s="69"/>
      <c r="B374" s="69"/>
      <c r="C374" s="71"/>
      <c r="D374" s="81" t="str">
        <f>if(isblank(I374),"",vlookup(I374,Pacing!$A$1:$Z$213,9))</f>
        <v>Extra Practice</v>
      </c>
      <c r="E374" s="81" t="str">
        <f>if(isblank(J374),"",vlookup(J374,Pacing!$A$1:$Z$213,9))</f>
        <v>Extra Practice</v>
      </c>
      <c r="F374" s="81" t="str">
        <f>if(isblank(K374),"",vlookup(K374,Pacing!$A$1:$Z$213,9))</f>
        <v>Extra Practice</v>
      </c>
      <c r="G374" s="81" t="str">
        <f>if(isblank(L374),"",vlookup(L374,Pacing!$A$1:$Z$213,9))</f>
        <v>Extra Practice</v>
      </c>
      <c r="H374" s="81" t="str">
        <f>if(isblank(M374),"",vlookup(M374,Pacing!$A$1:$Z$213,9))</f>
        <v>Extra Practice</v>
      </c>
      <c r="I374" s="86">
        <f t="shared" ref="I374:M374" si="395">I373</f>
        <v>61</v>
      </c>
      <c r="J374" s="86">
        <f t="shared" si="395"/>
        <v>62</v>
      </c>
      <c r="K374" s="86">
        <f t="shared" si="395"/>
        <v>63</v>
      </c>
      <c r="L374" s="86">
        <f t="shared" si="395"/>
        <v>64</v>
      </c>
      <c r="M374" s="86">
        <f t="shared" si="395"/>
        <v>65</v>
      </c>
    </row>
    <row r="375" ht="15.75" customHeight="1">
      <c r="A375" s="69"/>
      <c r="B375" s="69"/>
      <c r="C375" s="71"/>
      <c r="D375" s="81" t="str">
        <f>if(isblank(I375),"",vlookup(I375,Pacing!$A$1:$Z$213,10))</f>
        <v>CYU</v>
      </c>
      <c r="E375" s="81" t="str">
        <f>if(isblank(J375),"",vlookup(J375,Pacing!$A$1:$Z$213,10))</f>
        <v>CYU</v>
      </c>
      <c r="F375" s="81" t="str">
        <f>if(isblank(K375),"",vlookup(K375,Pacing!$A$1:$Z$213,10))</f>
        <v>CYU</v>
      </c>
      <c r="G375" s="81" t="str">
        <f>if(isblank(L375),"",vlookup(L375,Pacing!$A$1:$Z$213,10))</f>
        <v>CYU</v>
      </c>
      <c r="H375" s="81" t="str">
        <f>if(isblank(M375),"",vlookup(M375,Pacing!$A$1:$Z$213,10))</f>
        <v>CYU</v>
      </c>
      <c r="I375" s="86">
        <f t="shared" ref="I375:M375" si="396">I374</f>
        <v>61</v>
      </c>
      <c r="J375" s="86">
        <f t="shared" si="396"/>
        <v>62</v>
      </c>
      <c r="K375" s="86">
        <f t="shared" si="396"/>
        <v>63</v>
      </c>
      <c r="L375" s="86">
        <f t="shared" si="396"/>
        <v>64</v>
      </c>
      <c r="M375" s="86">
        <f t="shared" si="396"/>
        <v>65</v>
      </c>
    </row>
    <row r="376" ht="15.75" customHeight="1">
      <c r="A376" s="69"/>
      <c r="B376" s="69"/>
      <c r="C376" s="71"/>
      <c r="D376" s="81" t="str">
        <f>if(isblank(I376),"",vlookup(I376,Pacing!$A$1:$Z$213,11))</f>
        <v>Progress</v>
      </c>
      <c r="E376" s="81" t="str">
        <f>if(isblank(J376),"",vlookup(J376,Pacing!$A$1:$Z$213,11))</f>
        <v>Progress</v>
      </c>
      <c r="F376" s="81" t="str">
        <f>if(isblank(K376),"",vlookup(K376,Pacing!$A$1:$Z$213,11))</f>
        <v>Progress</v>
      </c>
      <c r="G376" s="81" t="str">
        <f>if(isblank(L376),"",vlookup(L376,Pacing!$A$1:$Z$213,11))</f>
        <v>Progress</v>
      </c>
      <c r="H376" s="81" t="str">
        <f>if(isblank(M376),"",vlookup(M376,Pacing!$A$1:$Z$213,11))</f>
        <v>Progress</v>
      </c>
      <c r="I376" s="86">
        <f t="shared" ref="I376:M376" si="397">I375</f>
        <v>61</v>
      </c>
      <c r="J376" s="86">
        <f t="shared" si="397"/>
        <v>62</v>
      </c>
      <c r="K376" s="86">
        <f t="shared" si="397"/>
        <v>63</v>
      </c>
      <c r="L376" s="86">
        <f t="shared" si="397"/>
        <v>64</v>
      </c>
      <c r="M376" s="86">
        <f t="shared" si="397"/>
        <v>65</v>
      </c>
    </row>
    <row r="377" ht="15.75" customHeight="1">
      <c r="A377" s="69"/>
      <c r="B377" s="69"/>
      <c r="C377" s="71"/>
      <c r="D377" s="81" t="str">
        <f>if(isblank(I377),"",vlookup(I377,Pacing!$A$1:$Z$213,12))</f>
        <v>Review</v>
      </c>
      <c r="E377" s="81" t="str">
        <f>if(isblank(J377),"",vlookup(J377,Pacing!$A$1:$Z$213,12))</f>
        <v>Review</v>
      </c>
      <c r="F377" s="81" t="str">
        <f>if(isblank(K377),"",vlookup(K377,Pacing!$A$1:$Z$213,12))</f>
        <v>Review</v>
      </c>
      <c r="G377" s="81" t="str">
        <f>if(isblank(L377),"",vlookup(L377,Pacing!$A$1:$Z$213,12))</f>
        <v>Review</v>
      </c>
      <c r="H377" s="81" t="str">
        <f>if(isblank(M377),"",vlookup(M377,Pacing!$A$1:$Z$213,12))</f>
        <v>Review</v>
      </c>
      <c r="I377" s="86">
        <f t="shared" ref="I377:M377" si="398">I376</f>
        <v>61</v>
      </c>
      <c r="J377" s="86">
        <f t="shared" si="398"/>
        <v>62</v>
      </c>
      <c r="K377" s="86">
        <f t="shared" si="398"/>
        <v>63</v>
      </c>
      <c r="L377" s="86">
        <f t="shared" si="398"/>
        <v>64</v>
      </c>
      <c r="M377" s="86">
        <f t="shared" si="398"/>
        <v>65</v>
      </c>
    </row>
    <row r="378" ht="15.75" customHeight="1">
      <c r="A378" s="69"/>
      <c r="B378" s="69"/>
      <c r="C378" s="71"/>
      <c r="D378" s="91" t="str">
        <f>if(isblank(I378),"",vlookup(I378,Pacing!$A$1:$Z$213,13))</f>
        <v/>
      </c>
      <c r="E378" s="91" t="str">
        <f>if(isblank(J378),"",vlookup(J378,Pacing!$A$1:$Z$213,13))</f>
        <v/>
      </c>
      <c r="F378" s="91" t="str">
        <f>if(isblank(K378),"",vlookup(K378,Pacing!$A$1:$Z$213,13))</f>
        <v/>
      </c>
      <c r="G378" s="91" t="str">
        <f>if(isblank(L378),"",vlookup(L378,Pacing!$A$1:$Z$213,13))</f>
        <v/>
      </c>
      <c r="H378" s="91" t="str">
        <f>if(isblank(M378),"",vlookup(M378,Pacing!$A$1:$Z$213,13))</f>
        <v/>
      </c>
      <c r="I378" s="86">
        <f t="shared" ref="I378:M378" si="399">I377</f>
        <v>61</v>
      </c>
      <c r="J378" s="86">
        <f t="shared" si="399"/>
        <v>62</v>
      </c>
      <c r="K378" s="86">
        <f t="shared" si="399"/>
        <v>63</v>
      </c>
      <c r="L378" s="86">
        <f t="shared" si="399"/>
        <v>64</v>
      </c>
      <c r="M378" s="86">
        <f t="shared" si="399"/>
        <v>65</v>
      </c>
    </row>
    <row r="379" ht="15.75" customHeight="1">
      <c r="A379" s="69"/>
      <c r="B379" s="69"/>
      <c r="C379" s="71"/>
      <c r="D379" s="81" t="str">
        <f>if(isblank(I379),"",vlookup(I379,Pacing!$A$1:$Z$213,14))</f>
        <v>Notes Teacher</v>
      </c>
      <c r="E379" s="81" t="str">
        <f>if(isblank(J379),"",vlookup(J379,Pacing!$A$1:$Z$213,14))</f>
        <v>Notes Teacher</v>
      </c>
      <c r="F379" s="81" t="str">
        <f>if(isblank(K379),"",vlookup(K379,Pacing!$A$1:$Z$213,14))</f>
        <v>Notes Teacher</v>
      </c>
      <c r="G379" s="81" t="str">
        <f>if(isblank(L379),"",vlookup(L379,Pacing!$A$1:$Z$213,14))</f>
        <v>Notes Teacher</v>
      </c>
      <c r="H379" s="81" t="str">
        <f>if(isblank(M379),"",vlookup(M379,Pacing!$A$1:$Z$213,14))</f>
        <v>Notes Teacher</v>
      </c>
      <c r="I379" s="86">
        <f t="shared" ref="I379:M379" si="400">I378</f>
        <v>61</v>
      </c>
      <c r="J379" s="86">
        <f t="shared" si="400"/>
        <v>62</v>
      </c>
      <c r="K379" s="86">
        <f t="shared" si="400"/>
        <v>63</v>
      </c>
      <c r="L379" s="86">
        <f t="shared" si="400"/>
        <v>64</v>
      </c>
      <c r="M379" s="86">
        <f t="shared" si="400"/>
        <v>65</v>
      </c>
    </row>
    <row r="380" ht="15.75" customHeight="1">
      <c r="A380" s="69"/>
      <c r="B380" s="69"/>
      <c r="C380" s="71"/>
      <c r="D380" s="81" t="str">
        <f>if(isblank(I380),"",vlookup(I380,Pacing!$A$1:$Z$213,15))</f>
        <v>Demo Teacher</v>
      </c>
      <c r="E380" s="81" t="str">
        <f>if(isblank(J380),"",vlookup(J380,Pacing!$A$1:$Z$213,15))</f>
        <v>Demo Teacher</v>
      </c>
      <c r="F380" s="81" t="str">
        <f>if(isblank(K380),"",vlookup(K380,Pacing!$A$1:$Z$213,15))</f>
        <v>Demo Teacher</v>
      </c>
      <c r="G380" s="81" t="str">
        <f>if(isblank(L380),"",vlookup(L380,Pacing!$A$1:$Z$213,15))</f>
        <v>Demo Teacher</v>
      </c>
      <c r="H380" s="81" t="str">
        <f>if(isblank(M380),"",vlookup(M380,Pacing!$A$1:$Z$213,15))</f>
        <v>Demo Teacher</v>
      </c>
      <c r="I380" s="86">
        <f t="shared" ref="I380:M380" si="401">I379</f>
        <v>61</v>
      </c>
      <c r="J380" s="86">
        <f t="shared" si="401"/>
        <v>62</v>
      </c>
      <c r="K380" s="86">
        <f t="shared" si="401"/>
        <v>63</v>
      </c>
      <c r="L380" s="86">
        <f t="shared" si="401"/>
        <v>64</v>
      </c>
      <c r="M380" s="86">
        <f t="shared" si="401"/>
        <v>65</v>
      </c>
    </row>
    <row r="381" ht="15.75" customHeight="1">
      <c r="A381" s="69"/>
      <c r="B381" s="69"/>
      <c r="C381" s="71"/>
      <c r="D381" s="81" t="str">
        <f>if(isblank(I381),"",vlookup(I381,Pacing!$A$1:$Z$213,16))</f>
        <v>Invest Teacher</v>
      </c>
      <c r="E381" s="81" t="str">
        <f>if(isblank(J381),"",vlookup(J381,Pacing!$A$1:$Z$213,16))</f>
        <v>Invest Teacher</v>
      </c>
      <c r="F381" s="81" t="str">
        <f>if(isblank(K381),"",vlookup(K381,Pacing!$A$1:$Z$213,16))</f>
        <v>Invest Teacher</v>
      </c>
      <c r="G381" s="81" t="str">
        <f>if(isblank(L381),"",vlookup(L381,Pacing!$A$1:$Z$213,16))</f>
        <v>Invest Teacher</v>
      </c>
      <c r="H381" s="81" t="str">
        <f>if(isblank(M381),"",vlookup(M381,Pacing!$A$1:$Z$213,16))</f>
        <v>Invest Teacher</v>
      </c>
      <c r="I381" s="86">
        <f t="shared" ref="I381:M381" si="402">I380</f>
        <v>61</v>
      </c>
      <c r="J381" s="86">
        <f t="shared" si="402"/>
        <v>62</v>
      </c>
      <c r="K381" s="86">
        <f t="shared" si="402"/>
        <v>63</v>
      </c>
      <c r="L381" s="86">
        <f t="shared" si="402"/>
        <v>64</v>
      </c>
      <c r="M381" s="86">
        <f t="shared" si="402"/>
        <v>65</v>
      </c>
    </row>
    <row r="382" ht="15.75" customHeight="1">
      <c r="A382" s="69"/>
      <c r="B382" s="69"/>
      <c r="C382" s="71"/>
      <c r="D382" s="81" t="str">
        <f>if(isblank(I382),"",vlookup(I382,Pacing!$A$1:$Z$213,17))</f>
        <v>PT Teacher</v>
      </c>
      <c r="E382" s="81" t="str">
        <f>if(isblank(J382),"",vlookup(J382,Pacing!$A$1:$Z$213,17))</f>
        <v>PT Teacher</v>
      </c>
      <c r="F382" s="81" t="str">
        <f>if(isblank(K382),"",vlookup(K382,Pacing!$A$1:$Z$213,17))</f>
        <v>PT Teacher</v>
      </c>
      <c r="G382" s="81" t="str">
        <f>if(isblank(L382),"",vlookup(L382,Pacing!$A$1:$Z$213,17))</f>
        <v>PT Teacher</v>
      </c>
      <c r="H382" s="81" t="str">
        <f>if(isblank(M382),"",vlookup(M382,Pacing!$A$1:$Z$213,17))</f>
        <v>PT Teacher</v>
      </c>
      <c r="I382" s="86">
        <f t="shared" ref="I382:M382" si="403">I381</f>
        <v>61</v>
      </c>
      <c r="J382" s="86">
        <f t="shared" si="403"/>
        <v>62</v>
      </c>
      <c r="K382" s="86">
        <f t="shared" si="403"/>
        <v>63</v>
      </c>
      <c r="L382" s="86">
        <f t="shared" si="403"/>
        <v>64</v>
      </c>
      <c r="M382" s="86">
        <f t="shared" si="403"/>
        <v>65</v>
      </c>
    </row>
    <row r="383" ht="15.75" customHeight="1">
      <c r="A383" s="69"/>
      <c r="B383" s="69"/>
      <c r="C383" s="71"/>
      <c r="D383" s="81" t="str">
        <f>if(isblank(I383),"",vlookup(I383,Pacing!$A$1:$Z$213,18))</f>
        <v>Assess Plan</v>
      </c>
      <c r="E383" s="81" t="str">
        <f>if(isblank(J383),"",vlookup(J383,Pacing!$A$1:$Z$213,18))</f>
        <v>Assess Plan</v>
      </c>
      <c r="F383" s="81" t="str">
        <f>if(isblank(K383),"",vlookup(K383,Pacing!$A$1:$Z$213,18))</f>
        <v>Assess Plan</v>
      </c>
      <c r="G383" s="81" t="str">
        <f>if(isblank(L383),"",vlookup(L383,Pacing!$A$1:$Z$213,18))</f>
        <v>Assess Plan</v>
      </c>
      <c r="H383" s="81" t="str">
        <f>if(isblank(M383),"",vlookup(M383,Pacing!$A$1:$Z$213,18))</f>
        <v>Assess Plan</v>
      </c>
      <c r="I383" s="86">
        <f t="shared" ref="I383:M383" si="404">I382</f>
        <v>61</v>
      </c>
      <c r="J383" s="86">
        <f t="shared" si="404"/>
        <v>62</v>
      </c>
      <c r="K383" s="86">
        <f t="shared" si="404"/>
        <v>63</v>
      </c>
      <c r="L383" s="86">
        <f t="shared" si="404"/>
        <v>64</v>
      </c>
      <c r="M383" s="86">
        <f t="shared" si="404"/>
        <v>65</v>
      </c>
    </row>
    <row r="384" ht="15.75" customHeight="1">
      <c r="A384" s="69"/>
      <c r="B384" s="69"/>
      <c r="C384" s="71"/>
      <c r="D384" s="81" t="str">
        <f>if(isblank(I384),"",vlookup(I384,Pacing!$A$1:$Z$213,19))</f>
        <v>Perform Task</v>
      </c>
      <c r="E384" s="81" t="str">
        <f>if(isblank(J384),"",vlookup(J384,Pacing!$A$1:$Z$213,19))</f>
        <v>Perform Task</v>
      </c>
      <c r="F384" s="81" t="str">
        <f>if(isblank(K384),"",vlookup(K384,Pacing!$A$1:$Z$213,19))</f>
        <v>Perform Task</v>
      </c>
      <c r="G384" s="81" t="str">
        <f>if(isblank(L384),"",vlookup(L384,Pacing!$A$1:$Z$213,19))</f>
        <v>Perform Task</v>
      </c>
      <c r="H384" s="81" t="str">
        <f>if(isblank(M384),"",vlookup(M384,Pacing!$A$1:$Z$213,19))</f>
        <v>Perform Task</v>
      </c>
      <c r="I384" s="86">
        <f t="shared" ref="I384:M384" si="405">I383</f>
        <v>61</v>
      </c>
      <c r="J384" s="86">
        <f t="shared" si="405"/>
        <v>62</v>
      </c>
      <c r="K384" s="86">
        <f t="shared" si="405"/>
        <v>63</v>
      </c>
      <c r="L384" s="86">
        <f t="shared" si="405"/>
        <v>64</v>
      </c>
      <c r="M384" s="86">
        <f t="shared" si="405"/>
        <v>65</v>
      </c>
    </row>
    <row r="385" ht="15.75" customHeight="1">
      <c r="A385" s="69"/>
      <c r="B385" s="69"/>
      <c r="C385" s="71"/>
      <c r="D385" s="81" t="str">
        <f>if(isblank(I385),"",vlookup(I385,Pacing!$A$1:$Z$213,20))</f>
        <v>Quick Check</v>
      </c>
      <c r="E385" s="81" t="str">
        <f>if(isblank(J385),"",vlookup(J385,Pacing!$A$1:$Z$213,20))</f>
        <v>Quick Check</v>
      </c>
      <c r="F385" s="81" t="str">
        <f>if(isblank(K385),"",vlookup(K385,Pacing!$A$1:$Z$213,20))</f>
        <v>Quick Check</v>
      </c>
      <c r="G385" s="81" t="str">
        <f>if(isblank(L385),"",vlookup(L385,Pacing!$A$1:$Z$213,20))</f>
        <v>Quick Check</v>
      </c>
      <c r="H385" s="81" t="str">
        <f>if(isblank(M385),"",vlookup(M385,Pacing!$A$1:$Z$213,20))</f>
        <v>Quick Check</v>
      </c>
      <c r="I385" s="86">
        <f t="shared" ref="I385:M385" si="406">I384</f>
        <v>61</v>
      </c>
      <c r="J385" s="86">
        <f t="shared" si="406"/>
        <v>62</v>
      </c>
      <c r="K385" s="86">
        <f t="shared" si="406"/>
        <v>63</v>
      </c>
      <c r="L385" s="86">
        <f t="shared" si="406"/>
        <v>64</v>
      </c>
      <c r="M385" s="86">
        <f t="shared" si="406"/>
        <v>65</v>
      </c>
    </row>
    <row r="386" ht="15.75" customHeight="1">
      <c r="A386" s="69"/>
      <c r="B386" s="69"/>
      <c r="C386" s="71"/>
      <c r="D386" s="81" t="str">
        <f>if(isblank(I386),"",vlookup(I386,Pacing!$A$1:$Z$213,21))</f>
        <v>Exit Ticket</v>
      </c>
      <c r="E386" s="81" t="str">
        <f>if(isblank(J386),"",vlookup(J386,Pacing!$A$1:$Z$213,21))</f>
        <v>Exit Ticket</v>
      </c>
      <c r="F386" s="81" t="str">
        <f>if(isblank(K386),"",vlookup(K386,Pacing!$A$1:$Z$213,21))</f>
        <v>Exit Ticket</v>
      </c>
      <c r="G386" s="81" t="str">
        <f>if(isblank(L386),"",vlookup(L386,Pacing!$A$1:$Z$213,21))</f>
        <v>Exit Ticket</v>
      </c>
      <c r="H386" s="81" t="str">
        <f>if(isblank(M386),"",vlookup(M386,Pacing!$A$1:$Z$213,21))</f>
        <v>Exit Ticket</v>
      </c>
      <c r="I386" s="86">
        <f t="shared" ref="I386:M386" si="407">I385</f>
        <v>61</v>
      </c>
      <c r="J386" s="86">
        <f t="shared" si="407"/>
        <v>62</v>
      </c>
      <c r="K386" s="86">
        <f t="shared" si="407"/>
        <v>63</v>
      </c>
      <c r="L386" s="86">
        <f t="shared" si="407"/>
        <v>64</v>
      </c>
      <c r="M386" s="86">
        <f t="shared" si="407"/>
        <v>65</v>
      </c>
    </row>
    <row r="387" ht="15.75" customHeight="1">
      <c r="A387" s="69"/>
      <c r="B387" s="69"/>
      <c r="C387" s="71"/>
      <c r="D387" s="81" t="str">
        <f>if(isblank(I387),"",vlookup(I387,Pacing!$A$1:$Z$213,22))</f>
        <v>Practice 2</v>
      </c>
      <c r="E387" s="81" t="str">
        <f>if(isblank(J387),"",vlookup(J387,Pacing!$A$1:$Z$213,22))</f>
        <v>Practice 2</v>
      </c>
      <c r="F387" s="81" t="str">
        <f>if(isblank(K387),"",vlookup(K387,Pacing!$A$1:$Z$213,22))</f>
        <v>Practice 2</v>
      </c>
      <c r="G387" s="81" t="str">
        <f>if(isblank(L387),"",vlookup(L387,Pacing!$A$1:$Z$213,22))</f>
        <v>Practice 2</v>
      </c>
      <c r="H387" s="81" t="str">
        <f>if(isblank(M387),"",vlookup(M387,Pacing!$A$1:$Z$213,22))</f>
        <v>Practice 2</v>
      </c>
      <c r="I387" s="86">
        <f t="shared" ref="I387:M387" si="408">I386</f>
        <v>61</v>
      </c>
      <c r="J387" s="86">
        <f t="shared" si="408"/>
        <v>62</v>
      </c>
      <c r="K387" s="86">
        <f t="shared" si="408"/>
        <v>63</v>
      </c>
      <c r="L387" s="86">
        <f t="shared" si="408"/>
        <v>64</v>
      </c>
      <c r="M387" s="86">
        <f t="shared" si="408"/>
        <v>65</v>
      </c>
    </row>
    <row r="388" ht="15.75" customHeight="1">
      <c r="A388" s="69"/>
      <c r="B388" s="69"/>
      <c r="C388" s="71"/>
      <c r="D388" s="81" t="str">
        <f>if(isblank(I388),"",vlookup(I388,Pacing!$A$1:$Z$213,23))</f>
        <v>Practice 3</v>
      </c>
      <c r="E388" s="81" t="str">
        <f>if(isblank(J388),"",vlookup(J388,Pacing!$A$1:$Z$213,23))</f>
        <v>Practice 3</v>
      </c>
      <c r="F388" s="81" t="str">
        <f>if(isblank(K388),"",vlookup(K388,Pacing!$A$1:$Z$213,23))</f>
        <v>Practice 3</v>
      </c>
      <c r="G388" s="81" t="str">
        <f>if(isblank(L388),"",vlookup(L388,Pacing!$A$1:$Z$213,23))</f>
        <v>Practice 3</v>
      </c>
      <c r="H388" s="81" t="str">
        <f>if(isblank(M388),"",vlookup(M388,Pacing!$A$1:$Z$213,23))</f>
        <v>Practice 3</v>
      </c>
      <c r="I388" s="86">
        <f t="shared" ref="I388:M388" si="409">I387</f>
        <v>61</v>
      </c>
      <c r="J388" s="86">
        <f t="shared" si="409"/>
        <v>62</v>
      </c>
      <c r="K388" s="86">
        <f t="shared" si="409"/>
        <v>63</v>
      </c>
      <c r="L388" s="86">
        <f t="shared" si="409"/>
        <v>64</v>
      </c>
      <c r="M388" s="86">
        <f t="shared" si="409"/>
        <v>65</v>
      </c>
    </row>
    <row r="389" ht="15.75" customHeight="1">
      <c r="A389" s="69"/>
      <c r="B389" s="69"/>
      <c r="C389" s="71"/>
      <c r="D389" s="81" t="str">
        <f>if(isblank(I389),"",vlookup(I389,Pacing!$A$1:$Z$213,24))</f>
        <v>Sum Assess</v>
      </c>
      <c r="E389" s="81" t="str">
        <f>if(isblank(J389),"",vlookup(J389,Pacing!$A$1:$Z$213,24))</f>
        <v>Sum Assess</v>
      </c>
      <c r="F389" s="81" t="str">
        <f>if(isblank(K389),"",vlookup(K389,Pacing!$A$1:$Z$213,24))</f>
        <v>Sum Assess</v>
      </c>
      <c r="G389" s="81" t="str">
        <f>if(isblank(L389),"",vlookup(L389,Pacing!$A$1:$Z$213,24))</f>
        <v>Sum Assess</v>
      </c>
      <c r="H389" s="81" t="str">
        <f>if(isblank(M389),"",vlookup(M389,Pacing!$A$1:$Z$213,24))</f>
        <v>Sum Assess</v>
      </c>
      <c r="I389" s="86">
        <f t="shared" ref="I389:M389" si="410">I388</f>
        <v>61</v>
      </c>
      <c r="J389" s="86">
        <f t="shared" si="410"/>
        <v>62</v>
      </c>
      <c r="K389" s="86">
        <f t="shared" si="410"/>
        <v>63</v>
      </c>
      <c r="L389" s="86">
        <f t="shared" si="410"/>
        <v>64</v>
      </c>
      <c r="M389" s="86">
        <f t="shared" si="410"/>
        <v>65</v>
      </c>
    </row>
    <row r="390" ht="15.75" customHeight="1">
      <c r="A390" s="69"/>
      <c r="B390" s="69"/>
      <c r="C390" s="71"/>
      <c r="D390" s="81" t="str">
        <f>if(isblank(I390),"",vlookup(I390,Pacing!$A$1:$Z$213,25))</f>
        <v>Bank</v>
      </c>
      <c r="E390" s="81" t="str">
        <f>if(isblank(J390),"",vlookup(J390,Pacing!$A$1:$Z$213,25))</f>
        <v>Bank</v>
      </c>
      <c r="F390" s="81" t="str">
        <f>if(isblank(K390),"",vlookup(K390,Pacing!$A$1:$Z$213,25))</f>
        <v>Bank</v>
      </c>
      <c r="G390" s="81" t="str">
        <f>if(isblank(L390),"",vlookup(L390,Pacing!$A$1:$Z$213,25))</f>
        <v>Bank</v>
      </c>
      <c r="H390" s="81" t="str">
        <f>if(isblank(M390),"",vlookup(M390,Pacing!$A$1:$Z$213,25))</f>
        <v>Bank</v>
      </c>
      <c r="I390" s="86">
        <f t="shared" ref="I390:M390" si="411">I389</f>
        <v>61</v>
      </c>
      <c r="J390" s="86">
        <f t="shared" si="411"/>
        <v>62</v>
      </c>
      <c r="K390" s="86">
        <f t="shared" si="411"/>
        <v>63</v>
      </c>
      <c r="L390" s="86">
        <f t="shared" si="411"/>
        <v>64</v>
      </c>
      <c r="M390" s="86">
        <f t="shared" si="411"/>
        <v>65</v>
      </c>
    </row>
    <row r="391" ht="15.75" customHeight="1">
      <c r="A391" s="69"/>
      <c r="B391" s="69"/>
      <c r="C391" s="71"/>
      <c r="D391" s="91" t="str">
        <f>if(isblank(I391),"",vlookup(I391,Pacing!$A$1:$Z$213,26))</f>
        <v/>
      </c>
      <c r="E391" s="89" t="str">
        <f>if(isblank(J391),"",vlookup(J391,Pacing!$A$1:$Z$213,26))</f>
        <v/>
      </c>
      <c r="F391" s="89" t="str">
        <f>if(isblank(K391),"",vlookup(K391,Pacing!$A$1:$Z$213,26))</f>
        <v/>
      </c>
      <c r="G391" s="89" t="str">
        <f>if(isblank(L391),"",vlookup(L391,Pacing!$A$1:$Z$213,26))</f>
        <v/>
      </c>
      <c r="H391" s="89" t="str">
        <f>if(isblank(M391),"",vlookup(M391,Pacing!$A$1:$Z$213,26))</f>
        <v/>
      </c>
      <c r="I391" s="86">
        <f t="shared" ref="I391:M391" si="412">I390</f>
        <v>61</v>
      </c>
      <c r="J391" s="86">
        <f t="shared" si="412"/>
        <v>62</v>
      </c>
      <c r="K391" s="86">
        <f t="shared" si="412"/>
        <v>63</v>
      </c>
      <c r="L391" s="86">
        <f t="shared" si="412"/>
        <v>64</v>
      </c>
      <c r="M391" s="86">
        <f t="shared" si="412"/>
        <v>65</v>
      </c>
    </row>
    <row r="392" ht="15.75" customHeight="1">
      <c r="A392" s="137"/>
      <c r="B392" s="137"/>
      <c r="C392" s="138"/>
      <c r="D392" s="139">
        <f>H365+1</f>
        <v>66</v>
      </c>
      <c r="E392" s="139">
        <f t="shared" ref="E392:H392" si="413">D392+1</f>
        <v>67</v>
      </c>
      <c r="F392" s="139">
        <f t="shared" si="413"/>
        <v>68</v>
      </c>
      <c r="G392" s="139">
        <f t="shared" si="413"/>
        <v>69</v>
      </c>
      <c r="H392" s="139">
        <f t="shared" si="413"/>
        <v>70</v>
      </c>
      <c r="I392" s="55">
        <f t="shared" ref="I392:M392" si="414">D392</f>
        <v>66</v>
      </c>
      <c r="J392" s="55">
        <f t="shared" si="414"/>
        <v>67</v>
      </c>
      <c r="K392" s="55">
        <f t="shared" si="414"/>
        <v>68</v>
      </c>
      <c r="L392" s="55">
        <f t="shared" si="414"/>
        <v>69</v>
      </c>
      <c r="M392" s="55">
        <f t="shared" si="414"/>
        <v>70</v>
      </c>
    </row>
    <row r="393" ht="15.75" customHeight="1">
      <c r="A393" s="69">
        <f>B393+1</f>
        <v>151</v>
      </c>
      <c r="B393" s="69">
        <f t="shared" ref="B393:B400" si="416">$C$393*10</f>
        <v>150</v>
      </c>
      <c r="C393" s="71">
        <f>C366+1</f>
        <v>15</v>
      </c>
      <c r="D393" s="72">
        <f>D366+7</f>
        <v>46363</v>
      </c>
      <c r="E393" s="72">
        <f t="shared" ref="E393:H393" si="415">D393+1</f>
        <v>46364</v>
      </c>
      <c r="F393" s="72">
        <f t="shared" si="415"/>
        <v>46365</v>
      </c>
      <c r="G393" s="72">
        <f t="shared" si="415"/>
        <v>46366</v>
      </c>
      <c r="H393" s="72">
        <f t="shared" si="415"/>
        <v>46367</v>
      </c>
      <c r="I393" s="62" t="s">
        <v>42</v>
      </c>
    </row>
    <row r="394" ht="15.75" customHeight="1">
      <c r="A394" s="75">
        <f>B394+2</f>
        <v>152</v>
      </c>
      <c r="B394" s="75">
        <f t="shared" si="416"/>
        <v>150</v>
      </c>
      <c r="C394" s="76"/>
      <c r="D394" s="131" t="str">
        <f>if(isblank(I394),"",vlookup(I394,Pacing!$A$1:$Z$213,2))</f>
        <v>4.5: Energy &amp; Society</v>
      </c>
      <c r="E394" s="131" t="str">
        <f>if(isblank(J394),"",vlookup(J394,Pacing!$A$1:$Z$213,2))</f>
        <v>4.5: Energy &amp; Society</v>
      </c>
      <c r="F394" s="131" t="str">
        <f>if(isblank(K394),"",vlookup(K394,Pacing!$A$1:$Z$213,2))</f>
        <v>Unit 4 Sum Assess</v>
      </c>
      <c r="G394" s="131" t="str">
        <f>if(isblank(L394),"",vlookup(L394,Pacing!$A$1:$Z$213,2))</f>
        <v>5.1: Waves &amp; Vibr</v>
      </c>
      <c r="H394" s="131" t="str">
        <f>if(isblank(M394),"",vlookup(M394,Pacing!$A$1:$Z$213,2))</f>
        <v>5.1: Waves &amp; Vibr</v>
      </c>
      <c r="I394" s="78">
        <f t="shared" ref="I394:M394" si="417">I392</f>
        <v>66</v>
      </c>
      <c r="J394" s="78">
        <f t="shared" si="417"/>
        <v>67</v>
      </c>
      <c r="K394" s="78">
        <f t="shared" si="417"/>
        <v>68</v>
      </c>
      <c r="L394" s="78">
        <f t="shared" si="417"/>
        <v>69</v>
      </c>
      <c r="M394" s="78">
        <f t="shared" si="417"/>
        <v>70</v>
      </c>
    </row>
    <row r="395" ht="15.75" customHeight="1">
      <c r="A395" s="69">
        <f>B395+3</f>
        <v>153</v>
      </c>
      <c r="B395" s="69">
        <f t="shared" si="416"/>
        <v>150</v>
      </c>
      <c r="C395" s="76"/>
      <c r="D395" s="81" t="str">
        <f>if(isblank(I395),"",vlookup(I395,Pacing!$A$1:$Z$213,3))</f>
        <v>Warm Up</v>
      </c>
      <c r="E395" s="81" t="str">
        <f>if(isblank(J395),"",vlookup(J395,Pacing!$A$1:$Z$213,3))</f>
        <v>Warm Up</v>
      </c>
      <c r="F395" s="89" t="str">
        <f>if(isblank(K395),"",vlookup(K395,Pacing!$A$1:$Z$213,3))</f>
        <v/>
      </c>
      <c r="G395" s="81" t="str">
        <f>if(isblank(L395),"",vlookup(L395,Pacing!$A$1:$Z$213,3))</f>
        <v>Warm Up</v>
      </c>
      <c r="H395" s="81" t="str">
        <f>if(isblank(M395),"",vlookup(M395,Pacing!$A$1:$Z$213,3))</f>
        <v>Warm Up</v>
      </c>
      <c r="I395" s="86">
        <f t="shared" ref="I395:M395" si="418">I394</f>
        <v>66</v>
      </c>
      <c r="J395" s="86">
        <f t="shared" si="418"/>
        <v>67</v>
      </c>
      <c r="K395" s="86">
        <f t="shared" si="418"/>
        <v>68</v>
      </c>
      <c r="L395" s="86">
        <f t="shared" si="418"/>
        <v>69</v>
      </c>
      <c r="M395" s="86">
        <f t="shared" si="418"/>
        <v>70</v>
      </c>
    </row>
    <row r="396" ht="15.75" customHeight="1">
      <c r="A396" s="69">
        <f>B396+4</f>
        <v>154</v>
      </c>
      <c r="B396" s="69">
        <f t="shared" si="416"/>
        <v>150</v>
      </c>
      <c r="C396" s="76"/>
      <c r="D396" s="81" t="str">
        <f>if(isblank(I396),"",vlookup(I396,Pacing!$A$1:$Z$213,4))</f>
        <v>Demo</v>
      </c>
      <c r="E396" s="81" t="str">
        <f>if(isblank(J396),"",vlookup(J396,Pacing!$A$1:$Z$213,4))</f>
        <v>Demo</v>
      </c>
      <c r="F396" s="89" t="str">
        <f>if(isblank(K396),"",vlookup(K396,Pacing!$A$1:$Z$213,4))</f>
        <v/>
      </c>
      <c r="G396" s="81" t="str">
        <f>if(isblank(L396),"",vlookup(L396,Pacing!$A$1:$Z$213,4))</f>
        <v>Demo</v>
      </c>
      <c r="H396" s="81" t="str">
        <f>if(isblank(M396),"",vlookup(M396,Pacing!$A$1:$Z$213,4))</f>
        <v>Demo</v>
      </c>
      <c r="I396" s="86">
        <f t="shared" ref="I396:M396" si="419">I395</f>
        <v>66</v>
      </c>
      <c r="J396" s="86">
        <f t="shared" si="419"/>
        <v>67</v>
      </c>
      <c r="K396" s="86">
        <f t="shared" si="419"/>
        <v>68</v>
      </c>
      <c r="L396" s="86">
        <f t="shared" si="419"/>
        <v>69</v>
      </c>
      <c r="M396" s="86">
        <f t="shared" si="419"/>
        <v>70</v>
      </c>
    </row>
    <row r="397" ht="15.75" customHeight="1">
      <c r="A397" s="69">
        <f>B397+5</f>
        <v>155</v>
      </c>
      <c r="B397" s="69">
        <f t="shared" si="416"/>
        <v>150</v>
      </c>
      <c r="C397" s="76"/>
      <c r="D397" s="81" t="str">
        <f>if(isblank(I397),"",vlookup(I397,Pacing!$A$1:$Z$213,5))</f>
        <v>Notes</v>
      </c>
      <c r="E397" s="81" t="str">
        <f>if(isblank(J397),"",vlookup(J397,Pacing!$A$1:$Z$213,5))</f>
        <v>Notes</v>
      </c>
      <c r="F397" s="89" t="str">
        <f>if(isblank(K397),"",vlookup(K397,Pacing!$A$1:$Z$213,5))</f>
        <v/>
      </c>
      <c r="G397" s="81" t="str">
        <f>if(isblank(L397),"",vlookup(L397,Pacing!$A$1:$Z$213,5))</f>
        <v>Notes</v>
      </c>
      <c r="H397" s="81" t="str">
        <f>if(isblank(M397),"",vlookup(M397,Pacing!$A$1:$Z$213,5))</f>
        <v>Notes</v>
      </c>
      <c r="I397" s="86">
        <f t="shared" ref="I397:M397" si="420">I396</f>
        <v>66</v>
      </c>
      <c r="J397" s="86">
        <f t="shared" si="420"/>
        <v>67</v>
      </c>
      <c r="K397" s="86">
        <f t="shared" si="420"/>
        <v>68</v>
      </c>
      <c r="L397" s="86">
        <f t="shared" si="420"/>
        <v>69</v>
      </c>
      <c r="M397" s="86">
        <f t="shared" si="420"/>
        <v>70</v>
      </c>
    </row>
    <row r="398" ht="15.75" customHeight="1">
      <c r="A398" s="69">
        <f>B398+6</f>
        <v>156</v>
      </c>
      <c r="B398" s="69">
        <f t="shared" si="416"/>
        <v>150</v>
      </c>
      <c r="C398" s="76"/>
      <c r="D398" s="81" t="str">
        <f>if(isblank(I398),"",vlookup(I398,Pacing!$A$1:$Z$213,6))</f>
        <v>Investigation</v>
      </c>
      <c r="E398" s="81" t="str">
        <f>if(isblank(J398),"",vlookup(J398,Pacing!$A$1:$Z$213,6))</f>
        <v>Investigation</v>
      </c>
      <c r="F398" s="89" t="str">
        <f>if(isblank(K398),"",vlookup(K398,Pacing!$A$1:$Z$213,6))</f>
        <v/>
      </c>
      <c r="G398" s="81" t="str">
        <f>if(isblank(L398),"",vlookup(L398,Pacing!$A$1:$Z$213,6))</f>
        <v>Investigation</v>
      </c>
      <c r="H398" s="81" t="str">
        <f>if(isblank(M398),"",vlookup(M398,Pacing!$A$1:$Z$213,6))</f>
        <v>Investigation</v>
      </c>
      <c r="I398" s="86">
        <f t="shared" ref="I398:M398" si="421">I397</f>
        <v>66</v>
      </c>
      <c r="J398" s="86">
        <f t="shared" si="421"/>
        <v>67</v>
      </c>
      <c r="K398" s="86">
        <f t="shared" si="421"/>
        <v>68</v>
      </c>
      <c r="L398" s="86">
        <f t="shared" si="421"/>
        <v>69</v>
      </c>
      <c r="M398" s="86">
        <f t="shared" si="421"/>
        <v>70</v>
      </c>
    </row>
    <row r="399" ht="15.75" customHeight="1">
      <c r="A399" s="69">
        <f>B399+7</f>
        <v>157</v>
      </c>
      <c r="B399" s="69">
        <f t="shared" si="416"/>
        <v>150</v>
      </c>
      <c r="C399" s="76"/>
      <c r="D399" s="81" t="str">
        <f>if(isblank(I399),"",vlookup(I399,Pacing!$A$1:$Z$213,7))</f>
        <v>Activity</v>
      </c>
      <c r="E399" s="81" t="str">
        <f>if(isblank(J399),"",vlookup(J399,Pacing!$A$1:$Z$213,7))</f>
        <v>Activity</v>
      </c>
      <c r="F399" s="89" t="str">
        <f>if(isblank(K399),"",vlookup(K399,Pacing!$A$1:$Z$213,7))</f>
        <v/>
      </c>
      <c r="G399" s="81" t="str">
        <f>if(isblank(L399),"",vlookup(L399,Pacing!$A$1:$Z$213,7))</f>
        <v>Activity</v>
      </c>
      <c r="H399" s="81" t="str">
        <f>if(isblank(M399),"",vlookup(M399,Pacing!$A$1:$Z$213,7))</f>
        <v>Activity</v>
      </c>
      <c r="I399" s="86">
        <f t="shared" ref="I399:M399" si="422">I398</f>
        <v>66</v>
      </c>
      <c r="J399" s="86">
        <f t="shared" si="422"/>
        <v>67</v>
      </c>
      <c r="K399" s="86">
        <f t="shared" si="422"/>
        <v>68</v>
      </c>
      <c r="L399" s="86">
        <f t="shared" si="422"/>
        <v>69</v>
      </c>
      <c r="M399" s="86">
        <f t="shared" si="422"/>
        <v>70</v>
      </c>
    </row>
    <row r="400" ht="15.75" customHeight="1">
      <c r="A400" s="69">
        <f>B400+8</f>
        <v>158</v>
      </c>
      <c r="B400" s="69">
        <f t="shared" si="416"/>
        <v>150</v>
      </c>
      <c r="C400" s="95"/>
      <c r="D400" s="81" t="str">
        <f>if(isblank(I400),"",vlookup(I400,Pacing!$A$1:$Z$213,8))</f>
        <v>Practice Set</v>
      </c>
      <c r="E400" s="81" t="str">
        <f>if(isblank(J400),"",vlookup(J400,Pacing!$A$1:$Z$213,8))</f>
        <v>Practice Set</v>
      </c>
      <c r="F400" s="89" t="str">
        <f>if(isblank(K400),"",vlookup(K400,Pacing!$A$1:$Z$213,8))</f>
        <v/>
      </c>
      <c r="G400" s="81" t="str">
        <f>if(isblank(L400),"",vlookup(L400,Pacing!$A$1:$Z$213,8))</f>
        <v>Practice Set</v>
      </c>
      <c r="H400" s="81" t="str">
        <f>if(isblank(M400),"",vlookup(M400,Pacing!$A$1:$Z$213,8))</f>
        <v>Practice Set</v>
      </c>
      <c r="I400" s="86">
        <f t="shared" ref="I400:M400" si="423">I399</f>
        <v>66</v>
      </c>
      <c r="J400" s="86">
        <f t="shared" si="423"/>
        <v>67</v>
      </c>
      <c r="K400" s="86">
        <f t="shared" si="423"/>
        <v>68</v>
      </c>
      <c r="L400" s="86">
        <f t="shared" si="423"/>
        <v>69</v>
      </c>
      <c r="M400" s="86">
        <f t="shared" si="423"/>
        <v>70</v>
      </c>
    </row>
    <row r="401" ht="15.75" customHeight="1">
      <c r="A401" s="69"/>
      <c r="B401" s="69"/>
      <c r="C401" s="71"/>
      <c r="D401" s="81" t="str">
        <f>if(isblank(I401),"",vlookup(I401,Pacing!$A$1:$Z$213,9))</f>
        <v>Extra Practice</v>
      </c>
      <c r="E401" s="81" t="str">
        <f>if(isblank(J401),"",vlookup(J401,Pacing!$A$1:$Z$213,9))</f>
        <v>Extra Practice</v>
      </c>
      <c r="F401" s="89" t="str">
        <f>if(isblank(K401),"",vlookup(K401,Pacing!$A$1:$Z$213,9))</f>
        <v/>
      </c>
      <c r="G401" s="81" t="str">
        <f>if(isblank(L401),"",vlookup(L401,Pacing!$A$1:$Z$213,9))</f>
        <v>Extra Practice</v>
      </c>
      <c r="H401" s="81" t="str">
        <f>if(isblank(M401),"",vlookup(M401,Pacing!$A$1:$Z$213,9))</f>
        <v>Extra Practice</v>
      </c>
      <c r="I401" s="86">
        <f t="shared" ref="I401:M401" si="424">I400</f>
        <v>66</v>
      </c>
      <c r="J401" s="86">
        <f t="shared" si="424"/>
        <v>67</v>
      </c>
      <c r="K401" s="86">
        <f t="shared" si="424"/>
        <v>68</v>
      </c>
      <c r="L401" s="86">
        <f t="shared" si="424"/>
        <v>69</v>
      </c>
      <c r="M401" s="86">
        <f t="shared" si="424"/>
        <v>70</v>
      </c>
    </row>
    <row r="402" ht="15.75" customHeight="1">
      <c r="A402" s="69"/>
      <c r="B402" s="69"/>
      <c r="C402" s="71"/>
      <c r="D402" s="81" t="str">
        <f>if(isblank(I402),"",vlookup(I402,Pacing!$A$1:$Z$213,10))</f>
        <v>CYU</v>
      </c>
      <c r="E402" s="81" t="str">
        <f>if(isblank(J402),"",vlookup(J402,Pacing!$A$1:$Z$213,10))</f>
        <v>CYU</v>
      </c>
      <c r="F402" s="89" t="str">
        <f>if(isblank(K402),"",vlookup(K402,Pacing!$A$1:$Z$213,10))</f>
        <v/>
      </c>
      <c r="G402" s="81" t="str">
        <f>if(isblank(L402),"",vlookup(L402,Pacing!$A$1:$Z$213,10))</f>
        <v>CYU</v>
      </c>
      <c r="H402" s="81" t="str">
        <f>if(isblank(M402),"",vlookup(M402,Pacing!$A$1:$Z$213,10))</f>
        <v>CYU</v>
      </c>
      <c r="I402" s="86">
        <f t="shared" ref="I402:M402" si="425">I401</f>
        <v>66</v>
      </c>
      <c r="J402" s="86">
        <f t="shared" si="425"/>
        <v>67</v>
      </c>
      <c r="K402" s="86">
        <f t="shared" si="425"/>
        <v>68</v>
      </c>
      <c r="L402" s="86">
        <f t="shared" si="425"/>
        <v>69</v>
      </c>
      <c r="M402" s="86">
        <f t="shared" si="425"/>
        <v>70</v>
      </c>
    </row>
    <row r="403" ht="15.75" customHeight="1">
      <c r="A403" s="69"/>
      <c r="B403" s="69"/>
      <c r="C403" s="71"/>
      <c r="D403" s="81" t="str">
        <f>if(isblank(I403),"",vlookup(I403,Pacing!$A$1:$Z$213,11))</f>
        <v>Progress</v>
      </c>
      <c r="E403" s="81" t="str">
        <f>if(isblank(J403),"",vlookup(J403,Pacing!$A$1:$Z$213,11))</f>
        <v>Progress</v>
      </c>
      <c r="F403" s="89" t="str">
        <f>if(isblank(K403),"",vlookup(K403,Pacing!$A$1:$Z$213,11))</f>
        <v/>
      </c>
      <c r="G403" s="81" t="str">
        <f>if(isblank(L403),"",vlookup(L403,Pacing!$A$1:$Z$213,11))</f>
        <v>Progress</v>
      </c>
      <c r="H403" s="81" t="str">
        <f>if(isblank(M403),"",vlookup(M403,Pacing!$A$1:$Z$213,11))</f>
        <v>Progress</v>
      </c>
      <c r="I403" s="86">
        <f t="shared" ref="I403:M403" si="426">I402</f>
        <v>66</v>
      </c>
      <c r="J403" s="86">
        <f t="shared" si="426"/>
        <v>67</v>
      </c>
      <c r="K403" s="86">
        <f t="shared" si="426"/>
        <v>68</v>
      </c>
      <c r="L403" s="86">
        <f t="shared" si="426"/>
        <v>69</v>
      </c>
      <c r="M403" s="86">
        <f t="shared" si="426"/>
        <v>70</v>
      </c>
    </row>
    <row r="404" ht="15.75" customHeight="1">
      <c r="A404" s="69"/>
      <c r="B404" s="69"/>
      <c r="C404" s="71"/>
      <c r="D404" s="81" t="str">
        <f>if(isblank(I404),"",vlookup(I404,Pacing!$A$1:$Z$213,12))</f>
        <v>Review</v>
      </c>
      <c r="E404" s="81" t="str">
        <f>if(isblank(J404),"",vlookup(J404,Pacing!$A$1:$Z$213,12))</f>
        <v>Review</v>
      </c>
      <c r="F404" s="91" t="str">
        <f>if(isblank(K404),"",vlookup(K404,Pacing!$A$1:$Z$213,12))</f>
        <v/>
      </c>
      <c r="G404" s="81" t="str">
        <f>if(isblank(L404),"",vlookup(L404,Pacing!$A$1:$Z$213,12))</f>
        <v>Review</v>
      </c>
      <c r="H404" s="81" t="str">
        <f>if(isblank(M404),"",vlookup(M404,Pacing!$A$1:$Z$213,12))</f>
        <v>Review</v>
      </c>
      <c r="I404" s="86">
        <f t="shared" ref="I404:M404" si="427">I403</f>
        <v>66</v>
      </c>
      <c r="J404" s="86">
        <f t="shared" si="427"/>
        <v>67</v>
      </c>
      <c r="K404" s="86">
        <f t="shared" si="427"/>
        <v>68</v>
      </c>
      <c r="L404" s="86">
        <f t="shared" si="427"/>
        <v>69</v>
      </c>
      <c r="M404" s="86">
        <f t="shared" si="427"/>
        <v>70</v>
      </c>
    </row>
    <row r="405" ht="15.75" customHeight="1">
      <c r="A405" s="69"/>
      <c r="B405" s="69"/>
      <c r="C405" s="71"/>
      <c r="D405" s="91" t="str">
        <f>if(isblank(I405),"",vlookup(I405,Pacing!$A$1:$Z$213,13))</f>
        <v/>
      </c>
      <c r="E405" s="91" t="str">
        <f>if(isblank(J405),"",vlookup(J405,Pacing!$A$1:$Z$213,13))</f>
        <v/>
      </c>
      <c r="F405" s="91" t="str">
        <f>if(isblank(K405),"",vlookup(K405,Pacing!$A$1:$Z$213,13))</f>
        <v/>
      </c>
      <c r="G405" s="91" t="str">
        <f>if(isblank(L405),"",vlookup(L405,Pacing!$A$1:$Z$213,13))</f>
        <v/>
      </c>
      <c r="H405" s="91" t="str">
        <f>if(isblank(M405),"",vlookup(M405,Pacing!$A$1:$Z$213,13))</f>
        <v/>
      </c>
      <c r="I405" s="86">
        <f t="shared" ref="I405:M405" si="428">I404</f>
        <v>66</v>
      </c>
      <c r="J405" s="86">
        <f t="shared" si="428"/>
        <v>67</v>
      </c>
      <c r="K405" s="86">
        <f t="shared" si="428"/>
        <v>68</v>
      </c>
      <c r="L405" s="86">
        <f t="shared" si="428"/>
        <v>69</v>
      </c>
      <c r="M405" s="86">
        <f t="shared" si="428"/>
        <v>70</v>
      </c>
    </row>
    <row r="406" ht="15.75" customHeight="1">
      <c r="A406" s="69"/>
      <c r="B406" s="69"/>
      <c r="C406" s="71"/>
      <c r="D406" s="81" t="str">
        <f>if(isblank(I406),"",vlookup(I406,Pacing!$A$1:$Z$213,14))</f>
        <v>Notes Teacher</v>
      </c>
      <c r="E406" s="81" t="str">
        <f>if(isblank(J406),"",vlookup(J406,Pacing!$A$1:$Z$213,14))</f>
        <v>Notes Teacher</v>
      </c>
      <c r="F406" s="81" t="str">
        <f>if(isblank(K406),"",vlookup(K406,Pacing!$A$1:$Z$213,14))</f>
        <v>Sum Assess</v>
      </c>
      <c r="G406" s="81" t="str">
        <f>if(isblank(L406),"",vlookup(L406,Pacing!$A$1:$Z$213,14))</f>
        <v>Notes Teacher</v>
      </c>
      <c r="H406" s="81" t="str">
        <f>if(isblank(M406),"",vlookup(M406,Pacing!$A$1:$Z$213,14))</f>
        <v>Notes Teacher</v>
      </c>
      <c r="I406" s="86">
        <f t="shared" ref="I406:M406" si="429">I405</f>
        <v>66</v>
      </c>
      <c r="J406" s="86">
        <f t="shared" si="429"/>
        <v>67</v>
      </c>
      <c r="K406" s="86">
        <f t="shared" si="429"/>
        <v>68</v>
      </c>
      <c r="L406" s="86">
        <f t="shared" si="429"/>
        <v>69</v>
      </c>
      <c r="M406" s="86">
        <f t="shared" si="429"/>
        <v>70</v>
      </c>
    </row>
    <row r="407" ht="15.75" customHeight="1">
      <c r="A407" s="69"/>
      <c r="B407" s="69"/>
      <c r="C407" s="71"/>
      <c r="D407" s="81" t="str">
        <f>if(isblank(I407),"",vlookup(I407,Pacing!$A$1:$Z$213,15))</f>
        <v>Demo Teacher</v>
      </c>
      <c r="E407" s="81" t="str">
        <f>if(isblank(J407),"",vlookup(J407,Pacing!$A$1:$Z$213,15))</f>
        <v>Demo Teacher</v>
      </c>
      <c r="F407" s="81" t="str">
        <f>if(isblank(K407),"",vlookup(K407,Pacing!$A$1:$Z$213,15))</f>
        <v>Bank</v>
      </c>
      <c r="G407" s="81" t="str">
        <f>if(isblank(L407),"",vlookup(L407,Pacing!$A$1:$Z$213,15))</f>
        <v>Demo Teacher</v>
      </c>
      <c r="H407" s="81" t="str">
        <f>if(isblank(M407),"",vlookup(M407,Pacing!$A$1:$Z$213,15))</f>
        <v>Demo Teacher</v>
      </c>
      <c r="I407" s="86">
        <f t="shared" ref="I407:M407" si="430">I406</f>
        <v>66</v>
      </c>
      <c r="J407" s="86">
        <f t="shared" si="430"/>
        <v>67</v>
      </c>
      <c r="K407" s="86">
        <f t="shared" si="430"/>
        <v>68</v>
      </c>
      <c r="L407" s="86">
        <f t="shared" si="430"/>
        <v>69</v>
      </c>
      <c r="M407" s="86">
        <f t="shared" si="430"/>
        <v>70</v>
      </c>
    </row>
    <row r="408" ht="15.75" customHeight="1">
      <c r="A408" s="69"/>
      <c r="B408" s="69"/>
      <c r="C408" s="71"/>
      <c r="D408" s="81" t="str">
        <f>if(isblank(I408),"",vlookup(I408,Pacing!$A$1:$Z$213,16))</f>
        <v>Invest Teacher</v>
      </c>
      <c r="E408" s="81" t="str">
        <f>if(isblank(J408),"",vlookup(J408,Pacing!$A$1:$Z$213,16))</f>
        <v>Invest Teacher</v>
      </c>
      <c r="F408" s="81" t="str">
        <f>if(isblank(K408),"",vlookup(K408,Pacing!$A$1:$Z$213,16))</f>
        <v>Assess Plan</v>
      </c>
      <c r="G408" s="81" t="str">
        <f>if(isblank(L408),"",vlookup(L408,Pacing!$A$1:$Z$213,16))</f>
        <v>Invest Teacher</v>
      </c>
      <c r="H408" s="81" t="str">
        <f>if(isblank(M408),"",vlookup(M408,Pacing!$A$1:$Z$213,16))</f>
        <v>Invest Teacher</v>
      </c>
      <c r="I408" s="86">
        <f t="shared" ref="I408:M408" si="431">I407</f>
        <v>66</v>
      </c>
      <c r="J408" s="86">
        <f t="shared" si="431"/>
        <v>67</v>
      </c>
      <c r="K408" s="86">
        <f t="shared" si="431"/>
        <v>68</v>
      </c>
      <c r="L408" s="86">
        <f t="shared" si="431"/>
        <v>69</v>
      </c>
      <c r="M408" s="86">
        <f t="shared" si="431"/>
        <v>70</v>
      </c>
    </row>
    <row r="409" ht="15.75" customHeight="1">
      <c r="A409" s="69"/>
      <c r="B409" s="69"/>
      <c r="C409" s="71"/>
      <c r="D409" s="81" t="str">
        <f>if(isblank(I409),"",vlookup(I409,Pacing!$A$1:$Z$213,17))</f>
        <v>PT Teacher</v>
      </c>
      <c r="E409" s="81" t="str">
        <f>if(isblank(J409),"",vlookup(J409,Pacing!$A$1:$Z$213,17))</f>
        <v>PT Teacher</v>
      </c>
      <c r="F409" s="89" t="str">
        <f>if(isblank(K409),"",vlookup(K409,Pacing!$A$1:$Z$213,17))</f>
        <v/>
      </c>
      <c r="G409" s="81" t="str">
        <f>if(isblank(L409),"",vlookup(L409,Pacing!$A$1:$Z$213,17))</f>
        <v>PT Teacher</v>
      </c>
      <c r="H409" s="81" t="str">
        <f>if(isblank(M409),"",vlookup(M409,Pacing!$A$1:$Z$213,17))</f>
        <v>PT Teacher</v>
      </c>
      <c r="I409" s="86">
        <f t="shared" ref="I409:M409" si="432">I408</f>
        <v>66</v>
      </c>
      <c r="J409" s="86">
        <f t="shared" si="432"/>
        <v>67</v>
      </c>
      <c r="K409" s="86">
        <f t="shared" si="432"/>
        <v>68</v>
      </c>
      <c r="L409" s="86">
        <f t="shared" si="432"/>
        <v>69</v>
      </c>
      <c r="M409" s="86">
        <f t="shared" si="432"/>
        <v>70</v>
      </c>
    </row>
    <row r="410" ht="15.75" customHeight="1">
      <c r="A410" s="69"/>
      <c r="B410" s="69"/>
      <c r="C410" s="71"/>
      <c r="D410" s="81" t="str">
        <f>if(isblank(I410),"",vlookup(I410,Pacing!$A$1:$Z$213,18))</f>
        <v>Assess Plan</v>
      </c>
      <c r="E410" s="81" t="str">
        <f>if(isblank(J410),"",vlookup(J410,Pacing!$A$1:$Z$213,18))</f>
        <v>Assess Plan</v>
      </c>
      <c r="F410" s="81" t="str">
        <f>if(isblank(K410),"",vlookup(K410,Pacing!$A$1:$Z$213,18))</f>
        <v/>
      </c>
      <c r="G410" s="81" t="str">
        <f>if(isblank(L410),"",vlookup(L410,Pacing!$A$1:$Z$213,18))</f>
        <v>Assess Plan</v>
      </c>
      <c r="H410" s="81" t="str">
        <f>if(isblank(M410),"",vlookup(M410,Pacing!$A$1:$Z$213,18))</f>
        <v>Assess Plan</v>
      </c>
      <c r="I410" s="86">
        <f t="shared" ref="I410:M410" si="433">I409</f>
        <v>66</v>
      </c>
      <c r="J410" s="86">
        <f t="shared" si="433"/>
        <v>67</v>
      </c>
      <c r="K410" s="86">
        <f t="shared" si="433"/>
        <v>68</v>
      </c>
      <c r="L410" s="86">
        <f t="shared" si="433"/>
        <v>69</v>
      </c>
      <c r="M410" s="86">
        <f t="shared" si="433"/>
        <v>70</v>
      </c>
    </row>
    <row r="411" ht="15.75" customHeight="1">
      <c r="A411" s="69"/>
      <c r="B411" s="69"/>
      <c r="C411" s="71"/>
      <c r="D411" s="81" t="str">
        <f>if(isblank(I411),"",vlookup(I411,Pacing!$A$1:$Z$213,19))</f>
        <v>Perform Task</v>
      </c>
      <c r="E411" s="81" t="str">
        <f>if(isblank(J411),"",vlookup(J411,Pacing!$A$1:$Z$213,19))</f>
        <v>Perform Task</v>
      </c>
      <c r="F411" s="89" t="str">
        <f>if(isblank(K411),"",vlookup(K411,Pacing!$A$1:$Z$213,19))</f>
        <v/>
      </c>
      <c r="G411" s="81" t="str">
        <f>if(isblank(L411),"",vlookup(L411,Pacing!$A$1:$Z$213,19))</f>
        <v>Perform Task</v>
      </c>
      <c r="H411" s="81" t="str">
        <f>if(isblank(M411),"",vlookup(M411,Pacing!$A$1:$Z$213,19))</f>
        <v>Perform Task</v>
      </c>
      <c r="I411" s="86">
        <f t="shared" ref="I411:M411" si="434">I410</f>
        <v>66</v>
      </c>
      <c r="J411" s="86">
        <f t="shared" si="434"/>
        <v>67</v>
      </c>
      <c r="K411" s="86">
        <f t="shared" si="434"/>
        <v>68</v>
      </c>
      <c r="L411" s="86">
        <f t="shared" si="434"/>
        <v>69</v>
      </c>
      <c r="M411" s="86">
        <f t="shared" si="434"/>
        <v>70</v>
      </c>
    </row>
    <row r="412" ht="15.75" customHeight="1">
      <c r="A412" s="69"/>
      <c r="B412" s="69"/>
      <c r="C412" s="71"/>
      <c r="D412" s="81" t="str">
        <f>if(isblank(I412),"",vlookup(I412,Pacing!$A$1:$Z$213,20))</f>
        <v>Quick Check</v>
      </c>
      <c r="E412" s="81" t="str">
        <f>if(isblank(J412),"",vlookup(J412,Pacing!$A$1:$Z$213,20))</f>
        <v>Quick Check</v>
      </c>
      <c r="F412" s="89" t="str">
        <f>if(isblank(K412),"",vlookup(K412,Pacing!$A$1:$Z$213,20))</f>
        <v/>
      </c>
      <c r="G412" s="81" t="str">
        <f>if(isblank(L412),"",vlookup(L412,Pacing!$A$1:$Z$213,20))</f>
        <v>Quick Check</v>
      </c>
      <c r="H412" s="81" t="str">
        <f>if(isblank(M412),"",vlookup(M412,Pacing!$A$1:$Z$213,20))</f>
        <v>Quick Check</v>
      </c>
      <c r="I412" s="86">
        <f t="shared" ref="I412:M412" si="435">I411</f>
        <v>66</v>
      </c>
      <c r="J412" s="86">
        <f t="shared" si="435"/>
        <v>67</v>
      </c>
      <c r="K412" s="86">
        <f t="shared" si="435"/>
        <v>68</v>
      </c>
      <c r="L412" s="86">
        <f t="shared" si="435"/>
        <v>69</v>
      </c>
      <c r="M412" s="86">
        <f t="shared" si="435"/>
        <v>70</v>
      </c>
    </row>
    <row r="413" ht="15.75" customHeight="1">
      <c r="A413" s="69"/>
      <c r="B413" s="69"/>
      <c r="C413" s="71"/>
      <c r="D413" s="81" t="str">
        <f>if(isblank(I413),"",vlookup(I413,Pacing!$A$1:$Z$213,21))</f>
        <v>Exit Ticket</v>
      </c>
      <c r="E413" s="81" t="str">
        <f>if(isblank(J413),"",vlookup(J413,Pacing!$A$1:$Z$213,21))</f>
        <v>Exit Ticket</v>
      </c>
      <c r="F413" s="81" t="str">
        <f>if(isblank(K413),"",vlookup(K413,Pacing!$A$1:$Z$213,21))</f>
        <v/>
      </c>
      <c r="G413" s="81" t="str">
        <f>if(isblank(L413),"",vlookup(L413,Pacing!$A$1:$Z$213,21))</f>
        <v>Exit Ticket</v>
      </c>
      <c r="H413" s="81" t="str">
        <f>if(isblank(M413),"",vlookup(M413,Pacing!$A$1:$Z$213,21))</f>
        <v>Exit Ticket</v>
      </c>
      <c r="I413" s="86">
        <f t="shared" ref="I413:M413" si="436">I412</f>
        <v>66</v>
      </c>
      <c r="J413" s="86">
        <f t="shared" si="436"/>
        <v>67</v>
      </c>
      <c r="K413" s="86">
        <f t="shared" si="436"/>
        <v>68</v>
      </c>
      <c r="L413" s="86">
        <f t="shared" si="436"/>
        <v>69</v>
      </c>
      <c r="M413" s="86">
        <f t="shared" si="436"/>
        <v>70</v>
      </c>
    </row>
    <row r="414" ht="15.75" customHeight="1">
      <c r="A414" s="69"/>
      <c r="B414" s="69"/>
      <c r="C414" s="71"/>
      <c r="D414" s="81" t="str">
        <f>if(isblank(I414),"",vlookup(I414,Pacing!$A$1:$Z$213,22))</f>
        <v>Practice 2</v>
      </c>
      <c r="E414" s="81" t="str">
        <f>if(isblank(J414),"",vlookup(J414,Pacing!$A$1:$Z$213,22))</f>
        <v>Practice 2</v>
      </c>
      <c r="F414" s="91" t="str">
        <f>if(isblank(K414),"",vlookup(K414,Pacing!$A$1:$Z$213,22))</f>
        <v/>
      </c>
      <c r="G414" s="81" t="str">
        <f>if(isblank(L414),"",vlookup(L414,Pacing!$A$1:$Z$213,22))</f>
        <v>Practice 2</v>
      </c>
      <c r="H414" s="81" t="str">
        <f>if(isblank(M414),"",vlookup(M414,Pacing!$A$1:$Z$213,22))</f>
        <v>Practice 2</v>
      </c>
      <c r="I414" s="86">
        <f t="shared" ref="I414:M414" si="437">I413</f>
        <v>66</v>
      </c>
      <c r="J414" s="86">
        <f t="shared" si="437"/>
        <v>67</v>
      </c>
      <c r="K414" s="86">
        <f t="shared" si="437"/>
        <v>68</v>
      </c>
      <c r="L414" s="86">
        <f t="shared" si="437"/>
        <v>69</v>
      </c>
      <c r="M414" s="86">
        <f t="shared" si="437"/>
        <v>70</v>
      </c>
    </row>
    <row r="415" ht="15.75" customHeight="1">
      <c r="A415" s="69"/>
      <c r="B415" s="69"/>
      <c r="C415" s="71"/>
      <c r="D415" s="81" t="str">
        <f>if(isblank(I415),"",vlookup(I415,Pacing!$A$1:$Z$213,23))</f>
        <v>Practice 3</v>
      </c>
      <c r="E415" s="81" t="str">
        <f>if(isblank(J415),"",vlookup(J415,Pacing!$A$1:$Z$213,23))</f>
        <v>Practice 3</v>
      </c>
      <c r="F415" s="89" t="str">
        <f>if(isblank(K415),"",vlookup(K415,Pacing!$A$1:$Z$213,23))</f>
        <v/>
      </c>
      <c r="G415" s="81" t="str">
        <f>if(isblank(L415),"",vlookup(L415,Pacing!$A$1:$Z$213,23))</f>
        <v>Practice 3</v>
      </c>
      <c r="H415" s="81" t="str">
        <f>if(isblank(M415),"",vlookup(M415,Pacing!$A$1:$Z$213,23))</f>
        <v>Practice 3</v>
      </c>
      <c r="I415" s="86">
        <f t="shared" ref="I415:M415" si="438">I414</f>
        <v>66</v>
      </c>
      <c r="J415" s="86">
        <f t="shared" si="438"/>
        <v>67</v>
      </c>
      <c r="K415" s="86">
        <f t="shared" si="438"/>
        <v>68</v>
      </c>
      <c r="L415" s="86">
        <f t="shared" si="438"/>
        <v>69</v>
      </c>
      <c r="M415" s="86">
        <f t="shared" si="438"/>
        <v>70</v>
      </c>
    </row>
    <row r="416" ht="15.75" customHeight="1">
      <c r="A416" s="69"/>
      <c r="B416" s="69"/>
      <c r="C416" s="71"/>
      <c r="D416" s="81" t="str">
        <f>if(isblank(I416),"",vlookup(I416,Pacing!$A$1:$Z$213,24))</f>
        <v>Sum Assess</v>
      </c>
      <c r="E416" s="81" t="str">
        <f>if(isblank(J416),"",vlookup(J416,Pacing!$A$1:$Z$213,24))</f>
        <v>Sum Assess</v>
      </c>
      <c r="F416" s="81" t="str">
        <f>if(isblank(K416),"",vlookup(K416,Pacing!$A$1:$Z$213,24))</f>
        <v/>
      </c>
      <c r="G416" s="81" t="str">
        <f>if(isblank(L416),"",vlookup(L416,Pacing!$A$1:$Z$213,24))</f>
        <v>Sum Assess</v>
      </c>
      <c r="H416" s="81" t="str">
        <f>if(isblank(M416),"",vlookup(M416,Pacing!$A$1:$Z$213,24))</f>
        <v>Sum Assess</v>
      </c>
      <c r="I416" s="86">
        <f t="shared" ref="I416:M416" si="439">I415</f>
        <v>66</v>
      </c>
      <c r="J416" s="86">
        <f t="shared" si="439"/>
        <v>67</v>
      </c>
      <c r="K416" s="86">
        <f t="shared" si="439"/>
        <v>68</v>
      </c>
      <c r="L416" s="86">
        <f t="shared" si="439"/>
        <v>69</v>
      </c>
      <c r="M416" s="86">
        <f t="shared" si="439"/>
        <v>70</v>
      </c>
    </row>
    <row r="417" ht="15.75" customHeight="1">
      <c r="A417" s="69"/>
      <c r="B417" s="69"/>
      <c r="C417" s="71"/>
      <c r="D417" s="81" t="str">
        <f>if(isblank(I417),"",vlookup(I417,Pacing!$A$1:$Z$213,25))</f>
        <v>Bank</v>
      </c>
      <c r="E417" s="81" t="str">
        <f>if(isblank(J417),"",vlookup(J417,Pacing!$A$1:$Z$213,25))</f>
        <v>Bank</v>
      </c>
      <c r="F417" s="81" t="str">
        <f>if(isblank(K417),"",vlookup(K417,Pacing!$A$1:$Z$213,25))</f>
        <v/>
      </c>
      <c r="G417" s="81" t="str">
        <f>if(isblank(L417),"",vlookup(L417,Pacing!$A$1:$Z$213,25))</f>
        <v>Bank</v>
      </c>
      <c r="H417" s="81" t="str">
        <f>if(isblank(M417),"",vlookup(M417,Pacing!$A$1:$Z$213,25))</f>
        <v>Bank</v>
      </c>
      <c r="I417" s="86">
        <f t="shared" ref="I417:M417" si="440">I416</f>
        <v>66</v>
      </c>
      <c r="J417" s="86">
        <f t="shared" si="440"/>
        <v>67</v>
      </c>
      <c r="K417" s="86">
        <f t="shared" si="440"/>
        <v>68</v>
      </c>
      <c r="L417" s="86">
        <f t="shared" si="440"/>
        <v>69</v>
      </c>
      <c r="M417" s="86">
        <f t="shared" si="440"/>
        <v>70</v>
      </c>
    </row>
    <row r="418" ht="15.75" customHeight="1">
      <c r="A418" s="69"/>
      <c r="B418" s="69"/>
      <c r="C418" s="71"/>
      <c r="D418" s="91" t="str">
        <f>if(isblank(I418),"",vlookup(I418,Pacing!$A$1:$Z$213,26))</f>
        <v/>
      </c>
      <c r="E418" s="89" t="str">
        <f>if(isblank(J418),"",vlookup(J418,Pacing!$A$1:$Z$213,26))</f>
        <v/>
      </c>
      <c r="F418" s="89" t="str">
        <f>if(isblank(K418),"",vlookup(K418,Pacing!$A$1:$Z$213,26))</f>
        <v/>
      </c>
      <c r="G418" s="89" t="str">
        <f>if(isblank(L418),"",vlookup(L418,Pacing!$A$1:$Z$213,26))</f>
        <v/>
      </c>
      <c r="H418" s="89" t="str">
        <f>if(isblank(M418),"",vlookup(M418,Pacing!$A$1:$Z$213,26))</f>
        <v/>
      </c>
      <c r="I418" s="86">
        <f t="shared" ref="I418:M418" si="441">I417</f>
        <v>66</v>
      </c>
      <c r="J418" s="86">
        <f t="shared" si="441"/>
        <v>67</v>
      </c>
      <c r="K418" s="86">
        <f t="shared" si="441"/>
        <v>68</v>
      </c>
      <c r="L418" s="86">
        <f t="shared" si="441"/>
        <v>69</v>
      </c>
      <c r="M418" s="86">
        <f t="shared" si="441"/>
        <v>70</v>
      </c>
    </row>
    <row r="419" ht="15.75" customHeight="1">
      <c r="A419" s="137"/>
      <c r="B419" s="137"/>
      <c r="C419" s="138"/>
      <c r="D419" s="139">
        <f>H392+1</f>
        <v>71</v>
      </c>
      <c r="E419" s="139">
        <f t="shared" ref="E419:H419" si="442">D419+1</f>
        <v>72</v>
      </c>
      <c r="F419" s="139">
        <f t="shared" si="442"/>
        <v>73</v>
      </c>
      <c r="G419" s="139">
        <f t="shared" si="442"/>
        <v>74</v>
      </c>
      <c r="H419" s="139">
        <f t="shared" si="442"/>
        <v>75</v>
      </c>
      <c r="I419" s="55">
        <f t="shared" ref="I419:M419" si="443">D419</f>
        <v>71</v>
      </c>
      <c r="J419" s="55">
        <f t="shared" si="443"/>
        <v>72</v>
      </c>
      <c r="K419" s="55">
        <f t="shared" si="443"/>
        <v>73</v>
      </c>
      <c r="L419" s="55">
        <f t="shared" si="443"/>
        <v>74</v>
      </c>
      <c r="M419" s="55">
        <f t="shared" si="443"/>
        <v>75</v>
      </c>
    </row>
    <row r="420" ht="15.75" customHeight="1">
      <c r="A420" s="69">
        <f>B420+1</f>
        <v>161</v>
      </c>
      <c r="B420" s="69">
        <f t="shared" ref="B420:B427" si="445">$C$420*10</f>
        <v>160</v>
      </c>
      <c r="C420" s="71">
        <f>C393+1</f>
        <v>16</v>
      </c>
      <c r="D420" s="72">
        <f>D393+7</f>
        <v>46370</v>
      </c>
      <c r="E420" s="72">
        <f t="shared" ref="E420:H420" si="444">D420+1</f>
        <v>46371</v>
      </c>
      <c r="F420" s="72">
        <f t="shared" si="444"/>
        <v>46372</v>
      </c>
      <c r="G420" s="72">
        <f t="shared" si="444"/>
        <v>46373</v>
      </c>
      <c r="H420" s="72">
        <f t="shared" si="444"/>
        <v>46374</v>
      </c>
      <c r="I420" s="62" t="s">
        <v>42</v>
      </c>
    </row>
    <row r="421" ht="15.75" customHeight="1">
      <c r="A421" s="75">
        <f>B421+2</f>
        <v>162</v>
      </c>
      <c r="B421" s="75">
        <f t="shared" si="445"/>
        <v>160</v>
      </c>
      <c r="C421" s="76"/>
      <c r="D421" s="131" t="str">
        <f>if(isblank(I421),"",vlookup(I421,Pacing!$A$1:$Z$213,2))</f>
        <v>5.1: Waves &amp; Vibr</v>
      </c>
      <c r="E421" s="131" t="str">
        <f>if(isblank(J421),"",vlookup(J421,Pacing!$A$1:$Z$213,2))</f>
        <v>5.2: Wave Interact</v>
      </c>
      <c r="F421" s="131" t="str">
        <f>if(isblank(K421),"",vlookup(K421,Pacing!$A$1:$Z$213,2))</f>
        <v>5.2: Wave Interact</v>
      </c>
      <c r="G421" s="131" t="str">
        <f>if(isblank(L421),"",vlookup(L421,Pacing!$A$1:$Z$213,2))</f>
        <v>5.2: Wave Interact</v>
      </c>
      <c r="H421" s="131" t="str">
        <f>if(isblank(M421),"",vlookup(M421,Pacing!$A$1:$Z$213,2))</f>
        <v>5.3: Sound</v>
      </c>
      <c r="I421" s="78">
        <f t="shared" ref="I421:M421" si="446">I419</f>
        <v>71</v>
      </c>
      <c r="J421" s="78">
        <f t="shared" si="446"/>
        <v>72</v>
      </c>
      <c r="K421" s="78">
        <f t="shared" si="446"/>
        <v>73</v>
      </c>
      <c r="L421" s="78">
        <f t="shared" si="446"/>
        <v>74</v>
      </c>
      <c r="M421" s="78">
        <f t="shared" si="446"/>
        <v>75</v>
      </c>
    </row>
    <row r="422" ht="15.75" customHeight="1">
      <c r="A422" s="69">
        <f>B422+3</f>
        <v>163</v>
      </c>
      <c r="B422" s="69">
        <f t="shared" si="445"/>
        <v>160</v>
      </c>
      <c r="C422" s="76"/>
      <c r="D422" s="81" t="str">
        <f>if(isblank(I422),"",vlookup(I422,Pacing!$A$1:$Z$213,3))</f>
        <v>Warm Up</v>
      </c>
      <c r="E422" s="81" t="str">
        <f>if(isblank(J422),"",vlookup(J422,Pacing!$A$1:$Z$213,3))</f>
        <v>Warm Up</v>
      </c>
      <c r="F422" s="81" t="str">
        <f>if(isblank(K422),"",vlookup(K422,Pacing!$A$1:$Z$213,3))</f>
        <v>Warm Up</v>
      </c>
      <c r="G422" s="81" t="str">
        <f>if(isblank(L422),"",vlookup(L422,Pacing!$A$1:$Z$213,3))</f>
        <v>Warm Up</v>
      </c>
      <c r="H422" s="81" t="str">
        <f>if(isblank(M422),"",vlookup(M422,Pacing!$A$1:$Z$213,3))</f>
        <v>Warm Up</v>
      </c>
      <c r="I422" s="86">
        <f t="shared" ref="I422:M422" si="447">I421</f>
        <v>71</v>
      </c>
      <c r="J422" s="86">
        <f t="shared" si="447"/>
        <v>72</v>
      </c>
      <c r="K422" s="86">
        <f t="shared" si="447"/>
        <v>73</v>
      </c>
      <c r="L422" s="86">
        <f t="shared" si="447"/>
        <v>74</v>
      </c>
      <c r="M422" s="86">
        <f t="shared" si="447"/>
        <v>75</v>
      </c>
    </row>
    <row r="423" ht="15.75" customHeight="1">
      <c r="A423" s="69">
        <f>B423+4</f>
        <v>164</v>
      </c>
      <c r="B423" s="69">
        <f t="shared" si="445"/>
        <v>160</v>
      </c>
      <c r="C423" s="76"/>
      <c r="D423" s="81" t="str">
        <f>if(isblank(I423),"",vlookup(I423,Pacing!$A$1:$Z$213,4))</f>
        <v>Demo</v>
      </c>
      <c r="E423" s="81" t="str">
        <f>if(isblank(J423),"",vlookup(J423,Pacing!$A$1:$Z$213,4))</f>
        <v>Demo</v>
      </c>
      <c r="F423" s="81" t="str">
        <f>if(isblank(K423),"",vlookup(K423,Pacing!$A$1:$Z$213,4))</f>
        <v>Demo</v>
      </c>
      <c r="G423" s="81" t="str">
        <f>if(isblank(L423),"",vlookup(L423,Pacing!$A$1:$Z$213,4))</f>
        <v>Demo</v>
      </c>
      <c r="H423" s="81" t="str">
        <f>if(isblank(M423),"",vlookup(M423,Pacing!$A$1:$Z$213,4))</f>
        <v>Demo</v>
      </c>
      <c r="I423" s="86">
        <f t="shared" ref="I423:M423" si="448">I422</f>
        <v>71</v>
      </c>
      <c r="J423" s="86">
        <f t="shared" si="448"/>
        <v>72</v>
      </c>
      <c r="K423" s="86">
        <f t="shared" si="448"/>
        <v>73</v>
      </c>
      <c r="L423" s="86">
        <f t="shared" si="448"/>
        <v>74</v>
      </c>
      <c r="M423" s="86">
        <f t="shared" si="448"/>
        <v>75</v>
      </c>
    </row>
    <row r="424" ht="15.75" customHeight="1">
      <c r="A424" s="69">
        <f>B424+5</f>
        <v>165</v>
      </c>
      <c r="B424" s="69">
        <f t="shared" si="445"/>
        <v>160</v>
      </c>
      <c r="C424" s="76"/>
      <c r="D424" s="81" t="str">
        <f>if(isblank(I424),"",vlookup(I424,Pacing!$A$1:$Z$213,5))</f>
        <v>Notes</v>
      </c>
      <c r="E424" s="81" t="str">
        <f>if(isblank(J424),"",vlookup(J424,Pacing!$A$1:$Z$213,5))</f>
        <v>Notes</v>
      </c>
      <c r="F424" s="81" t="str">
        <f>if(isblank(K424),"",vlookup(K424,Pacing!$A$1:$Z$213,5))</f>
        <v>Notes</v>
      </c>
      <c r="G424" s="81" t="str">
        <f>if(isblank(L424),"",vlookup(L424,Pacing!$A$1:$Z$213,5))</f>
        <v>Notes</v>
      </c>
      <c r="H424" s="81" t="str">
        <f>if(isblank(M424),"",vlookup(M424,Pacing!$A$1:$Z$213,5))</f>
        <v>Notes</v>
      </c>
      <c r="I424" s="86">
        <f t="shared" ref="I424:M424" si="449">I423</f>
        <v>71</v>
      </c>
      <c r="J424" s="86">
        <f t="shared" si="449"/>
        <v>72</v>
      </c>
      <c r="K424" s="86">
        <f t="shared" si="449"/>
        <v>73</v>
      </c>
      <c r="L424" s="86">
        <f t="shared" si="449"/>
        <v>74</v>
      </c>
      <c r="M424" s="86">
        <f t="shared" si="449"/>
        <v>75</v>
      </c>
    </row>
    <row r="425" ht="15.75" customHeight="1">
      <c r="A425" s="69">
        <f>B425+6</f>
        <v>166</v>
      </c>
      <c r="B425" s="69">
        <f t="shared" si="445"/>
        <v>160</v>
      </c>
      <c r="C425" s="76"/>
      <c r="D425" s="81" t="str">
        <f>if(isblank(I425),"",vlookup(I425,Pacing!$A$1:$Z$213,6))</f>
        <v>Investigation</v>
      </c>
      <c r="E425" s="81" t="str">
        <f>if(isblank(J425),"",vlookup(J425,Pacing!$A$1:$Z$213,6))</f>
        <v>Investigation</v>
      </c>
      <c r="F425" s="81" t="str">
        <f>if(isblank(K425),"",vlookup(K425,Pacing!$A$1:$Z$213,6))</f>
        <v>Investigation</v>
      </c>
      <c r="G425" s="81" t="str">
        <f>if(isblank(L425),"",vlookup(L425,Pacing!$A$1:$Z$213,6))</f>
        <v>Investigation</v>
      </c>
      <c r="H425" s="81" t="str">
        <f>if(isblank(M425),"",vlookup(M425,Pacing!$A$1:$Z$213,6))</f>
        <v>Investigation</v>
      </c>
      <c r="I425" s="86">
        <f t="shared" ref="I425:M425" si="450">I424</f>
        <v>71</v>
      </c>
      <c r="J425" s="86">
        <f t="shared" si="450"/>
        <v>72</v>
      </c>
      <c r="K425" s="86">
        <f t="shared" si="450"/>
        <v>73</v>
      </c>
      <c r="L425" s="86">
        <f t="shared" si="450"/>
        <v>74</v>
      </c>
      <c r="M425" s="86">
        <f t="shared" si="450"/>
        <v>75</v>
      </c>
    </row>
    <row r="426" ht="15.75" customHeight="1">
      <c r="A426" s="69">
        <f>B426+7</f>
        <v>167</v>
      </c>
      <c r="B426" s="69">
        <f t="shared" si="445"/>
        <v>160</v>
      </c>
      <c r="C426" s="76"/>
      <c r="D426" s="81" t="str">
        <f>if(isblank(I426),"",vlookup(I426,Pacing!$A$1:$Z$213,7))</f>
        <v>Activity</v>
      </c>
      <c r="E426" s="81" t="str">
        <f>if(isblank(J426),"",vlookup(J426,Pacing!$A$1:$Z$213,7))</f>
        <v>Activity</v>
      </c>
      <c r="F426" s="81" t="str">
        <f>if(isblank(K426),"",vlookup(K426,Pacing!$A$1:$Z$213,7))</f>
        <v>Activity</v>
      </c>
      <c r="G426" s="81" t="str">
        <f>if(isblank(L426),"",vlookup(L426,Pacing!$A$1:$Z$213,7))</f>
        <v>Activity</v>
      </c>
      <c r="H426" s="81" t="str">
        <f>if(isblank(M426),"",vlookup(M426,Pacing!$A$1:$Z$213,7))</f>
        <v>Activity</v>
      </c>
      <c r="I426" s="86">
        <f t="shared" ref="I426:M426" si="451">I425</f>
        <v>71</v>
      </c>
      <c r="J426" s="86">
        <f t="shared" si="451"/>
        <v>72</v>
      </c>
      <c r="K426" s="86">
        <f t="shared" si="451"/>
        <v>73</v>
      </c>
      <c r="L426" s="86">
        <f t="shared" si="451"/>
        <v>74</v>
      </c>
      <c r="M426" s="86">
        <f t="shared" si="451"/>
        <v>75</v>
      </c>
    </row>
    <row r="427" ht="15.75" customHeight="1">
      <c r="A427" s="69">
        <f>B427+8</f>
        <v>168</v>
      </c>
      <c r="B427" s="69">
        <f t="shared" si="445"/>
        <v>160</v>
      </c>
      <c r="C427" s="95"/>
      <c r="D427" s="81" t="str">
        <f>if(isblank(I427),"",vlookup(I427,Pacing!$A$1:$Z$213,8))</f>
        <v>Practice Set</v>
      </c>
      <c r="E427" s="81" t="str">
        <f>if(isblank(J427),"",vlookup(J427,Pacing!$A$1:$Z$213,8))</f>
        <v>Practice Set</v>
      </c>
      <c r="F427" s="81" t="str">
        <f>if(isblank(K427),"",vlookup(K427,Pacing!$A$1:$Z$213,8))</f>
        <v>Practice Set</v>
      </c>
      <c r="G427" s="81" t="str">
        <f>if(isblank(L427),"",vlookup(L427,Pacing!$A$1:$Z$213,8))</f>
        <v>Practice Set</v>
      </c>
      <c r="H427" s="81" t="str">
        <f>if(isblank(M427),"",vlookup(M427,Pacing!$A$1:$Z$213,8))</f>
        <v>Practice Set</v>
      </c>
      <c r="I427" s="86">
        <f t="shared" ref="I427:M427" si="452">I426</f>
        <v>71</v>
      </c>
      <c r="J427" s="86">
        <f t="shared" si="452"/>
        <v>72</v>
      </c>
      <c r="K427" s="86">
        <f t="shared" si="452"/>
        <v>73</v>
      </c>
      <c r="L427" s="86">
        <f t="shared" si="452"/>
        <v>74</v>
      </c>
      <c r="M427" s="86">
        <f t="shared" si="452"/>
        <v>75</v>
      </c>
    </row>
    <row r="428" ht="15.75" customHeight="1">
      <c r="A428" s="69"/>
      <c r="B428" s="69"/>
      <c r="C428" s="71"/>
      <c r="D428" s="81" t="str">
        <f>if(isblank(I428),"",vlookup(I428,Pacing!$A$1:$Z$213,9))</f>
        <v>Extra Practice</v>
      </c>
      <c r="E428" s="81" t="str">
        <f>if(isblank(J428),"",vlookup(J428,Pacing!$A$1:$Z$213,9))</f>
        <v>Extra Practice</v>
      </c>
      <c r="F428" s="81" t="str">
        <f>if(isblank(K428),"",vlookup(K428,Pacing!$A$1:$Z$213,9))</f>
        <v>Extra Practice</v>
      </c>
      <c r="G428" s="81" t="str">
        <f>if(isblank(L428),"",vlookup(L428,Pacing!$A$1:$Z$213,9))</f>
        <v>Extra Practice</v>
      </c>
      <c r="H428" s="81" t="str">
        <f>if(isblank(M428),"",vlookup(M428,Pacing!$A$1:$Z$213,9))</f>
        <v>Extra Practice</v>
      </c>
      <c r="I428" s="86">
        <f t="shared" ref="I428:M428" si="453">I427</f>
        <v>71</v>
      </c>
      <c r="J428" s="86">
        <f t="shared" si="453"/>
        <v>72</v>
      </c>
      <c r="K428" s="86">
        <f t="shared" si="453"/>
        <v>73</v>
      </c>
      <c r="L428" s="86">
        <f t="shared" si="453"/>
        <v>74</v>
      </c>
      <c r="M428" s="86">
        <f t="shared" si="453"/>
        <v>75</v>
      </c>
    </row>
    <row r="429" ht="15.75" customHeight="1">
      <c r="A429" s="69"/>
      <c r="B429" s="69"/>
      <c r="C429" s="71"/>
      <c r="D429" s="81" t="str">
        <f>if(isblank(I429),"",vlookup(I429,Pacing!$A$1:$Z$213,10))</f>
        <v>CYU</v>
      </c>
      <c r="E429" s="81" t="str">
        <f>if(isblank(J429),"",vlookup(J429,Pacing!$A$1:$Z$213,10))</f>
        <v>CYU</v>
      </c>
      <c r="F429" s="81" t="str">
        <f>if(isblank(K429),"",vlookup(K429,Pacing!$A$1:$Z$213,10))</f>
        <v>CYU</v>
      </c>
      <c r="G429" s="81" t="str">
        <f>if(isblank(L429),"",vlookup(L429,Pacing!$A$1:$Z$213,10))</f>
        <v>CYU</v>
      </c>
      <c r="H429" s="81" t="str">
        <f>if(isblank(M429),"",vlookup(M429,Pacing!$A$1:$Z$213,10))</f>
        <v>CYU</v>
      </c>
      <c r="I429" s="86">
        <f t="shared" ref="I429:M429" si="454">I428</f>
        <v>71</v>
      </c>
      <c r="J429" s="86">
        <f t="shared" si="454"/>
        <v>72</v>
      </c>
      <c r="K429" s="86">
        <f t="shared" si="454"/>
        <v>73</v>
      </c>
      <c r="L429" s="86">
        <f t="shared" si="454"/>
        <v>74</v>
      </c>
      <c r="M429" s="86">
        <f t="shared" si="454"/>
        <v>75</v>
      </c>
    </row>
    <row r="430" ht="15.75" customHeight="1">
      <c r="A430" s="69"/>
      <c r="B430" s="69"/>
      <c r="C430" s="71"/>
      <c r="D430" s="81" t="str">
        <f>if(isblank(I430),"",vlookup(I430,Pacing!$A$1:$Z$213,11))</f>
        <v>Progress</v>
      </c>
      <c r="E430" s="81" t="str">
        <f>if(isblank(J430),"",vlookup(J430,Pacing!$A$1:$Z$213,11))</f>
        <v>Progress</v>
      </c>
      <c r="F430" s="81" t="str">
        <f>if(isblank(K430),"",vlookup(K430,Pacing!$A$1:$Z$213,11))</f>
        <v>Progress</v>
      </c>
      <c r="G430" s="81" t="str">
        <f>if(isblank(L430),"",vlookup(L430,Pacing!$A$1:$Z$213,11))</f>
        <v>Progress</v>
      </c>
      <c r="H430" s="81" t="str">
        <f>if(isblank(M430),"",vlookup(M430,Pacing!$A$1:$Z$213,11))</f>
        <v>Progress</v>
      </c>
      <c r="I430" s="86">
        <f t="shared" ref="I430:M430" si="455">I429</f>
        <v>71</v>
      </c>
      <c r="J430" s="86">
        <f t="shared" si="455"/>
        <v>72</v>
      </c>
      <c r="K430" s="86">
        <f t="shared" si="455"/>
        <v>73</v>
      </c>
      <c r="L430" s="86">
        <f t="shared" si="455"/>
        <v>74</v>
      </c>
      <c r="M430" s="86">
        <f t="shared" si="455"/>
        <v>75</v>
      </c>
    </row>
    <row r="431" ht="15.75" customHeight="1">
      <c r="A431" s="69"/>
      <c r="B431" s="69"/>
      <c r="C431" s="71"/>
      <c r="D431" s="81" t="str">
        <f>if(isblank(I431),"",vlookup(I431,Pacing!$A$1:$Z$213,12))</f>
        <v>Review</v>
      </c>
      <c r="E431" s="81" t="str">
        <f>if(isblank(J431),"",vlookup(J431,Pacing!$A$1:$Z$213,12))</f>
        <v>Review</v>
      </c>
      <c r="F431" s="81" t="str">
        <f>if(isblank(K431),"",vlookup(K431,Pacing!$A$1:$Z$213,12))</f>
        <v>Review</v>
      </c>
      <c r="G431" s="81" t="str">
        <f>if(isblank(L431),"",vlookup(L431,Pacing!$A$1:$Z$213,12))</f>
        <v>Review</v>
      </c>
      <c r="H431" s="81" t="str">
        <f>if(isblank(M431),"",vlookup(M431,Pacing!$A$1:$Z$213,12))</f>
        <v>Review</v>
      </c>
      <c r="I431" s="86">
        <f t="shared" ref="I431:M431" si="456">I430</f>
        <v>71</v>
      </c>
      <c r="J431" s="86">
        <f t="shared" si="456"/>
        <v>72</v>
      </c>
      <c r="K431" s="86">
        <f t="shared" si="456"/>
        <v>73</v>
      </c>
      <c r="L431" s="86">
        <f t="shared" si="456"/>
        <v>74</v>
      </c>
      <c r="M431" s="86">
        <f t="shared" si="456"/>
        <v>75</v>
      </c>
    </row>
    <row r="432" ht="15.75" customHeight="1">
      <c r="A432" s="69"/>
      <c r="B432" s="69"/>
      <c r="C432" s="71"/>
      <c r="D432" s="91" t="str">
        <f>if(isblank(I432),"",vlookup(I432,Pacing!$A$1:$Z$213,13))</f>
        <v/>
      </c>
      <c r="E432" s="91" t="str">
        <f>if(isblank(J432),"",vlookup(J432,Pacing!$A$1:$Z$213,13))</f>
        <v/>
      </c>
      <c r="F432" s="91" t="str">
        <f>if(isblank(K432),"",vlookup(K432,Pacing!$A$1:$Z$213,13))</f>
        <v/>
      </c>
      <c r="G432" s="91" t="str">
        <f>if(isblank(L432),"",vlookup(L432,Pacing!$A$1:$Z$213,13))</f>
        <v/>
      </c>
      <c r="H432" s="91" t="str">
        <f>if(isblank(M432),"",vlookup(M432,Pacing!$A$1:$Z$213,13))</f>
        <v/>
      </c>
      <c r="I432" s="86">
        <f t="shared" ref="I432:M432" si="457">I431</f>
        <v>71</v>
      </c>
      <c r="J432" s="86">
        <f t="shared" si="457"/>
        <v>72</v>
      </c>
      <c r="K432" s="86">
        <f t="shared" si="457"/>
        <v>73</v>
      </c>
      <c r="L432" s="86">
        <f t="shared" si="457"/>
        <v>74</v>
      </c>
      <c r="M432" s="86">
        <f t="shared" si="457"/>
        <v>75</v>
      </c>
    </row>
    <row r="433" ht="15.75" customHeight="1">
      <c r="A433" s="69"/>
      <c r="B433" s="69"/>
      <c r="C433" s="71"/>
      <c r="D433" s="81" t="str">
        <f>if(isblank(I433),"",vlookup(I433,Pacing!$A$1:$Z$213,14))</f>
        <v>Notes Teacher</v>
      </c>
      <c r="E433" s="81" t="str">
        <f>if(isblank(J433),"",vlookup(J433,Pacing!$A$1:$Z$213,14))</f>
        <v>Notes Teacher</v>
      </c>
      <c r="F433" s="81" t="str">
        <f>if(isblank(K433),"",vlookup(K433,Pacing!$A$1:$Z$213,14))</f>
        <v>Notes Teacher</v>
      </c>
      <c r="G433" s="81" t="str">
        <f>if(isblank(L433),"",vlookup(L433,Pacing!$A$1:$Z$213,14))</f>
        <v>Notes Teacher</v>
      </c>
      <c r="H433" s="81" t="str">
        <f>if(isblank(M433),"",vlookup(M433,Pacing!$A$1:$Z$213,14))</f>
        <v>Notes Teacher</v>
      </c>
      <c r="I433" s="86">
        <f t="shared" ref="I433:M433" si="458">I432</f>
        <v>71</v>
      </c>
      <c r="J433" s="86">
        <f t="shared" si="458"/>
        <v>72</v>
      </c>
      <c r="K433" s="86">
        <f t="shared" si="458"/>
        <v>73</v>
      </c>
      <c r="L433" s="86">
        <f t="shared" si="458"/>
        <v>74</v>
      </c>
      <c r="M433" s="86">
        <f t="shared" si="458"/>
        <v>75</v>
      </c>
    </row>
    <row r="434" ht="15.75" customHeight="1">
      <c r="A434" s="69"/>
      <c r="B434" s="69"/>
      <c r="C434" s="71"/>
      <c r="D434" s="81" t="str">
        <f>if(isblank(I434),"",vlookup(I434,Pacing!$A$1:$Z$213,15))</f>
        <v>Demo Teacher</v>
      </c>
      <c r="E434" s="81" t="str">
        <f>if(isblank(J434),"",vlookup(J434,Pacing!$A$1:$Z$213,15))</f>
        <v>Demo Teacher</v>
      </c>
      <c r="F434" s="81" t="str">
        <f>if(isblank(K434),"",vlookup(K434,Pacing!$A$1:$Z$213,15))</f>
        <v>Demo Teacher</v>
      </c>
      <c r="G434" s="81" t="str">
        <f>if(isblank(L434),"",vlookup(L434,Pacing!$A$1:$Z$213,15))</f>
        <v>Demo Teacher</v>
      </c>
      <c r="H434" s="81" t="str">
        <f>if(isblank(M434),"",vlookup(M434,Pacing!$A$1:$Z$213,15))</f>
        <v>Demo Teacher</v>
      </c>
      <c r="I434" s="86">
        <f t="shared" ref="I434:M434" si="459">I433</f>
        <v>71</v>
      </c>
      <c r="J434" s="86">
        <f t="shared" si="459"/>
        <v>72</v>
      </c>
      <c r="K434" s="86">
        <f t="shared" si="459"/>
        <v>73</v>
      </c>
      <c r="L434" s="86">
        <f t="shared" si="459"/>
        <v>74</v>
      </c>
      <c r="M434" s="86">
        <f t="shared" si="459"/>
        <v>75</v>
      </c>
    </row>
    <row r="435" ht="15.75" customHeight="1">
      <c r="A435" s="69"/>
      <c r="B435" s="69"/>
      <c r="C435" s="71"/>
      <c r="D435" s="81" t="str">
        <f>if(isblank(I435),"",vlookup(I435,Pacing!$A$1:$Z$213,16))</f>
        <v>Invest Teacher</v>
      </c>
      <c r="E435" s="81" t="str">
        <f>if(isblank(J435),"",vlookup(J435,Pacing!$A$1:$Z$213,16))</f>
        <v>Invest Teacher</v>
      </c>
      <c r="F435" s="81" t="str">
        <f>if(isblank(K435),"",vlookup(K435,Pacing!$A$1:$Z$213,16))</f>
        <v>Invest Teacher</v>
      </c>
      <c r="G435" s="81" t="str">
        <f>if(isblank(L435),"",vlookup(L435,Pacing!$A$1:$Z$213,16))</f>
        <v>Invest Teacher</v>
      </c>
      <c r="H435" s="81" t="str">
        <f>if(isblank(M435),"",vlookup(M435,Pacing!$A$1:$Z$213,16))</f>
        <v>Invest Teacher</v>
      </c>
      <c r="I435" s="86">
        <f t="shared" ref="I435:M435" si="460">I434</f>
        <v>71</v>
      </c>
      <c r="J435" s="86">
        <f t="shared" si="460"/>
        <v>72</v>
      </c>
      <c r="K435" s="86">
        <f t="shared" si="460"/>
        <v>73</v>
      </c>
      <c r="L435" s="86">
        <f t="shared" si="460"/>
        <v>74</v>
      </c>
      <c r="M435" s="86">
        <f t="shared" si="460"/>
        <v>75</v>
      </c>
    </row>
    <row r="436" ht="15.75" customHeight="1">
      <c r="A436" s="69"/>
      <c r="B436" s="69"/>
      <c r="C436" s="71"/>
      <c r="D436" s="81" t="str">
        <f>if(isblank(I436),"",vlookup(I436,Pacing!$A$1:$Z$213,17))</f>
        <v>PT Teacher</v>
      </c>
      <c r="E436" s="81" t="str">
        <f>if(isblank(J436),"",vlookup(J436,Pacing!$A$1:$Z$213,17))</f>
        <v>PT Teacher</v>
      </c>
      <c r="F436" s="81" t="str">
        <f>if(isblank(K436),"",vlookup(K436,Pacing!$A$1:$Z$213,17))</f>
        <v>PT Teacher</v>
      </c>
      <c r="G436" s="81" t="str">
        <f>if(isblank(L436),"",vlookup(L436,Pacing!$A$1:$Z$213,17))</f>
        <v>PT Teacher</v>
      </c>
      <c r="H436" s="81" t="str">
        <f>if(isblank(M436),"",vlookup(M436,Pacing!$A$1:$Z$213,17))</f>
        <v>PT Teacher</v>
      </c>
      <c r="I436" s="86">
        <f t="shared" ref="I436:M436" si="461">I435</f>
        <v>71</v>
      </c>
      <c r="J436" s="86">
        <f t="shared" si="461"/>
        <v>72</v>
      </c>
      <c r="K436" s="86">
        <f t="shared" si="461"/>
        <v>73</v>
      </c>
      <c r="L436" s="86">
        <f t="shared" si="461"/>
        <v>74</v>
      </c>
      <c r="M436" s="86">
        <f t="shared" si="461"/>
        <v>75</v>
      </c>
    </row>
    <row r="437" ht="15.75" customHeight="1">
      <c r="A437" s="69"/>
      <c r="B437" s="69"/>
      <c r="C437" s="71"/>
      <c r="D437" s="81" t="str">
        <f>if(isblank(I437),"",vlookup(I437,Pacing!$A$1:$Z$213,18))</f>
        <v>Assess Plan</v>
      </c>
      <c r="E437" s="81" t="str">
        <f>if(isblank(J437),"",vlookup(J437,Pacing!$A$1:$Z$213,18))</f>
        <v>Assess Plan</v>
      </c>
      <c r="F437" s="81" t="str">
        <f>if(isblank(K437),"",vlookup(K437,Pacing!$A$1:$Z$213,18))</f>
        <v>Assess Plan</v>
      </c>
      <c r="G437" s="81" t="str">
        <f>if(isblank(L437),"",vlookup(L437,Pacing!$A$1:$Z$213,18))</f>
        <v>Assess Plan</v>
      </c>
      <c r="H437" s="81" t="str">
        <f>if(isblank(M437),"",vlookup(M437,Pacing!$A$1:$Z$213,18))</f>
        <v>Assess Plan</v>
      </c>
      <c r="I437" s="86">
        <f t="shared" ref="I437:M437" si="462">I436</f>
        <v>71</v>
      </c>
      <c r="J437" s="86">
        <f t="shared" si="462"/>
        <v>72</v>
      </c>
      <c r="K437" s="86">
        <f t="shared" si="462"/>
        <v>73</v>
      </c>
      <c r="L437" s="86">
        <f t="shared" si="462"/>
        <v>74</v>
      </c>
      <c r="M437" s="86">
        <f t="shared" si="462"/>
        <v>75</v>
      </c>
    </row>
    <row r="438" ht="15.75" customHeight="1">
      <c r="A438" s="69"/>
      <c r="B438" s="69"/>
      <c r="C438" s="71"/>
      <c r="D438" s="81" t="str">
        <f>if(isblank(I438),"",vlookup(I438,Pacing!$A$1:$Z$213,19))</f>
        <v>Perform Task</v>
      </c>
      <c r="E438" s="81" t="str">
        <f>if(isblank(J438),"",vlookup(J438,Pacing!$A$1:$Z$213,19))</f>
        <v>Perform Task</v>
      </c>
      <c r="F438" s="81" t="str">
        <f>if(isblank(K438),"",vlookup(K438,Pacing!$A$1:$Z$213,19))</f>
        <v>Perform Task</v>
      </c>
      <c r="G438" s="81" t="str">
        <f>if(isblank(L438),"",vlookup(L438,Pacing!$A$1:$Z$213,19))</f>
        <v>Perform Task</v>
      </c>
      <c r="H438" s="81" t="str">
        <f>if(isblank(M438),"",vlookup(M438,Pacing!$A$1:$Z$213,19))</f>
        <v>Perform Task</v>
      </c>
      <c r="I438" s="86">
        <f t="shared" ref="I438:M438" si="463">I437</f>
        <v>71</v>
      </c>
      <c r="J438" s="86">
        <f t="shared" si="463"/>
        <v>72</v>
      </c>
      <c r="K438" s="86">
        <f t="shared" si="463"/>
        <v>73</v>
      </c>
      <c r="L438" s="86">
        <f t="shared" si="463"/>
        <v>74</v>
      </c>
      <c r="M438" s="86">
        <f t="shared" si="463"/>
        <v>75</v>
      </c>
    </row>
    <row r="439" ht="15.75" customHeight="1">
      <c r="A439" s="69"/>
      <c r="B439" s="69"/>
      <c r="C439" s="71"/>
      <c r="D439" s="81" t="str">
        <f>if(isblank(I439),"",vlookup(I439,Pacing!$A$1:$Z$213,20))</f>
        <v>Quick Check</v>
      </c>
      <c r="E439" s="81" t="str">
        <f>if(isblank(J439),"",vlookup(J439,Pacing!$A$1:$Z$213,20))</f>
        <v>Quick Check</v>
      </c>
      <c r="F439" s="81" t="str">
        <f>if(isblank(K439),"",vlookup(K439,Pacing!$A$1:$Z$213,20))</f>
        <v>Quick Check</v>
      </c>
      <c r="G439" s="81" t="str">
        <f>if(isblank(L439),"",vlookup(L439,Pacing!$A$1:$Z$213,20))</f>
        <v>Quick Check</v>
      </c>
      <c r="H439" s="81" t="str">
        <f>if(isblank(M439),"",vlookup(M439,Pacing!$A$1:$Z$213,20))</f>
        <v>Quick Check</v>
      </c>
      <c r="I439" s="86">
        <f t="shared" ref="I439:M439" si="464">I438</f>
        <v>71</v>
      </c>
      <c r="J439" s="86">
        <f t="shared" si="464"/>
        <v>72</v>
      </c>
      <c r="K439" s="86">
        <f t="shared" si="464"/>
        <v>73</v>
      </c>
      <c r="L439" s="86">
        <f t="shared" si="464"/>
        <v>74</v>
      </c>
      <c r="M439" s="86">
        <f t="shared" si="464"/>
        <v>75</v>
      </c>
    </row>
    <row r="440" ht="15.75" customHeight="1">
      <c r="A440" s="69"/>
      <c r="B440" s="69"/>
      <c r="C440" s="71"/>
      <c r="D440" s="81" t="str">
        <f>if(isblank(I440),"",vlookup(I440,Pacing!$A$1:$Z$213,21))</f>
        <v>Exit Ticket</v>
      </c>
      <c r="E440" s="81" t="str">
        <f>if(isblank(J440),"",vlookup(J440,Pacing!$A$1:$Z$213,21))</f>
        <v>Exit Ticket</v>
      </c>
      <c r="F440" s="81" t="str">
        <f>if(isblank(K440),"",vlookup(K440,Pacing!$A$1:$Z$213,21))</f>
        <v>Exit Ticket</v>
      </c>
      <c r="G440" s="81" t="str">
        <f>if(isblank(L440),"",vlookup(L440,Pacing!$A$1:$Z$213,21))</f>
        <v>Exit Ticket</v>
      </c>
      <c r="H440" s="81" t="str">
        <f>if(isblank(M440),"",vlookup(M440,Pacing!$A$1:$Z$213,21))</f>
        <v>Exit Ticket</v>
      </c>
      <c r="I440" s="86">
        <f t="shared" ref="I440:M440" si="465">I439</f>
        <v>71</v>
      </c>
      <c r="J440" s="86">
        <f t="shared" si="465"/>
        <v>72</v>
      </c>
      <c r="K440" s="86">
        <f t="shared" si="465"/>
        <v>73</v>
      </c>
      <c r="L440" s="86">
        <f t="shared" si="465"/>
        <v>74</v>
      </c>
      <c r="M440" s="86">
        <f t="shared" si="465"/>
        <v>75</v>
      </c>
    </row>
    <row r="441" ht="15.75" customHeight="1">
      <c r="A441" s="69"/>
      <c r="B441" s="69"/>
      <c r="C441" s="71"/>
      <c r="D441" s="81" t="str">
        <f>if(isblank(I441),"",vlookup(I441,Pacing!$A$1:$Z$213,22))</f>
        <v>Practice 2</v>
      </c>
      <c r="E441" s="81" t="str">
        <f>if(isblank(J441),"",vlookup(J441,Pacing!$A$1:$Z$213,22))</f>
        <v>Practice 2</v>
      </c>
      <c r="F441" s="81" t="str">
        <f>if(isblank(K441),"",vlookup(K441,Pacing!$A$1:$Z$213,22))</f>
        <v>Practice 2</v>
      </c>
      <c r="G441" s="81" t="str">
        <f>if(isblank(L441),"",vlookup(L441,Pacing!$A$1:$Z$213,22))</f>
        <v>Practice 2</v>
      </c>
      <c r="H441" s="81" t="str">
        <f>if(isblank(M441),"",vlookup(M441,Pacing!$A$1:$Z$213,22))</f>
        <v>Practice 2</v>
      </c>
      <c r="I441" s="86">
        <f t="shared" ref="I441:M441" si="466">I440</f>
        <v>71</v>
      </c>
      <c r="J441" s="86">
        <f t="shared" si="466"/>
        <v>72</v>
      </c>
      <c r="K441" s="86">
        <f t="shared" si="466"/>
        <v>73</v>
      </c>
      <c r="L441" s="86">
        <f t="shared" si="466"/>
        <v>74</v>
      </c>
      <c r="M441" s="86">
        <f t="shared" si="466"/>
        <v>75</v>
      </c>
    </row>
    <row r="442" ht="15.75" customHeight="1">
      <c r="A442" s="69"/>
      <c r="B442" s="69"/>
      <c r="C442" s="71"/>
      <c r="D442" s="81" t="str">
        <f>if(isblank(I442),"",vlookup(I442,Pacing!$A$1:$Z$213,23))</f>
        <v>Practice 3</v>
      </c>
      <c r="E442" s="81" t="str">
        <f>if(isblank(J442),"",vlookup(J442,Pacing!$A$1:$Z$213,23))</f>
        <v>Practice 3</v>
      </c>
      <c r="F442" s="81" t="str">
        <f>if(isblank(K442),"",vlookup(K442,Pacing!$A$1:$Z$213,23))</f>
        <v>Practice 3</v>
      </c>
      <c r="G442" s="81" t="str">
        <f>if(isblank(L442),"",vlookup(L442,Pacing!$A$1:$Z$213,23))</f>
        <v>Practice 3</v>
      </c>
      <c r="H442" s="81" t="str">
        <f>if(isblank(M442),"",vlookup(M442,Pacing!$A$1:$Z$213,23))</f>
        <v>Practice 3</v>
      </c>
      <c r="I442" s="86">
        <f t="shared" ref="I442:M442" si="467">I441</f>
        <v>71</v>
      </c>
      <c r="J442" s="86">
        <f t="shared" si="467"/>
        <v>72</v>
      </c>
      <c r="K442" s="86">
        <f t="shared" si="467"/>
        <v>73</v>
      </c>
      <c r="L442" s="86">
        <f t="shared" si="467"/>
        <v>74</v>
      </c>
      <c r="M442" s="86">
        <f t="shared" si="467"/>
        <v>75</v>
      </c>
    </row>
    <row r="443" ht="15.75" customHeight="1">
      <c r="A443" s="69"/>
      <c r="B443" s="69"/>
      <c r="C443" s="71"/>
      <c r="D443" s="81" t="str">
        <f>if(isblank(I443),"",vlookup(I443,Pacing!$A$1:$Z$213,24))</f>
        <v>Sum Assess</v>
      </c>
      <c r="E443" s="81" t="str">
        <f>if(isblank(J443),"",vlookup(J443,Pacing!$A$1:$Z$213,24))</f>
        <v>Sum Assess</v>
      </c>
      <c r="F443" s="81" t="str">
        <f>if(isblank(K443),"",vlookup(K443,Pacing!$A$1:$Z$213,24))</f>
        <v>Sum Assess</v>
      </c>
      <c r="G443" s="81" t="str">
        <f>if(isblank(L443),"",vlookup(L443,Pacing!$A$1:$Z$213,24))</f>
        <v>Sum Assess</v>
      </c>
      <c r="H443" s="81" t="str">
        <f>if(isblank(M443),"",vlookup(M443,Pacing!$A$1:$Z$213,24))</f>
        <v>Sum Assess</v>
      </c>
      <c r="I443" s="86">
        <f t="shared" ref="I443:M443" si="468">I442</f>
        <v>71</v>
      </c>
      <c r="J443" s="86">
        <f t="shared" si="468"/>
        <v>72</v>
      </c>
      <c r="K443" s="86">
        <f t="shared" si="468"/>
        <v>73</v>
      </c>
      <c r="L443" s="86">
        <f t="shared" si="468"/>
        <v>74</v>
      </c>
      <c r="M443" s="86">
        <f t="shared" si="468"/>
        <v>75</v>
      </c>
    </row>
    <row r="444" ht="15.75" customHeight="1">
      <c r="A444" s="69"/>
      <c r="B444" s="69"/>
      <c r="C444" s="71"/>
      <c r="D444" s="81" t="str">
        <f>if(isblank(I444),"",vlookup(I444,Pacing!$A$1:$Z$213,25))</f>
        <v>Bank</v>
      </c>
      <c r="E444" s="81" t="str">
        <f>if(isblank(J444),"",vlookup(J444,Pacing!$A$1:$Z$213,25))</f>
        <v>Bank</v>
      </c>
      <c r="F444" s="81" t="str">
        <f>if(isblank(K444),"",vlookup(K444,Pacing!$A$1:$Z$213,25))</f>
        <v>Bank</v>
      </c>
      <c r="G444" s="81" t="str">
        <f>if(isblank(L444),"",vlookup(L444,Pacing!$A$1:$Z$213,25))</f>
        <v>Bank</v>
      </c>
      <c r="H444" s="81" t="str">
        <f>if(isblank(M444),"",vlookup(M444,Pacing!$A$1:$Z$213,25))</f>
        <v>Bank</v>
      </c>
      <c r="I444" s="86">
        <f t="shared" ref="I444:M444" si="469">I443</f>
        <v>71</v>
      </c>
      <c r="J444" s="86">
        <f t="shared" si="469"/>
        <v>72</v>
      </c>
      <c r="K444" s="86">
        <f t="shared" si="469"/>
        <v>73</v>
      </c>
      <c r="L444" s="86">
        <f t="shared" si="469"/>
        <v>74</v>
      </c>
      <c r="M444" s="86">
        <f t="shared" si="469"/>
        <v>75</v>
      </c>
    </row>
    <row r="445" ht="15.75" customHeight="1">
      <c r="A445" s="69"/>
      <c r="B445" s="69"/>
      <c r="C445" s="71"/>
      <c r="D445" s="91" t="str">
        <f>if(isblank(I445),"",vlookup(I445,Pacing!$A$1:$Z$213,26))</f>
        <v/>
      </c>
      <c r="E445" s="89" t="str">
        <f>if(isblank(J445),"",vlookup(J445,Pacing!$A$1:$Z$213,26))</f>
        <v/>
      </c>
      <c r="F445" s="89" t="str">
        <f>if(isblank(K445),"",vlookup(K445,Pacing!$A$1:$Z$213,26))</f>
        <v/>
      </c>
      <c r="G445" s="89" t="str">
        <f>if(isblank(L445),"",vlookup(L445,Pacing!$A$1:$Z$213,26))</f>
        <v/>
      </c>
      <c r="H445" s="89" t="str">
        <f>if(isblank(M445),"",vlookup(M445,Pacing!$A$1:$Z$213,26))</f>
        <v/>
      </c>
      <c r="I445" s="86">
        <f t="shared" ref="I445:M445" si="470">I444</f>
        <v>71</v>
      </c>
      <c r="J445" s="86">
        <f t="shared" si="470"/>
        <v>72</v>
      </c>
      <c r="K445" s="86">
        <f t="shared" si="470"/>
        <v>73</v>
      </c>
      <c r="L445" s="86">
        <f t="shared" si="470"/>
        <v>74</v>
      </c>
      <c r="M445" s="86">
        <f t="shared" si="470"/>
        <v>75</v>
      </c>
    </row>
    <row r="446" ht="15.75" customHeight="1">
      <c r="A446" s="137"/>
      <c r="B446" s="137"/>
      <c r="C446" s="138"/>
      <c r="D446" s="139"/>
      <c r="E446" s="139"/>
      <c r="F446" s="139"/>
      <c r="G446" s="139"/>
      <c r="H446" s="139"/>
      <c r="I446" s="55" t="str">
        <f t="shared" ref="I446:M446" si="471">D446</f>
        <v/>
      </c>
      <c r="J446" s="55" t="str">
        <f t="shared" si="471"/>
        <v/>
      </c>
      <c r="K446" s="55" t="str">
        <f t="shared" si="471"/>
        <v/>
      </c>
      <c r="L446" s="55" t="str">
        <f t="shared" si="471"/>
        <v/>
      </c>
      <c r="M446" s="55" t="str">
        <f t="shared" si="471"/>
        <v/>
      </c>
    </row>
    <row r="447" ht="15.75" customHeight="1">
      <c r="A447" s="69">
        <f>B447+1</f>
        <v>171</v>
      </c>
      <c r="B447" s="69">
        <f t="shared" ref="B447:B454" si="473">$C$447*10</f>
        <v>170</v>
      </c>
      <c r="C447" s="71">
        <f>C420+1</f>
        <v>17</v>
      </c>
      <c r="D447" s="74">
        <f>D420+7</f>
        <v>46377</v>
      </c>
      <c r="E447" s="74">
        <f t="shared" ref="E447:H447" si="472">D447+1</f>
        <v>46378</v>
      </c>
      <c r="F447" s="74">
        <f t="shared" si="472"/>
        <v>46379</v>
      </c>
      <c r="G447" s="74">
        <f t="shared" si="472"/>
        <v>46380</v>
      </c>
      <c r="H447" s="74">
        <f t="shared" si="472"/>
        <v>46381</v>
      </c>
      <c r="I447" s="62" t="s">
        <v>42</v>
      </c>
    </row>
    <row r="448" ht="15.75" customHeight="1">
      <c r="A448" s="75">
        <f>B448+2</f>
        <v>172</v>
      </c>
      <c r="B448" s="75">
        <f t="shared" si="473"/>
        <v>170</v>
      </c>
      <c r="C448" s="76"/>
      <c r="D448" s="77" t="str">
        <f>if(isblank(I448),"",vlookup(I448,Pacing!$A$1:$Z$213,2))</f>
        <v/>
      </c>
      <c r="E448" s="77" t="str">
        <f>if(isblank(J448),"",vlookup(J448,Pacing!$A$1:$Z$213,2))</f>
        <v/>
      </c>
      <c r="F448" s="77" t="str">
        <f>if(isblank(K448),"",vlookup(K448,Pacing!$A$1:$Z$213,2))</f>
        <v/>
      </c>
      <c r="G448" s="77" t="str">
        <f>if(isblank(L448),"",vlookup(L448,Pacing!$A$1:$Z$213,2))</f>
        <v/>
      </c>
      <c r="H448" s="77" t="str">
        <f>if(isblank(M448),"",vlookup(M448,Pacing!$A$1:$Z$213,2))</f>
        <v/>
      </c>
      <c r="I448" s="78" t="str">
        <f t="shared" ref="I448:M448" si="474">I446</f>
        <v/>
      </c>
      <c r="J448" s="78" t="str">
        <f t="shared" si="474"/>
        <v/>
      </c>
      <c r="K448" s="78" t="str">
        <f t="shared" si="474"/>
        <v/>
      </c>
      <c r="L448" s="78" t="str">
        <f t="shared" si="474"/>
        <v/>
      </c>
      <c r="M448" s="78" t="str">
        <f t="shared" si="474"/>
        <v/>
      </c>
    </row>
    <row r="449" ht="15.75" customHeight="1">
      <c r="A449" s="69">
        <f>B449+3</f>
        <v>173</v>
      </c>
      <c r="B449" s="69">
        <f t="shared" si="473"/>
        <v>170</v>
      </c>
      <c r="C449" s="76"/>
      <c r="D449" s="129" t="str">
        <f>if(isblank(I449),"",vlookup(I449,Pacing!$A$1:$Z$213,3))</f>
        <v/>
      </c>
      <c r="E449" s="85" t="str">
        <f>if(isblank(J449),"",vlookup(J449,Pacing!$A$1:$Z$213,3))</f>
        <v/>
      </c>
      <c r="F449" s="85" t="str">
        <f>if(isblank(K449),"",vlookup(K449,Pacing!$A$1:$Z$213,3))</f>
        <v/>
      </c>
      <c r="G449" s="85" t="str">
        <f>if(isblank(L449),"",vlookup(L449,Pacing!$A$1:$Z$213,3))</f>
        <v/>
      </c>
      <c r="H449" s="85" t="str">
        <f>if(isblank(M449),"",vlookup(M449,Pacing!$A$1:$Z$213,3))</f>
        <v/>
      </c>
      <c r="I449" s="86" t="str">
        <f t="shared" ref="I449:M449" si="475">I448</f>
        <v/>
      </c>
      <c r="J449" s="86" t="str">
        <f t="shared" si="475"/>
        <v/>
      </c>
      <c r="K449" s="86" t="str">
        <f t="shared" si="475"/>
        <v/>
      </c>
      <c r="L449" s="86" t="str">
        <f t="shared" si="475"/>
        <v/>
      </c>
      <c r="M449" s="86" t="str">
        <f t="shared" si="475"/>
        <v/>
      </c>
    </row>
    <row r="450" ht="15.75" customHeight="1">
      <c r="A450" s="69">
        <f>B450+4</f>
        <v>174</v>
      </c>
      <c r="B450" s="69">
        <f t="shared" si="473"/>
        <v>170</v>
      </c>
      <c r="C450" s="76"/>
      <c r="D450" s="129" t="str">
        <f>if(isblank(I450),"",vlookup(I450,Pacing!$A$1:$Z$213,4))</f>
        <v/>
      </c>
      <c r="E450" s="85" t="str">
        <f>if(isblank(J450),"",vlookup(J450,Pacing!$A$1:$Z$213,4))</f>
        <v/>
      </c>
      <c r="F450" s="85" t="str">
        <f>if(isblank(K450),"",vlookup(K450,Pacing!$A$1:$Z$213,4))</f>
        <v/>
      </c>
      <c r="G450" s="85" t="str">
        <f>if(isblank(L450),"",vlookup(L450,Pacing!$A$1:$Z$213,4))</f>
        <v/>
      </c>
      <c r="H450" s="85" t="str">
        <f>if(isblank(M450),"",vlookup(M450,Pacing!$A$1:$Z$213,4))</f>
        <v/>
      </c>
      <c r="I450" s="86" t="str">
        <f t="shared" ref="I450:M450" si="476">I449</f>
        <v/>
      </c>
      <c r="J450" s="86" t="str">
        <f t="shared" si="476"/>
        <v/>
      </c>
      <c r="K450" s="86" t="str">
        <f t="shared" si="476"/>
        <v/>
      </c>
      <c r="L450" s="86" t="str">
        <f t="shared" si="476"/>
        <v/>
      </c>
      <c r="M450" s="86" t="str">
        <f t="shared" si="476"/>
        <v/>
      </c>
    </row>
    <row r="451" ht="15.75" customHeight="1">
      <c r="A451" s="69">
        <f>B451+5</f>
        <v>175</v>
      </c>
      <c r="B451" s="69">
        <f t="shared" si="473"/>
        <v>170</v>
      </c>
      <c r="C451" s="76"/>
      <c r="D451" s="129" t="str">
        <f>if(isblank(I451),"",vlookup(I451,Pacing!$A$1:$Z$213,5))</f>
        <v/>
      </c>
      <c r="E451" s="85" t="str">
        <f>if(isblank(J451),"",vlookup(J451,Pacing!$A$1:$Z$213,5))</f>
        <v/>
      </c>
      <c r="F451" s="85" t="str">
        <f>if(isblank(K451),"",vlookup(K451,Pacing!$A$1:$Z$213,5))</f>
        <v/>
      </c>
      <c r="G451" s="85" t="str">
        <f>if(isblank(L451),"",vlookup(L451,Pacing!$A$1:$Z$213,5))</f>
        <v/>
      </c>
      <c r="H451" s="85" t="str">
        <f>if(isblank(M451),"",vlookup(M451,Pacing!$A$1:$Z$213,5))</f>
        <v/>
      </c>
      <c r="I451" s="86" t="str">
        <f t="shared" ref="I451:M451" si="477">I450</f>
        <v/>
      </c>
      <c r="J451" s="86" t="str">
        <f t="shared" si="477"/>
        <v/>
      </c>
      <c r="K451" s="86" t="str">
        <f t="shared" si="477"/>
        <v/>
      </c>
      <c r="L451" s="86" t="str">
        <f t="shared" si="477"/>
        <v/>
      </c>
      <c r="M451" s="86" t="str">
        <f t="shared" si="477"/>
        <v/>
      </c>
    </row>
    <row r="452" ht="15.75" customHeight="1">
      <c r="A452" s="69">
        <f>B452+6</f>
        <v>176</v>
      </c>
      <c r="B452" s="69">
        <f t="shared" si="473"/>
        <v>170</v>
      </c>
      <c r="C452" s="76"/>
      <c r="D452" s="129" t="str">
        <f>if(isblank(I452),"",vlookup(I452,Pacing!$A$1:$Z$213,6))</f>
        <v/>
      </c>
      <c r="E452" s="85" t="str">
        <f>if(isblank(J452),"",vlookup(J452,Pacing!$A$1:$Z$213,6))</f>
        <v/>
      </c>
      <c r="F452" s="85" t="str">
        <f>if(isblank(K452),"",vlookup(K452,Pacing!$A$1:$Z$213,6))</f>
        <v/>
      </c>
      <c r="G452" s="85" t="str">
        <f>if(isblank(L452),"",vlookup(L452,Pacing!$A$1:$Z$213,6))</f>
        <v/>
      </c>
      <c r="H452" s="85" t="str">
        <f>if(isblank(M452),"",vlookup(M452,Pacing!$A$1:$Z$213,6))</f>
        <v/>
      </c>
      <c r="I452" s="86" t="str">
        <f t="shared" ref="I452:M452" si="478">I451</f>
        <v/>
      </c>
      <c r="J452" s="86" t="str">
        <f t="shared" si="478"/>
        <v/>
      </c>
      <c r="K452" s="86" t="str">
        <f t="shared" si="478"/>
        <v/>
      </c>
      <c r="L452" s="86" t="str">
        <f t="shared" si="478"/>
        <v/>
      </c>
      <c r="M452" s="86" t="str">
        <f t="shared" si="478"/>
        <v/>
      </c>
    </row>
    <row r="453" ht="15.75" customHeight="1">
      <c r="A453" s="69">
        <f>B453+7</f>
        <v>177</v>
      </c>
      <c r="B453" s="69">
        <f t="shared" si="473"/>
        <v>170</v>
      </c>
      <c r="C453" s="76"/>
      <c r="D453" s="129" t="str">
        <f>if(isblank(I453),"",vlookup(I453,Pacing!$A$1:$Z$213,7))</f>
        <v/>
      </c>
      <c r="E453" s="85" t="str">
        <f>if(isblank(J453),"",vlookup(J453,Pacing!$A$1:$Z$213,7))</f>
        <v/>
      </c>
      <c r="F453" s="85" t="str">
        <f>if(isblank(K453),"",vlookup(K453,Pacing!$A$1:$Z$213,7))</f>
        <v/>
      </c>
      <c r="G453" s="85" t="str">
        <f>if(isblank(L453),"",vlookup(L453,Pacing!$A$1:$Z$213,7))</f>
        <v/>
      </c>
      <c r="H453" s="85" t="str">
        <f>if(isblank(M453),"",vlookup(M453,Pacing!$A$1:$Z$213,7))</f>
        <v/>
      </c>
      <c r="I453" s="86" t="str">
        <f t="shared" ref="I453:M453" si="479">I452</f>
        <v/>
      </c>
      <c r="J453" s="86" t="str">
        <f t="shared" si="479"/>
        <v/>
      </c>
      <c r="K453" s="86" t="str">
        <f t="shared" si="479"/>
        <v/>
      </c>
      <c r="L453" s="86" t="str">
        <f t="shared" si="479"/>
        <v/>
      </c>
      <c r="M453" s="86" t="str">
        <f t="shared" si="479"/>
        <v/>
      </c>
    </row>
    <row r="454" ht="15.75" customHeight="1">
      <c r="A454" s="69">
        <f>B454+8</f>
        <v>178</v>
      </c>
      <c r="B454" s="69">
        <f t="shared" si="473"/>
        <v>170</v>
      </c>
      <c r="C454" s="95"/>
      <c r="D454" s="129" t="str">
        <f>if(isblank(I454),"",vlookup(I454,Pacing!$A$1:$Z$213,8))</f>
        <v/>
      </c>
      <c r="E454" s="85" t="str">
        <f>if(isblank(J454),"",vlookup(J454,Pacing!$A$1:$Z$213,8))</f>
        <v/>
      </c>
      <c r="F454" s="85" t="str">
        <f>if(isblank(K454),"",vlookup(K454,Pacing!$A$1:$Z$213,8))</f>
        <v/>
      </c>
      <c r="G454" s="85" t="str">
        <f>if(isblank(L454),"",vlookup(L454,Pacing!$A$1:$Z$213,8))</f>
        <v/>
      </c>
      <c r="H454" s="85" t="str">
        <f>if(isblank(M454),"",vlookup(M454,Pacing!$A$1:$Z$213,8))</f>
        <v/>
      </c>
      <c r="I454" s="86" t="str">
        <f t="shared" ref="I454:M454" si="480">I453</f>
        <v/>
      </c>
      <c r="J454" s="86" t="str">
        <f t="shared" si="480"/>
        <v/>
      </c>
      <c r="K454" s="86" t="str">
        <f t="shared" si="480"/>
        <v/>
      </c>
      <c r="L454" s="86" t="str">
        <f t="shared" si="480"/>
        <v/>
      </c>
      <c r="M454" s="86" t="str">
        <f t="shared" si="480"/>
        <v/>
      </c>
    </row>
    <row r="455" ht="15.75" customHeight="1">
      <c r="A455" s="69"/>
      <c r="B455" s="69"/>
      <c r="C455" s="71"/>
      <c r="D455" s="129" t="str">
        <f>if(isblank(I455),"",vlookup(I455,Pacing!$A$1:$Z$213,9))</f>
        <v/>
      </c>
      <c r="E455" s="85" t="str">
        <f>if(isblank(J455),"",vlookup(J455,Pacing!$A$1:$Z$213,9))</f>
        <v/>
      </c>
      <c r="F455" s="85" t="str">
        <f>if(isblank(K455),"",vlookup(K455,Pacing!$A$1:$Z$213,9))</f>
        <v/>
      </c>
      <c r="G455" s="85" t="str">
        <f>if(isblank(L455),"",vlookup(L455,Pacing!$A$1:$Z$213,9))</f>
        <v/>
      </c>
      <c r="H455" s="85" t="str">
        <f>if(isblank(M455),"",vlookup(M455,Pacing!$A$1:$Z$213,9))</f>
        <v/>
      </c>
      <c r="I455" s="86" t="str">
        <f t="shared" ref="I455:M455" si="481">I454</f>
        <v/>
      </c>
      <c r="J455" s="86" t="str">
        <f t="shared" si="481"/>
        <v/>
      </c>
      <c r="K455" s="86" t="str">
        <f t="shared" si="481"/>
        <v/>
      </c>
      <c r="L455" s="86" t="str">
        <f t="shared" si="481"/>
        <v/>
      </c>
      <c r="M455" s="86" t="str">
        <f t="shared" si="481"/>
        <v/>
      </c>
    </row>
    <row r="456" ht="15.75" customHeight="1">
      <c r="A456" s="69"/>
      <c r="B456" s="69"/>
      <c r="C456" s="71"/>
      <c r="D456" s="129" t="str">
        <f>if(isblank(I456),"",vlookup(I456,Pacing!$A$1:$Z$213,10))</f>
        <v/>
      </c>
      <c r="E456" s="85" t="str">
        <f>if(isblank(J456),"",vlookup(J456,Pacing!$A$1:$Z$213,10))</f>
        <v/>
      </c>
      <c r="F456" s="85" t="str">
        <f>if(isblank(K456),"",vlookup(K456,Pacing!$A$1:$Z$213,10))</f>
        <v/>
      </c>
      <c r="G456" s="85" t="str">
        <f>if(isblank(L456),"",vlookup(L456,Pacing!$A$1:$Z$213,10))</f>
        <v/>
      </c>
      <c r="H456" s="85" t="str">
        <f>if(isblank(M456),"",vlookup(M456,Pacing!$A$1:$Z$213,10))</f>
        <v/>
      </c>
      <c r="I456" s="86" t="str">
        <f t="shared" ref="I456:M456" si="482">I455</f>
        <v/>
      </c>
      <c r="J456" s="86" t="str">
        <f t="shared" si="482"/>
        <v/>
      </c>
      <c r="K456" s="86" t="str">
        <f t="shared" si="482"/>
        <v/>
      </c>
      <c r="L456" s="86" t="str">
        <f t="shared" si="482"/>
        <v/>
      </c>
      <c r="M456" s="86" t="str">
        <f t="shared" si="482"/>
        <v/>
      </c>
    </row>
    <row r="457" ht="15.75" customHeight="1">
      <c r="A457" s="69"/>
      <c r="B457" s="69"/>
      <c r="C457" s="71"/>
      <c r="D457" s="129" t="str">
        <f>if(isblank(I457),"",vlookup(I457,Pacing!$A$1:$Z$213,11))</f>
        <v/>
      </c>
      <c r="E457" s="85" t="str">
        <f>if(isblank(J457),"",vlookup(J457,Pacing!$A$1:$Z$213,11))</f>
        <v/>
      </c>
      <c r="F457" s="85" t="str">
        <f>if(isblank(K457),"",vlookup(K457,Pacing!$A$1:$Z$213,11))</f>
        <v/>
      </c>
      <c r="G457" s="85" t="str">
        <f>if(isblank(L457),"",vlookup(L457,Pacing!$A$1:$Z$213,11))</f>
        <v/>
      </c>
      <c r="H457" s="85" t="str">
        <f>if(isblank(M457),"",vlookup(M457,Pacing!$A$1:$Z$213,11))</f>
        <v/>
      </c>
      <c r="I457" s="86" t="str">
        <f t="shared" ref="I457:M457" si="483">I456</f>
        <v/>
      </c>
      <c r="J457" s="86" t="str">
        <f t="shared" si="483"/>
        <v/>
      </c>
      <c r="K457" s="86" t="str">
        <f t="shared" si="483"/>
        <v/>
      </c>
      <c r="L457" s="86" t="str">
        <f t="shared" si="483"/>
        <v/>
      </c>
      <c r="M457" s="86" t="str">
        <f t="shared" si="483"/>
        <v/>
      </c>
    </row>
    <row r="458" ht="15.75" customHeight="1">
      <c r="A458" s="69"/>
      <c r="B458" s="69"/>
      <c r="C458" s="71"/>
      <c r="D458" s="129" t="str">
        <f>if(isblank(I458),"",vlookup(I458,Pacing!$A$1:$Z$213,12))</f>
        <v/>
      </c>
      <c r="E458" s="129" t="str">
        <f>if(isblank(J458),"",vlookup(J458,Pacing!$A$1:$Z$213,12))</f>
        <v/>
      </c>
      <c r="F458" s="129" t="str">
        <f>if(isblank(K458),"",vlookup(K458,Pacing!$A$1:$Z$213,12))</f>
        <v/>
      </c>
      <c r="G458" s="129" t="str">
        <f>if(isblank(L458),"",vlookup(L458,Pacing!$A$1:$Z$213,12))</f>
        <v/>
      </c>
      <c r="H458" s="129" t="str">
        <f>if(isblank(M458),"",vlookup(M458,Pacing!$A$1:$Z$213,12))</f>
        <v/>
      </c>
      <c r="I458" s="86" t="str">
        <f t="shared" ref="I458:M458" si="484">I457</f>
        <v/>
      </c>
      <c r="J458" s="86" t="str">
        <f t="shared" si="484"/>
        <v/>
      </c>
      <c r="K458" s="86" t="str">
        <f t="shared" si="484"/>
        <v/>
      </c>
      <c r="L458" s="86" t="str">
        <f t="shared" si="484"/>
        <v/>
      </c>
      <c r="M458" s="86" t="str">
        <f t="shared" si="484"/>
        <v/>
      </c>
    </row>
    <row r="459" ht="15.75" customHeight="1">
      <c r="A459" s="69"/>
      <c r="B459" s="69"/>
      <c r="C459" s="71"/>
      <c r="D459" s="129" t="str">
        <f>if(isblank(I459),"",vlookup(I459,Pacing!$A$1:$Z$213,13))</f>
        <v/>
      </c>
      <c r="E459" s="129" t="str">
        <f>if(isblank(J459),"",vlookup(J459,Pacing!$A$1:$Z$213,13))</f>
        <v/>
      </c>
      <c r="F459" s="129" t="str">
        <f>if(isblank(K459),"",vlookup(K459,Pacing!$A$1:$Z$213,13))</f>
        <v/>
      </c>
      <c r="G459" s="129" t="str">
        <f>if(isblank(L459),"",vlookup(L459,Pacing!$A$1:$Z$213,13))</f>
        <v/>
      </c>
      <c r="H459" s="129" t="str">
        <f>if(isblank(M459),"",vlookup(M459,Pacing!$A$1:$Z$213,13))</f>
        <v/>
      </c>
      <c r="I459" s="86" t="str">
        <f t="shared" ref="I459:M459" si="485">I458</f>
        <v/>
      </c>
      <c r="J459" s="86" t="str">
        <f t="shared" si="485"/>
        <v/>
      </c>
      <c r="K459" s="86" t="str">
        <f t="shared" si="485"/>
        <v/>
      </c>
      <c r="L459" s="86" t="str">
        <f t="shared" si="485"/>
        <v/>
      </c>
      <c r="M459" s="86" t="str">
        <f t="shared" si="485"/>
        <v/>
      </c>
    </row>
    <row r="460" ht="15.75" customHeight="1">
      <c r="A460" s="69"/>
      <c r="B460" s="69"/>
      <c r="C460" s="71"/>
      <c r="D460" s="129" t="str">
        <f>if(isblank(I460),"",vlookup(I460,Pacing!$A$1:$Z$213,14))</f>
        <v/>
      </c>
      <c r="E460" s="85" t="str">
        <f>if(isblank(J460),"",vlookup(J460,Pacing!$A$1:$Z$213,14))</f>
        <v/>
      </c>
      <c r="F460" s="85" t="str">
        <f>if(isblank(K460),"",vlookup(K460,Pacing!$A$1:$Z$213,14))</f>
        <v/>
      </c>
      <c r="G460" s="85" t="str">
        <f>if(isblank(L460),"",vlookup(L460,Pacing!$A$1:$Z$213,14))</f>
        <v/>
      </c>
      <c r="H460" s="85" t="str">
        <f>if(isblank(M460),"",vlookup(M460,Pacing!$A$1:$Z$213,14))</f>
        <v/>
      </c>
      <c r="I460" s="86" t="str">
        <f t="shared" ref="I460:M460" si="486">I459</f>
        <v/>
      </c>
      <c r="J460" s="86" t="str">
        <f t="shared" si="486"/>
        <v/>
      </c>
      <c r="K460" s="86" t="str">
        <f t="shared" si="486"/>
        <v/>
      </c>
      <c r="L460" s="86" t="str">
        <f t="shared" si="486"/>
        <v/>
      </c>
      <c r="M460" s="86" t="str">
        <f t="shared" si="486"/>
        <v/>
      </c>
    </row>
    <row r="461" ht="15.75" customHeight="1">
      <c r="A461" s="69"/>
      <c r="B461" s="69"/>
      <c r="C461" s="71"/>
      <c r="D461" s="129" t="str">
        <f>if(isblank(I461),"",vlookup(I461,Pacing!$A$1:$Z$213,15))</f>
        <v/>
      </c>
      <c r="E461" s="85" t="str">
        <f>if(isblank(J461),"",vlookup(J461,Pacing!$A$1:$Z$213,15))</f>
        <v/>
      </c>
      <c r="F461" s="85" t="str">
        <f>if(isblank(K461),"",vlookup(K461,Pacing!$A$1:$Z$213,15))</f>
        <v/>
      </c>
      <c r="G461" s="85" t="str">
        <f>if(isblank(L461),"",vlookup(L461,Pacing!$A$1:$Z$213,15))</f>
        <v/>
      </c>
      <c r="H461" s="85" t="str">
        <f>if(isblank(M461),"",vlookup(M461,Pacing!$A$1:$Z$213,15))</f>
        <v/>
      </c>
      <c r="I461" s="86" t="str">
        <f t="shared" ref="I461:M461" si="487">I460</f>
        <v/>
      </c>
      <c r="J461" s="86" t="str">
        <f t="shared" si="487"/>
        <v/>
      </c>
      <c r="K461" s="86" t="str">
        <f t="shared" si="487"/>
        <v/>
      </c>
      <c r="L461" s="86" t="str">
        <f t="shared" si="487"/>
        <v/>
      </c>
      <c r="M461" s="86" t="str">
        <f t="shared" si="487"/>
        <v/>
      </c>
    </row>
    <row r="462" ht="15.75" customHeight="1">
      <c r="A462" s="69"/>
      <c r="B462" s="69"/>
      <c r="C462" s="71"/>
      <c r="D462" s="129" t="str">
        <f>if(isblank(I462),"",vlookup(I462,Pacing!$A$1:$Z$213,16))</f>
        <v/>
      </c>
      <c r="E462" s="85" t="str">
        <f>if(isblank(J462),"",vlookup(J462,Pacing!$A$1:$Z$213,16))</f>
        <v/>
      </c>
      <c r="F462" s="85" t="str">
        <f>if(isblank(K462),"",vlookup(K462,Pacing!$A$1:$Z$213,16))</f>
        <v/>
      </c>
      <c r="G462" s="85" t="str">
        <f>if(isblank(L462),"",vlookup(L462,Pacing!$A$1:$Z$213,16))</f>
        <v/>
      </c>
      <c r="H462" s="85" t="str">
        <f>if(isblank(M462),"",vlookup(M462,Pacing!$A$1:$Z$213,16))</f>
        <v/>
      </c>
      <c r="I462" s="86" t="str">
        <f t="shared" ref="I462:M462" si="488">I461</f>
        <v/>
      </c>
      <c r="J462" s="86" t="str">
        <f t="shared" si="488"/>
        <v/>
      </c>
      <c r="K462" s="86" t="str">
        <f t="shared" si="488"/>
        <v/>
      </c>
      <c r="L462" s="86" t="str">
        <f t="shared" si="488"/>
        <v/>
      </c>
      <c r="M462" s="86" t="str">
        <f t="shared" si="488"/>
        <v/>
      </c>
    </row>
    <row r="463" ht="15.75" customHeight="1">
      <c r="A463" s="69"/>
      <c r="B463" s="69"/>
      <c r="C463" s="71"/>
      <c r="D463" s="129" t="str">
        <f>if(isblank(I463),"",vlookup(I463,Pacing!$A$1:$Z$213,17))</f>
        <v/>
      </c>
      <c r="E463" s="85" t="str">
        <f>if(isblank(J463),"",vlookup(J463,Pacing!$A$1:$Z$213,17))</f>
        <v/>
      </c>
      <c r="F463" s="85" t="str">
        <f>if(isblank(K463),"",vlookup(K463,Pacing!$A$1:$Z$213,17))</f>
        <v/>
      </c>
      <c r="G463" s="85" t="str">
        <f>if(isblank(L463),"",vlookup(L463,Pacing!$A$1:$Z$213,17))</f>
        <v/>
      </c>
      <c r="H463" s="85" t="str">
        <f>if(isblank(M463),"",vlookup(M463,Pacing!$A$1:$Z$213,17))</f>
        <v/>
      </c>
      <c r="I463" s="86" t="str">
        <f t="shared" ref="I463:M463" si="489">I462</f>
        <v/>
      </c>
      <c r="J463" s="86" t="str">
        <f t="shared" si="489"/>
        <v/>
      </c>
      <c r="K463" s="86" t="str">
        <f t="shared" si="489"/>
        <v/>
      </c>
      <c r="L463" s="86" t="str">
        <f t="shared" si="489"/>
        <v/>
      </c>
      <c r="M463" s="86" t="str">
        <f t="shared" si="489"/>
        <v/>
      </c>
    </row>
    <row r="464" ht="15.75" customHeight="1">
      <c r="A464" s="69"/>
      <c r="B464" s="69"/>
      <c r="C464" s="71"/>
      <c r="D464" s="129" t="str">
        <f>if(isblank(I464),"",vlookup(I464,Pacing!$A$1:$Z$213,18))</f>
        <v/>
      </c>
      <c r="E464" s="129" t="str">
        <f>if(isblank(J464),"",vlookup(J464,Pacing!$A$1:$Z$213,18))</f>
        <v/>
      </c>
      <c r="F464" s="129" t="str">
        <f>if(isblank(K464),"",vlookup(K464,Pacing!$A$1:$Z$213,18))</f>
        <v/>
      </c>
      <c r="G464" s="129" t="str">
        <f>if(isblank(L464),"",vlookup(L464,Pacing!$A$1:$Z$213,18))</f>
        <v/>
      </c>
      <c r="H464" s="129" t="str">
        <f>if(isblank(M464),"",vlookup(M464,Pacing!$A$1:$Z$213,18))</f>
        <v/>
      </c>
      <c r="I464" s="86" t="str">
        <f t="shared" ref="I464:M464" si="490">I463</f>
        <v/>
      </c>
      <c r="J464" s="86" t="str">
        <f t="shared" si="490"/>
        <v/>
      </c>
      <c r="K464" s="86" t="str">
        <f t="shared" si="490"/>
        <v/>
      </c>
      <c r="L464" s="86" t="str">
        <f t="shared" si="490"/>
        <v/>
      </c>
      <c r="M464" s="86" t="str">
        <f t="shared" si="490"/>
        <v/>
      </c>
    </row>
    <row r="465" ht="15.75" customHeight="1">
      <c r="A465" s="69"/>
      <c r="B465" s="69"/>
      <c r="C465" s="71"/>
      <c r="D465" s="129" t="str">
        <f>if(isblank(I465),"",vlookup(I465,Pacing!$A$1:$Z$213,19))</f>
        <v/>
      </c>
      <c r="E465" s="85" t="str">
        <f>if(isblank(J465),"",vlookup(J465,Pacing!$A$1:$Z$213,19))</f>
        <v/>
      </c>
      <c r="F465" s="85" t="str">
        <f>if(isblank(K465),"",vlookup(K465,Pacing!$A$1:$Z$213,19))</f>
        <v/>
      </c>
      <c r="G465" s="85" t="str">
        <f>if(isblank(L465),"",vlookup(L465,Pacing!$A$1:$Z$213,19))</f>
        <v/>
      </c>
      <c r="H465" s="85" t="str">
        <f>if(isblank(M465),"",vlookup(M465,Pacing!$A$1:$Z$213,19))</f>
        <v/>
      </c>
      <c r="I465" s="86" t="str">
        <f t="shared" ref="I465:M465" si="491">I464</f>
        <v/>
      </c>
      <c r="J465" s="86" t="str">
        <f t="shared" si="491"/>
        <v/>
      </c>
      <c r="K465" s="86" t="str">
        <f t="shared" si="491"/>
        <v/>
      </c>
      <c r="L465" s="86" t="str">
        <f t="shared" si="491"/>
        <v/>
      </c>
      <c r="M465" s="86" t="str">
        <f t="shared" si="491"/>
        <v/>
      </c>
    </row>
    <row r="466" ht="15.75" customHeight="1">
      <c r="A466" s="69"/>
      <c r="B466" s="69"/>
      <c r="C466" s="71"/>
      <c r="D466" s="129" t="str">
        <f>if(isblank(I466),"",vlookup(I466,Pacing!$A$1:$Z$213,20))</f>
        <v/>
      </c>
      <c r="E466" s="85" t="str">
        <f>if(isblank(J466),"",vlookup(J466,Pacing!$A$1:$Z$213,20))</f>
        <v/>
      </c>
      <c r="F466" s="85" t="str">
        <f>if(isblank(K466),"",vlookup(K466,Pacing!$A$1:$Z$213,20))</f>
        <v/>
      </c>
      <c r="G466" s="85" t="str">
        <f>if(isblank(L466),"",vlookup(L466,Pacing!$A$1:$Z$213,20))</f>
        <v/>
      </c>
      <c r="H466" s="85" t="str">
        <f>if(isblank(M466),"",vlookup(M466,Pacing!$A$1:$Z$213,20))</f>
        <v/>
      </c>
      <c r="I466" s="86" t="str">
        <f t="shared" ref="I466:M466" si="492">I465</f>
        <v/>
      </c>
      <c r="J466" s="86" t="str">
        <f t="shared" si="492"/>
        <v/>
      </c>
      <c r="K466" s="86" t="str">
        <f t="shared" si="492"/>
        <v/>
      </c>
      <c r="L466" s="86" t="str">
        <f t="shared" si="492"/>
        <v/>
      </c>
      <c r="M466" s="86" t="str">
        <f t="shared" si="492"/>
        <v/>
      </c>
    </row>
    <row r="467" ht="15.75" customHeight="1">
      <c r="A467" s="69"/>
      <c r="B467" s="69"/>
      <c r="C467" s="71"/>
      <c r="D467" s="129" t="str">
        <f>if(isblank(I467),"",vlookup(I467,Pacing!$A$1:$Z$213,21))</f>
        <v/>
      </c>
      <c r="E467" s="85" t="str">
        <f>if(isblank(J467),"",vlookup(J467,Pacing!$A$1:$Z$213,21))</f>
        <v/>
      </c>
      <c r="F467" s="85" t="str">
        <f>if(isblank(K467),"",vlookup(K467,Pacing!$A$1:$Z$213,21))</f>
        <v/>
      </c>
      <c r="G467" s="85" t="str">
        <f>if(isblank(L467),"",vlookup(L467,Pacing!$A$1:$Z$213,21))</f>
        <v/>
      </c>
      <c r="H467" s="85" t="str">
        <f>if(isblank(M467),"",vlookup(M467,Pacing!$A$1:$Z$213,21))</f>
        <v/>
      </c>
      <c r="I467" s="86" t="str">
        <f t="shared" ref="I467:M467" si="493">I466</f>
        <v/>
      </c>
      <c r="J467" s="86" t="str">
        <f t="shared" si="493"/>
        <v/>
      </c>
      <c r="K467" s="86" t="str">
        <f t="shared" si="493"/>
        <v/>
      </c>
      <c r="L467" s="86" t="str">
        <f t="shared" si="493"/>
        <v/>
      </c>
      <c r="M467" s="86" t="str">
        <f t="shared" si="493"/>
        <v/>
      </c>
    </row>
    <row r="468" ht="15.75" customHeight="1">
      <c r="A468" s="69"/>
      <c r="B468" s="69"/>
      <c r="C468" s="71"/>
      <c r="D468" s="129" t="str">
        <f>if(isblank(I468),"",vlookup(I468,Pacing!$A$1:$Z$213,22))</f>
        <v/>
      </c>
      <c r="E468" s="129" t="str">
        <f>if(isblank(J468),"",vlookup(J468,Pacing!$A$1:$Z$213,22))</f>
        <v/>
      </c>
      <c r="F468" s="129" t="str">
        <f>if(isblank(K468),"",vlookup(K468,Pacing!$A$1:$Z$213,22))</f>
        <v/>
      </c>
      <c r="G468" s="129" t="str">
        <f>if(isblank(L468),"",vlookup(L468,Pacing!$A$1:$Z$213,22))</f>
        <v/>
      </c>
      <c r="H468" s="129" t="str">
        <f>if(isblank(M468),"",vlookup(M468,Pacing!$A$1:$Z$213,22))</f>
        <v/>
      </c>
      <c r="I468" s="86" t="str">
        <f t="shared" ref="I468:M468" si="494">I467</f>
        <v/>
      </c>
      <c r="J468" s="86" t="str">
        <f t="shared" si="494"/>
        <v/>
      </c>
      <c r="K468" s="86" t="str">
        <f t="shared" si="494"/>
        <v/>
      </c>
      <c r="L468" s="86" t="str">
        <f t="shared" si="494"/>
        <v/>
      </c>
      <c r="M468" s="86" t="str">
        <f t="shared" si="494"/>
        <v/>
      </c>
    </row>
    <row r="469" ht="15.75" customHeight="1">
      <c r="A469" s="69"/>
      <c r="B469" s="69"/>
      <c r="C469" s="71"/>
      <c r="D469" s="129" t="str">
        <f>if(isblank(I469),"",vlookup(I469,Pacing!$A$1:$Z$213,23))</f>
        <v/>
      </c>
      <c r="E469" s="85" t="str">
        <f>if(isblank(J469),"",vlookup(J469,Pacing!$A$1:$Z$213,23))</f>
        <v/>
      </c>
      <c r="F469" s="85" t="str">
        <f>if(isblank(K469),"",vlookup(K469,Pacing!$A$1:$Z$213,23))</f>
        <v/>
      </c>
      <c r="G469" s="85" t="str">
        <f>if(isblank(L469),"",vlookup(L469,Pacing!$A$1:$Z$213,23))</f>
        <v/>
      </c>
      <c r="H469" s="85" t="str">
        <f>if(isblank(M469),"",vlookup(M469,Pacing!$A$1:$Z$213,23))</f>
        <v/>
      </c>
      <c r="I469" s="86" t="str">
        <f t="shared" ref="I469:M469" si="495">I468</f>
        <v/>
      </c>
      <c r="J469" s="86" t="str">
        <f t="shared" si="495"/>
        <v/>
      </c>
      <c r="K469" s="86" t="str">
        <f t="shared" si="495"/>
        <v/>
      </c>
      <c r="L469" s="86" t="str">
        <f t="shared" si="495"/>
        <v/>
      </c>
      <c r="M469" s="86" t="str">
        <f t="shared" si="495"/>
        <v/>
      </c>
    </row>
    <row r="470" ht="15.75" customHeight="1">
      <c r="A470" s="69"/>
      <c r="B470" s="69"/>
      <c r="C470" s="71"/>
      <c r="D470" s="129" t="str">
        <f>if(isblank(I470),"",vlookup(I470,Pacing!$A$1:$Z$213,24))</f>
        <v/>
      </c>
      <c r="E470" s="85" t="str">
        <f>if(isblank(J470),"",vlookup(J470,Pacing!$A$1:$Z$213,24))</f>
        <v/>
      </c>
      <c r="F470" s="85" t="str">
        <f>if(isblank(K470),"",vlookup(K470,Pacing!$A$1:$Z$213,24))</f>
        <v/>
      </c>
      <c r="G470" s="85" t="str">
        <f>if(isblank(L470),"",vlookup(L470,Pacing!$A$1:$Z$213,24))</f>
        <v/>
      </c>
      <c r="H470" s="85" t="str">
        <f>if(isblank(M470),"",vlookup(M470,Pacing!$A$1:$Z$213,24))</f>
        <v/>
      </c>
      <c r="I470" s="86" t="str">
        <f t="shared" ref="I470:M470" si="496">I469</f>
        <v/>
      </c>
      <c r="J470" s="86" t="str">
        <f t="shared" si="496"/>
        <v/>
      </c>
      <c r="K470" s="86" t="str">
        <f t="shared" si="496"/>
        <v/>
      </c>
      <c r="L470" s="86" t="str">
        <f t="shared" si="496"/>
        <v/>
      </c>
      <c r="M470" s="86" t="str">
        <f t="shared" si="496"/>
        <v/>
      </c>
    </row>
    <row r="471" ht="15.75" customHeight="1">
      <c r="A471" s="69"/>
      <c r="B471" s="69"/>
      <c r="C471" s="71"/>
      <c r="D471" s="129" t="str">
        <f>if(isblank(I471),"",vlookup(I471,Pacing!$A$1:$Z$213,25))</f>
        <v/>
      </c>
      <c r="E471" s="85" t="str">
        <f>if(isblank(J471),"",vlookup(J471,Pacing!$A$1:$Z$213,25))</f>
        <v/>
      </c>
      <c r="F471" s="85" t="str">
        <f>if(isblank(K471),"",vlookup(K471,Pacing!$A$1:$Z$213,25))</f>
        <v/>
      </c>
      <c r="G471" s="85" t="str">
        <f>if(isblank(L471),"",vlookup(L471,Pacing!$A$1:$Z$213,25))</f>
        <v/>
      </c>
      <c r="H471" s="85" t="str">
        <f>if(isblank(M471),"",vlookup(M471,Pacing!$A$1:$Z$213,25))</f>
        <v/>
      </c>
      <c r="I471" s="86" t="str">
        <f t="shared" ref="I471:M471" si="497">I470</f>
        <v/>
      </c>
      <c r="J471" s="86" t="str">
        <f t="shared" si="497"/>
        <v/>
      </c>
      <c r="K471" s="86" t="str">
        <f t="shared" si="497"/>
        <v/>
      </c>
      <c r="L471" s="86" t="str">
        <f t="shared" si="497"/>
        <v/>
      </c>
      <c r="M471" s="86" t="str">
        <f t="shared" si="497"/>
        <v/>
      </c>
    </row>
    <row r="472" ht="15.75" customHeight="1">
      <c r="A472" s="69"/>
      <c r="B472" s="69"/>
      <c r="C472" s="71"/>
      <c r="D472" s="129" t="str">
        <f>if(isblank(I472),"",vlookup(I472,Pacing!$A$1:$Z$213,26))</f>
        <v/>
      </c>
      <c r="E472" s="85" t="str">
        <f>if(isblank(J472),"",vlookup(J472,Pacing!$A$1:$Z$213,26))</f>
        <v/>
      </c>
      <c r="F472" s="85" t="str">
        <f>if(isblank(K472),"",vlookup(K472,Pacing!$A$1:$Z$213,26))</f>
        <v/>
      </c>
      <c r="G472" s="85" t="str">
        <f>if(isblank(L472),"",vlookup(L472,Pacing!$A$1:$Z$213,26))</f>
        <v/>
      </c>
      <c r="H472" s="85" t="str">
        <f>if(isblank(M472),"",vlookup(M472,Pacing!$A$1:$Z$213,26))</f>
        <v/>
      </c>
      <c r="I472" s="86" t="str">
        <f t="shared" ref="I472:M472" si="498">I471</f>
        <v/>
      </c>
      <c r="J472" s="86" t="str">
        <f t="shared" si="498"/>
        <v/>
      </c>
      <c r="K472" s="86" t="str">
        <f t="shared" si="498"/>
        <v/>
      </c>
      <c r="L472" s="86" t="str">
        <f t="shared" si="498"/>
        <v/>
      </c>
      <c r="M472" s="86" t="str">
        <f t="shared" si="498"/>
        <v/>
      </c>
    </row>
    <row r="473" ht="15.75" customHeight="1">
      <c r="A473" s="137"/>
      <c r="B473" s="137"/>
      <c r="C473" s="138"/>
      <c r="D473" s="139"/>
      <c r="E473" s="139"/>
      <c r="F473" s="139"/>
      <c r="G473" s="139"/>
      <c r="H473" s="139"/>
      <c r="I473" s="55" t="str">
        <f t="shared" ref="I473:M473" si="499">D473</f>
        <v/>
      </c>
      <c r="J473" s="55" t="str">
        <f t="shared" si="499"/>
        <v/>
      </c>
      <c r="K473" s="55" t="str">
        <f t="shared" si="499"/>
        <v/>
      </c>
      <c r="L473" s="55" t="str">
        <f t="shared" si="499"/>
        <v/>
      </c>
      <c r="M473" s="55" t="str">
        <f t="shared" si="499"/>
        <v/>
      </c>
    </row>
    <row r="474" ht="15.75" customHeight="1">
      <c r="A474" s="69">
        <f>B474+1</f>
        <v>181</v>
      </c>
      <c r="B474" s="69">
        <f t="shared" ref="B474:B481" si="501">$C$474*10</f>
        <v>180</v>
      </c>
      <c r="C474" s="71">
        <f>C447+1</f>
        <v>18</v>
      </c>
      <c r="D474" s="74">
        <f>D447+7</f>
        <v>46384</v>
      </c>
      <c r="E474" s="74">
        <f t="shared" ref="E474:H474" si="500">D474+1</f>
        <v>46385</v>
      </c>
      <c r="F474" s="74">
        <f t="shared" si="500"/>
        <v>46386</v>
      </c>
      <c r="G474" s="74">
        <f t="shared" si="500"/>
        <v>46387</v>
      </c>
      <c r="H474" s="74">
        <f t="shared" si="500"/>
        <v>46388</v>
      </c>
      <c r="I474" s="62" t="s">
        <v>42</v>
      </c>
    </row>
    <row r="475" ht="15.75" customHeight="1">
      <c r="A475" s="75">
        <f>B475+2</f>
        <v>182</v>
      </c>
      <c r="B475" s="75">
        <f t="shared" si="501"/>
        <v>180</v>
      </c>
      <c r="C475" s="76"/>
      <c r="D475" s="77" t="str">
        <f>if(isblank(I475),"",vlookup(I475,Pacing!$A$1:$Z$213,2))</f>
        <v/>
      </c>
      <c r="E475" s="77" t="str">
        <f>if(isblank(J475),"",vlookup(J475,Pacing!$A$1:$Z$213,2))</f>
        <v/>
      </c>
      <c r="F475" s="77" t="str">
        <f>if(isblank(K475),"",vlookup(K475,Pacing!$A$1:$Z$213,2))</f>
        <v/>
      </c>
      <c r="G475" s="77" t="str">
        <f>if(isblank(L475),"",vlookup(L475,Pacing!$A$1:$Z$213,2))</f>
        <v/>
      </c>
      <c r="H475" s="77" t="str">
        <f>if(isblank(M475),"",vlookup(M475,Pacing!$A$1:$Z$213,2))</f>
        <v/>
      </c>
      <c r="I475" s="78" t="str">
        <f t="shared" ref="I475:M475" si="502">I473</f>
        <v/>
      </c>
      <c r="J475" s="78" t="str">
        <f t="shared" si="502"/>
        <v/>
      </c>
      <c r="K475" s="78" t="str">
        <f t="shared" si="502"/>
        <v/>
      </c>
      <c r="L475" s="78" t="str">
        <f t="shared" si="502"/>
        <v/>
      </c>
      <c r="M475" s="78" t="str">
        <f t="shared" si="502"/>
        <v/>
      </c>
    </row>
    <row r="476" ht="15.75" customHeight="1">
      <c r="A476" s="69">
        <f>B476+3</f>
        <v>183</v>
      </c>
      <c r="B476" s="69">
        <f t="shared" si="501"/>
        <v>180</v>
      </c>
      <c r="C476" s="76"/>
      <c r="D476" s="129" t="str">
        <f>if(isblank(I476),"",vlookup(I476,Pacing!$A$1:$Z$213,3))</f>
        <v/>
      </c>
      <c r="E476" s="85" t="str">
        <f>if(isblank(J476),"",vlookup(J476,Pacing!$A$1:$Z$213,3))</f>
        <v/>
      </c>
      <c r="F476" s="85" t="str">
        <f>if(isblank(K476),"",vlookup(K476,Pacing!$A$1:$Z$213,3))</f>
        <v/>
      </c>
      <c r="G476" s="85" t="str">
        <f>if(isblank(L476),"",vlookup(L476,Pacing!$A$1:$Z$213,3))</f>
        <v/>
      </c>
      <c r="H476" s="85" t="str">
        <f>if(isblank(M476),"",vlookup(M476,Pacing!$A$1:$Z$213,3))</f>
        <v/>
      </c>
      <c r="I476" s="86" t="str">
        <f t="shared" ref="I476:M476" si="503">I475</f>
        <v/>
      </c>
      <c r="J476" s="86" t="str">
        <f t="shared" si="503"/>
        <v/>
      </c>
      <c r="K476" s="86" t="str">
        <f t="shared" si="503"/>
        <v/>
      </c>
      <c r="L476" s="86" t="str">
        <f t="shared" si="503"/>
        <v/>
      </c>
      <c r="M476" s="86" t="str">
        <f t="shared" si="503"/>
        <v/>
      </c>
    </row>
    <row r="477" ht="15.75" customHeight="1">
      <c r="A477" s="69">
        <f>B477+4</f>
        <v>184</v>
      </c>
      <c r="B477" s="69">
        <f t="shared" si="501"/>
        <v>180</v>
      </c>
      <c r="C477" s="76"/>
      <c r="D477" s="129" t="str">
        <f>if(isblank(I477),"",vlookup(I477,Pacing!$A$1:$Z$213,4))</f>
        <v/>
      </c>
      <c r="E477" s="85" t="str">
        <f>if(isblank(J477),"",vlookup(J477,Pacing!$A$1:$Z$213,4))</f>
        <v/>
      </c>
      <c r="F477" s="85" t="str">
        <f>if(isblank(K477),"",vlookup(K477,Pacing!$A$1:$Z$213,4))</f>
        <v/>
      </c>
      <c r="G477" s="85" t="str">
        <f>if(isblank(L477),"",vlookup(L477,Pacing!$A$1:$Z$213,4))</f>
        <v/>
      </c>
      <c r="H477" s="85" t="str">
        <f>if(isblank(M477),"",vlookup(M477,Pacing!$A$1:$Z$213,4))</f>
        <v/>
      </c>
      <c r="I477" s="86" t="str">
        <f t="shared" ref="I477:M477" si="504">I476</f>
        <v/>
      </c>
      <c r="J477" s="86" t="str">
        <f t="shared" si="504"/>
        <v/>
      </c>
      <c r="K477" s="86" t="str">
        <f t="shared" si="504"/>
        <v/>
      </c>
      <c r="L477" s="86" t="str">
        <f t="shared" si="504"/>
        <v/>
      </c>
      <c r="M477" s="86" t="str">
        <f t="shared" si="504"/>
        <v/>
      </c>
    </row>
    <row r="478" ht="15.75" customHeight="1">
      <c r="A478" s="69">
        <f>B478+5</f>
        <v>185</v>
      </c>
      <c r="B478" s="69">
        <f t="shared" si="501"/>
        <v>180</v>
      </c>
      <c r="C478" s="76"/>
      <c r="D478" s="129" t="str">
        <f>if(isblank(I478),"",vlookup(I478,Pacing!$A$1:$Z$213,5))</f>
        <v/>
      </c>
      <c r="E478" s="85" t="str">
        <f>if(isblank(J478),"",vlookup(J478,Pacing!$A$1:$Z$213,5))</f>
        <v/>
      </c>
      <c r="F478" s="85" t="str">
        <f>if(isblank(K478),"",vlookup(K478,Pacing!$A$1:$Z$213,5))</f>
        <v/>
      </c>
      <c r="G478" s="85" t="str">
        <f>if(isblank(L478),"",vlookup(L478,Pacing!$A$1:$Z$213,5))</f>
        <v/>
      </c>
      <c r="H478" s="85" t="str">
        <f>if(isblank(M478),"",vlookup(M478,Pacing!$A$1:$Z$213,5))</f>
        <v/>
      </c>
      <c r="I478" s="86" t="str">
        <f t="shared" ref="I478:M478" si="505">I477</f>
        <v/>
      </c>
      <c r="J478" s="86" t="str">
        <f t="shared" si="505"/>
        <v/>
      </c>
      <c r="K478" s="86" t="str">
        <f t="shared" si="505"/>
        <v/>
      </c>
      <c r="L478" s="86" t="str">
        <f t="shared" si="505"/>
        <v/>
      </c>
      <c r="M478" s="86" t="str">
        <f t="shared" si="505"/>
        <v/>
      </c>
    </row>
    <row r="479" ht="15.75" customHeight="1">
      <c r="A479" s="69">
        <f>B479+6</f>
        <v>186</v>
      </c>
      <c r="B479" s="69">
        <f t="shared" si="501"/>
        <v>180</v>
      </c>
      <c r="C479" s="76"/>
      <c r="D479" s="129" t="str">
        <f>if(isblank(I479),"",vlookup(I479,Pacing!$A$1:$Z$213,6))</f>
        <v/>
      </c>
      <c r="E479" s="85" t="str">
        <f>if(isblank(J479),"",vlookup(J479,Pacing!$A$1:$Z$213,6))</f>
        <v/>
      </c>
      <c r="F479" s="85" t="str">
        <f>if(isblank(K479),"",vlookup(K479,Pacing!$A$1:$Z$213,6))</f>
        <v/>
      </c>
      <c r="G479" s="85" t="str">
        <f>if(isblank(L479),"",vlookup(L479,Pacing!$A$1:$Z$213,6))</f>
        <v/>
      </c>
      <c r="H479" s="85" t="str">
        <f>if(isblank(M479),"",vlookup(M479,Pacing!$A$1:$Z$213,6))</f>
        <v/>
      </c>
      <c r="I479" s="86" t="str">
        <f t="shared" ref="I479:M479" si="506">I478</f>
        <v/>
      </c>
      <c r="J479" s="86" t="str">
        <f t="shared" si="506"/>
        <v/>
      </c>
      <c r="K479" s="86" t="str">
        <f t="shared" si="506"/>
        <v/>
      </c>
      <c r="L479" s="86" t="str">
        <f t="shared" si="506"/>
        <v/>
      </c>
      <c r="M479" s="86" t="str">
        <f t="shared" si="506"/>
        <v/>
      </c>
    </row>
    <row r="480" ht="15.75" customHeight="1">
      <c r="A480" s="69">
        <f>B480+7</f>
        <v>187</v>
      </c>
      <c r="B480" s="69">
        <f t="shared" si="501"/>
        <v>180</v>
      </c>
      <c r="C480" s="76"/>
      <c r="D480" s="129" t="str">
        <f>if(isblank(I480),"",vlookup(I480,Pacing!$A$1:$Z$213,7))</f>
        <v/>
      </c>
      <c r="E480" s="85" t="str">
        <f>if(isblank(J480),"",vlookup(J480,Pacing!$A$1:$Z$213,7))</f>
        <v/>
      </c>
      <c r="F480" s="85" t="str">
        <f>if(isblank(K480),"",vlookup(K480,Pacing!$A$1:$Z$213,7))</f>
        <v/>
      </c>
      <c r="G480" s="85" t="str">
        <f>if(isblank(L480),"",vlookup(L480,Pacing!$A$1:$Z$213,7))</f>
        <v/>
      </c>
      <c r="H480" s="85" t="str">
        <f>if(isblank(M480),"",vlookup(M480,Pacing!$A$1:$Z$213,7))</f>
        <v/>
      </c>
      <c r="I480" s="86" t="str">
        <f t="shared" ref="I480:M480" si="507">I479</f>
        <v/>
      </c>
      <c r="J480" s="86" t="str">
        <f t="shared" si="507"/>
        <v/>
      </c>
      <c r="K480" s="86" t="str">
        <f t="shared" si="507"/>
        <v/>
      </c>
      <c r="L480" s="86" t="str">
        <f t="shared" si="507"/>
        <v/>
      </c>
      <c r="M480" s="86" t="str">
        <f t="shared" si="507"/>
        <v/>
      </c>
    </row>
    <row r="481" ht="15.75" customHeight="1">
      <c r="A481" s="69">
        <f>B481+8</f>
        <v>188</v>
      </c>
      <c r="B481" s="69">
        <f t="shared" si="501"/>
        <v>180</v>
      </c>
      <c r="C481" s="95"/>
      <c r="D481" s="129" t="str">
        <f>if(isblank(I481),"",vlookup(I481,Pacing!$A$1:$Z$213,8))</f>
        <v/>
      </c>
      <c r="E481" s="85" t="str">
        <f>if(isblank(J481),"",vlookup(J481,Pacing!$A$1:$Z$213,8))</f>
        <v/>
      </c>
      <c r="F481" s="85" t="str">
        <f>if(isblank(K481),"",vlookup(K481,Pacing!$A$1:$Z$213,8))</f>
        <v/>
      </c>
      <c r="G481" s="85" t="str">
        <f>if(isblank(L481),"",vlookup(L481,Pacing!$A$1:$Z$213,8))</f>
        <v/>
      </c>
      <c r="H481" s="85" t="str">
        <f>if(isblank(M481),"",vlookup(M481,Pacing!$A$1:$Z$213,8))</f>
        <v/>
      </c>
      <c r="I481" s="86" t="str">
        <f t="shared" ref="I481:M481" si="508">I480</f>
        <v/>
      </c>
      <c r="J481" s="86" t="str">
        <f t="shared" si="508"/>
        <v/>
      </c>
      <c r="K481" s="86" t="str">
        <f t="shared" si="508"/>
        <v/>
      </c>
      <c r="L481" s="86" t="str">
        <f t="shared" si="508"/>
        <v/>
      </c>
      <c r="M481" s="86" t="str">
        <f t="shared" si="508"/>
        <v/>
      </c>
    </row>
    <row r="482" ht="15.75" customHeight="1">
      <c r="A482" s="69"/>
      <c r="B482" s="69"/>
      <c r="C482" s="71"/>
      <c r="D482" s="129" t="str">
        <f>if(isblank(I482),"",vlookup(I482,Pacing!$A$1:$Z$213,9))</f>
        <v/>
      </c>
      <c r="E482" s="85" t="str">
        <f>if(isblank(J482),"",vlookup(J482,Pacing!$A$1:$Z$213,9))</f>
        <v/>
      </c>
      <c r="F482" s="85" t="str">
        <f>if(isblank(K482),"",vlookup(K482,Pacing!$A$1:$Z$213,9))</f>
        <v/>
      </c>
      <c r="G482" s="85" t="str">
        <f>if(isblank(L482),"",vlookup(L482,Pacing!$A$1:$Z$213,9))</f>
        <v/>
      </c>
      <c r="H482" s="85" t="str">
        <f>if(isblank(M482),"",vlookup(M482,Pacing!$A$1:$Z$213,9))</f>
        <v/>
      </c>
      <c r="I482" s="86" t="str">
        <f t="shared" ref="I482:M482" si="509">I481</f>
        <v/>
      </c>
      <c r="J482" s="86" t="str">
        <f t="shared" si="509"/>
        <v/>
      </c>
      <c r="K482" s="86" t="str">
        <f t="shared" si="509"/>
        <v/>
      </c>
      <c r="L482" s="86" t="str">
        <f t="shared" si="509"/>
        <v/>
      </c>
      <c r="M482" s="86" t="str">
        <f t="shared" si="509"/>
        <v/>
      </c>
    </row>
    <row r="483" ht="15.75" customHeight="1">
      <c r="A483" s="69"/>
      <c r="B483" s="69"/>
      <c r="C483" s="71"/>
      <c r="D483" s="129" t="str">
        <f>if(isblank(I483),"",vlookup(I483,Pacing!$A$1:$Z$213,10))</f>
        <v/>
      </c>
      <c r="E483" s="85" t="str">
        <f>if(isblank(J483),"",vlookup(J483,Pacing!$A$1:$Z$213,10))</f>
        <v/>
      </c>
      <c r="F483" s="85" t="str">
        <f>if(isblank(K483),"",vlookup(K483,Pacing!$A$1:$Z$213,10))</f>
        <v/>
      </c>
      <c r="G483" s="85" t="str">
        <f>if(isblank(L483),"",vlookup(L483,Pacing!$A$1:$Z$213,10))</f>
        <v/>
      </c>
      <c r="H483" s="85" t="str">
        <f>if(isblank(M483),"",vlookup(M483,Pacing!$A$1:$Z$213,10))</f>
        <v/>
      </c>
      <c r="I483" s="86" t="str">
        <f t="shared" ref="I483:M483" si="510">I482</f>
        <v/>
      </c>
      <c r="J483" s="86" t="str">
        <f t="shared" si="510"/>
        <v/>
      </c>
      <c r="K483" s="86" t="str">
        <f t="shared" si="510"/>
        <v/>
      </c>
      <c r="L483" s="86" t="str">
        <f t="shared" si="510"/>
        <v/>
      </c>
      <c r="M483" s="86" t="str">
        <f t="shared" si="510"/>
        <v/>
      </c>
    </row>
    <row r="484" ht="15.75" customHeight="1">
      <c r="A484" s="69"/>
      <c r="B484" s="69"/>
      <c r="C484" s="71"/>
      <c r="D484" s="129" t="str">
        <f>if(isblank(I484),"",vlookup(I484,Pacing!$A$1:$Z$213,11))</f>
        <v/>
      </c>
      <c r="E484" s="85" t="str">
        <f>if(isblank(J484),"",vlookup(J484,Pacing!$A$1:$Z$213,11))</f>
        <v/>
      </c>
      <c r="F484" s="85" t="str">
        <f>if(isblank(K484),"",vlookup(K484,Pacing!$A$1:$Z$213,11))</f>
        <v/>
      </c>
      <c r="G484" s="85" t="str">
        <f>if(isblank(L484),"",vlookup(L484,Pacing!$A$1:$Z$213,11))</f>
        <v/>
      </c>
      <c r="H484" s="85" t="str">
        <f>if(isblank(M484),"",vlookup(M484,Pacing!$A$1:$Z$213,11))</f>
        <v/>
      </c>
      <c r="I484" s="86" t="str">
        <f t="shared" ref="I484:M484" si="511">I483</f>
        <v/>
      </c>
      <c r="J484" s="86" t="str">
        <f t="shared" si="511"/>
        <v/>
      </c>
      <c r="K484" s="86" t="str">
        <f t="shared" si="511"/>
        <v/>
      </c>
      <c r="L484" s="86" t="str">
        <f t="shared" si="511"/>
        <v/>
      </c>
      <c r="M484" s="86" t="str">
        <f t="shared" si="511"/>
        <v/>
      </c>
    </row>
    <row r="485" ht="15.75" customHeight="1">
      <c r="A485" s="69"/>
      <c r="B485" s="69"/>
      <c r="C485" s="71"/>
      <c r="D485" s="129" t="str">
        <f>if(isblank(I485),"",vlookup(I485,Pacing!$A$1:$Z$213,12))</f>
        <v/>
      </c>
      <c r="E485" s="129" t="str">
        <f>if(isblank(J485),"",vlookup(J485,Pacing!$A$1:$Z$213,12))</f>
        <v/>
      </c>
      <c r="F485" s="129" t="str">
        <f>if(isblank(K485),"",vlookup(K485,Pacing!$A$1:$Z$213,12))</f>
        <v/>
      </c>
      <c r="G485" s="129" t="str">
        <f>if(isblank(L485),"",vlookup(L485,Pacing!$A$1:$Z$213,12))</f>
        <v/>
      </c>
      <c r="H485" s="129" t="str">
        <f>if(isblank(M485),"",vlookup(M485,Pacing!$A$1:$Z$213,12))</f>
        <v/>
      </c>
      <c r="I485" s="86" t="str">
        <f t="shared" ref="I485:M485" si="512">I484</f>
        <v/>
      </c>
      <c r="J485" s="86" t="str">
        <f t="shared" si="512"/>
        <v/>
      </c>
      <c r="K485" s="86" t="str">
        <f t="shared" si="512"/>
        <v/>
      </c>
      <c r="L485" s="86" t="str">
        <f t="shared" si="512"/>
        <v/>
      </c>
      <c r="M485" s="86" t="str">
        <f t="shared" si="512"/>
        <v/>
      </c>
    </row>
    <row r="486" ht="15.75" customHeight="1">
      <c r="A486" s="69"/>
      <c r="B486" s="69"/>
      <c r="C486" s="71"/>
      <c r="D486" s="129" t="str">
        <f>if(isblank(I486),"",vlookup(I486,Pacing!$A$1:$Z$213,13))</f>
        <v/>
      </c>
      <c r="E486" s="129" t="str">
        <f>if(isblank(J486),"",vlookup(J486,Pacing!$A$1:$Z$213,13))</f>
        <v/>
      </c>
      <c r="F486" s="129" t="str">
        <f>if(isblank(K486),"",vlookup(K486,Pacing!$A$1:$Z$213,13))</f>
        <v/>
      </c>
      <c r="G486" s="129" t="str">
        <f>if(isblank(L486),"",vlookup(L486,Pacing!$A$1:$Z$213,13))</f>
        <v/>
      </c>
      <c r="H486" s="129" t="str">
        <f>if(isblank(M486),"",vlookup(M486,Pacing!$A$1:$Z$213,13))</f>
        <v/>
      </c>
      <c r="I486" s="86" t="str">
        <f t="shared" ref="I486:M486" si="513">I485</f>
        <v/>
      </c>
      <c r="J486" s="86" t="str">
        <f t="shared" si="513"/>
        <v/>
      </c>
      <c r="K486" s="86" t="str">
        <f t="shared" si="513"/>
        <v/>
      </c>
      <c r="L486" s="86" t="str">
        <f t="shared" si="513"/>
        <v/>
      </c>
      <c r="M486" s="86" t="str">
        <f t="shared" si="513"/>
        <v/>
      </c>
    </row>
    <row r="487" ht="15.75" customHeight="1">
      <c r="A487" s="69"/>
      <c r="B487" s="69"/>
      <c r="C487" s="71"/>
      <c r="D487" s="129" t="str">
        <f>if(isblank(I487),"",vlookup(I487,Pacing!$A$1:$Z$213,14))</f>
        <v/>
      </c>
      <c r="E487" s="85" t="str">
        <f>if(isblank(J487),"",vlookup(J487,Pacing!$A$1:$Z$213,14))</f>
        <v/>
      </c>
      <c r="F487" s="85" t="str">
        <f>if(isblank(K487),"",vlookup(K487,Pacing!$A$1:$Z$213,14))</f>
        <v/>
      </c>
      <c r="G487" s="85" t="str">
        <f>if(isblank(L487),"",vlookup(L487,Pacing!$A$1:$Z$213,14))</f>
        <v/>
      </c>
      <c r="H487" s="85" t="str">
        <f>if(isblank(M487),"",vlookup(M487,Pacing!$A$1:$Z$213,14))</f>
        <v/>
      </c>
      <c r="I487" s="86" t="str">
        <f t="shared" ref="I487:M487" si="514">I486</f>
        <v/>
      </c>
      <c r="J487" s="86" t="str">
        <f t="shared" si="514"/>
        <v/>
      </c>
      <c r="K487" s="86" t="str">
        <f t="shared" si="514"/>
        <v/>
      </c>
      <c r="L487" s="86" t="str">
        <f t="shared" si="514"/>
        <v/>
      </c>
      <c r="M487" s="86" t="str">
        <f t="shared" si="514"/>
        <v/>
      </c>
    </row>
    <row r="488" ht="15.75" customHeight="1">
      <c r="A488" s="69"/>
      <c r="B488" s="69"/>
      <c r="C488" s="71"/>
      <c r="D488" s="129" t="str">
        <f>if(isblank(I488),"",vlookup(I488,Pacing!$A$1:$Z$213,15))</f>
        <v/>
      </c>
      <c r="E488" s="85" t="str">
        <f>if(isblank(J488),"",vlookup(J488,Pacing!$A$1:$Z$213,15))</f>
        <v/>
      </c>
      <c r="F488" s="85" t="str">
        <f>if(isblank(K488),"",vlookup(K488,Pacing!$A$1:$Z$213,15))</f>
        <v/>
      </c>
      <c r="G488" s="85" t="str">
        <f>if(isblank(L488),"",vlookup(L488,Pacing!$A$1:$Z$213,15))</f>
        <v/>
      </c>
      <c r="H488" s="85" t="str">
        <f>if(isblank(M488),"",vlookup(M488,Pacing!$A$1:$Z$213,15))</f>
        <v/>
      </c>
      <c r="I488" s="86" t="str">
        <f t="shared" ref="I488:M488" si="515">I487</f>
        <v/>
      </c>
      <c r="J488" s="86" t="str">
        <f t="shared" si="515"/>
        <v/>
      </c>
      <c r="K488" s="86" t="str">
        <f t="shared" si="515"/>
        <v/>
      </c>
      <c r="L488" s="86" t="str">
        <f t="shared" si="515"/>
        <v/>
      </c>
      <c r="M488" s="86" t="str">
        <f t="shared" si="515"/>
        <v/>
      </c>
    </row>
    <row r="489" ht="15.75" customHeight="1">
      <c r="A489" s="69"/>
      <c r="B489" s="69"/>
      <c r="C489" s="71"/>
      <c r="D489" s="129" t="str">
        <f>if(isblank(I489),"",vlookup(I489,Pacing!$A$1:$Z$213,16))</f>
        <v/>
      </c>
      <c r="E489" s="85" t="str">
        <f>if(isblank(J489),"",vlookup(J489,Pacing!$A$1:$Z$213,16))</f>
        <v/>
      </c>
      <c r="F489" s="85" t="str">
        <f>if(isblank(K489),"",vlookup(K489,Pacing!$A$1:$Z$213,16))</f>
        <v/>
      </c>
      <c r="G489" s="85" t="str">
        <f>if(isblank(L489),"",vlookup(L489,Pacing!$A$1:$Z$213,16))</f>
        <v/>
      </c>
      <c r="H489" s="85" t="str">
        <f>if(isblank(M489),"",vlookup(M489,Pacing!$A$1:$Z$213,16))</f>
        <v/>
      </c>
      <c r="I489" s="86" t="str">
        <f t="shared" ref="I489:M489" si="516">I488</f>
        <v/>
      </c>
      <c r="J489" s="86" t="str">
        <f t="shared" si="516"/>
        <v/>
      </c>
      <c r="K489" s="86" t="str">
        <f t="shared" si="516"/>
        <v/>
      </c>
      <c r="L489" s="86" t="str">
        <f t="shared" si="516"/>
        <v/>
      </c>
      <c r="M489" s="86" t="str">
        <f t="shared" si="516"/>
        <v/>
      </c>
    </row>
    <row r="490" ht="15.75" customHeight="1">
      <c r="A490" s="69"/>
      <c r="B490" s="69"/>
      <c r="C490" s="71"/>
      <c r="D490" s="129" t="str">
        <f>if(isblank(I490),"",vlookup(I490,Pacing!$A$1:$Z$213,17))</f>
        <v/>
      </c>
      <c r="E490" s="85" t="str">
        <f>if(isblank(J490),"",vlookup(J490,Pacing!$A$1:$Z$213,17))</f>
        <v/>
      </c>
      <c r="F490" s="85" t="str">
        <f>if(isblank(K490),"",vlookup(K490,Pacing!$A$1:$Z$213,17))</f>
        <v/>
      </c>
      <c r="G490" s="85" t="str">
        <f>if(isblank(L490),"",vlookup(L490,Pacing!$A$1:$Z$213,17))</f>
        <v/>
      </c>
      <c r="H490" s="85" t="str">
        <f>if(isblank(M490),"",vlookup(M490,Pacing!$A$1:$Z$213,17))</f>
        <v/>
      </c>
      <c r="I490" s="86" t="str">
        <f t="shared" ref="I490:M490" si="517">I489</f>
        <v/>
      </c>
      <c r="J490" s="86" t="str">
        <f t="shared" si="517"/>
        <v/>
      </c>
      <c r="K490" s="86" t="str">
        <f t="shared" si="517"/>
        <v/>
      </c>
      <c r="L490" s="86" t="str">
        <f t="shared" si="517"/>
        <v/>
      </c>
      <c r="M490" s="86" t="str">
        <f t="shared" si="517"/>
        <v/>
      </c>
    </row>
    <row r="491" ht="15.75" customHeight="1">
      <c r="A491" s="69"/>
      <c r="B491" s="69"/>
      <c r="C491" s="71"/>
      <c r="D491" s="129" t="str">
        <f>if(isblank(I491),"",vlookup(I491,Pacing!$A$1:$Z$213,18))</f>
        <v/>
      </c>
      <c r="E491" s="129" t="str">
        <f>if(isblank(J491),"",vlookup(J491,Pacing!$A$1:$Z$213,18))</f>
        <v/>
      </c>
      <c r="F491" s="129" t="str">
        <f>if(isblank(K491),"",vlookup(K491,Pacing!$A$1:$Z$213,18))</f>
        <v/>
      </c>
      <c r="G491" s="129" t="str">
        <f>if(isblank(L491),"",vlookup(L491,Pacing!$A$1:$Z$213,18))</f>
        <v/>
      </c>
      <c r="H491" s="129" t="str">
        <f>if(isblank(M491),"",vlookup(M491,Pacing!$A$1:$Z$213,18))</f>
        <v/>
      </c>
      <c r="I491" s="86" t="str">
        <f t="shared" ref="I491:M491" si="518">I490</f>
        <v/>
      </c>
      <c r="J491" s="86" t="str">
        <f t="shared" si="518"/>
        <v/>
      </c>
      <c r="K491" s="86" t="str">
        <f t="shared" si="518"/>
        <v/>
      </c>
      <c r="L491" s="86" t="str">
        <f t="shared" si="518"/>
        <v/>
      </c>
      <c r="M491" s="86" t="str">
        <f t="shared" si="518"/>
        <v/>
      </c>
    </row>
    <row r="492" ht="15.75" customHeight="1">
      <c r="A492" s="69"/>
      <c r="B492" s="69"/>
      <c r="C492" s="71"/>
      <c r="D492" s="129" t="str">
        <f>if(isblank(I492),"",vlookup(I492,Pacing!$A$1:$Z$213,19))</f>
        <v/>
      </c>
      <c r="E492" s="85" t="str">
        <f>if(isblank(J492),"",vlookup(J492,Pacing!$A$1:$Z$213,19))</f>
        <v/>
      </c>
      <c r="F492" s="85" t="str">
        <f>if(isblank(K492),"",vlookup(K492,Pacing!$A$1:$Z$213,19))</f>
        <v/>
      </c>
      <c r="G492" s="85" t="str">
        <f>if(isblank(L492),"",vlookup(L492,Pacing!$A$1:$Z$213,19))</f>
        <v/>
      </c>
      <c r="H492" s="85" t="str">
        <f>if(isblank(M492),"",vlookup(M492,Pacing!$A$1:$Z$213,19))</f>
        <v/>
      </c>
      <c r="I492" s="86" t="str">
        <f t="shared" ref="I492:M492" si="519">I491</f>
        <v/>
      </c>
      <c r="J492" s="86" t="str">
        <f t="shared" si="519"/>
        <v/>
      </c>
      <c r="K492" s="86" t="str">
        <f t="shared" si="519"/>
        <v/>
      </c>
      <c r="L492" s="86" t="str">
        <f t="shared" si="519"/>
        <v/>
      </c>
      <c r="M492" s="86" t="str">
        <f t="shared" si="519"/>
        <v/>
      </c>
    </row>
    <row r="493" ht="15.75" customHeight="1">
      <c r="A493" s="69"/>
      <c r="B493" s="69"/>
      <c r="C493" s="71"/>
      <c r="D493" s="129" t="str">
        <f>if(isblank(I493),"",vlookup(I493,Pacing!$A$1:$Z$213,20))</f>
        <v/>
      </c>
      <c r="E493" s="85" t="str">
        <f>if(isblank(J493),"",vlookup(J493,Pacing!$A$1:$Z$213,20))</f>
        <v/>
      </c>
      <c r="F493" s="85" t="str">
        <f>if(isblank(K493),"",vlookup(K493,Pacing!$A$1:$Z$213,20))</f>
        <v/>
      </c>
      <c r="G493" s="85" t="str">
        <f>if(isblank(L493),"",vlookup(L493,Pacing!$A$1:$Z$213,20))</f>
        <v/>
      </c>
      <c r="H493" s="85" t="str">
        <f>if(isblank(M493),"",vlookup(M493,Pacing!$A$1:$Z$213,20))</f>
        <v/>
      </c>
      <c r="I493" s="86" t="str">
        <f t="shared" ref="I493:M493" si="520">I492</f>
        <v/>
      </c>
      <c r="J493" s="86" t="str">
        <f t="shared" si="520"/>
        <v/>
      </c>
      <c r="K493" s="86" t="str">
        <f t="shared" si="520"/>
        <v/>
      </c>
      <c r="L493" s="86" t="str">
        <f t="shared" si="520"/>
        <v/>
      </c>
      <c r="M493" s="86" t="str">
        <f t="shared" si="520"/>
        <v/>
      </c>
    </row>
    <row r="494" ht="15.75" customHeight="1">
      <c r="A494" s="69"/>
      <c r="B494" s="69"/>
      <c r="C494" s="71"/>
      <c r="D494" s="129" t="str">
        <f>if(isblank(I494),"",vlookup(I494,Pacing!$A$1:$Z$213,21))</f>
        <v/>
      </c>
      <c r="E494" s="85" t="str">
        <f>if(isblank(J494),"",vlookup(J494,Pacing!$A$1:$Z$213,21))</f>
        <v/>
      </c>
      <c r="F494" s="85" t="str">
        <f>if(isblank(K494),"",vlookup(K494,Pacing!$A$1:$Z$213,21))</f>
        <v/>
      </c>
      <c r="G494" s="85" t="str">
        <f>if(isblank(L494),"",vlookup(L494,Pacing!$A$1:$Z$213,21))</f>
        <v/>
      </c>
      <c r="H494" s="85" t="str">
        <f>if(isblank(M494),"",vlookup(M494,Pacing!$A$1:$Z$213,21))</f>
        <v/>
      </c>
      <c r="I494" s="86" t="str">
        <f t="shared" ref="I494:M494" si="521">I493</f>
        <v/>
      </c>
      <c r="J494" s="86" t="str">
        <f t="shared" si="521"/>
        <v/>
      </c>
      <c r="K494" s="86" t="str">
        <f t="shared" si="521"/>
        <v/>
      </c>
      <c r="L494" s="86" t="str">
        <f t="shared" si="521"/>
        <v/>
      </c>
      <c r="M494" s="86" t="str">
        <f t="shared" si="521"/>
        <v/>
      </c>
    </row>
    <row r="495" ht="15.75" customHeight="1">
      <c r="A495" s="69"/>
      <c r="B495" s="69"/>
      <c r="C495" s="71"/>
      <c r="D495" s="129" t="str">
        <f>if(isblank(I495),"",vlookup(I495,Pacing!$A$1:$Z$213,22))</f>
        <v/>
      </c>
      <c r="E495" s="129" t="str">
        <f>if(isblank(J495),"",vlookup(J495,Pacing!$A$1:$Z$213,22))</f>
        <v/>
      </c>
      <c r="F495" s="129" t="str">
        <f>if(isblank(K495),"",vlookup(K495,Pacing!$A$1:$Z$213,22))</f>
        <v/>
      </c>
      <c r="G495" s="129" t="str">
        <f>if(isblank(L495),"",vlookup(L495,Pacing!$A$1:$Z$213,22))</f>
        <v/>
      </c>
      <c r="H495" s="129" t="str">
        <f>if(isblank(M495),"",vlookup(M495,Pacing!$A$1:$Z$213,22))</f>
        <v/>
      </c>
      <c r="I495" s="86" t="str">
        <f t="shared" ref="I495:M495" si="522">I494</f>
        <v/>
      </c>
      <c r="J495" s="86" t="str">
        <f t="shared" si="522"/>
        <v/>
      </c>
      <c r="K495" s="86" t="str">
        <f t="shared" si="522"/>
        <v/>
      </c>
      <c r="L495" s="86" t="str">
        <f t="shared" si="522"/>
        <v/>
      </c>
      <c r="M495" s="86" t="str">
        <f t="shared" si="522"/>
        <v/>
      </c>
    </row>
    <row r="496" ht="15.75" customHeight="1">
      <c r="A496" s="69"/>
      <c r="B496" s="69"/>
      <c r="C496" s="71"/>
      <c r="D496" s="129" t="str">
        <f>if(isblank(I496),"",vlookup(I496,Pacing!$A$1:$Z$213,23))</f>
        <v/>
      </c>
      <c r="E496" s="85" t="str">
        <f>if(isblank(J496),"",vlookup(J496,Pacing!$A$1:$Z$213,23))</f>
        <v/>
      </c>
      <c r="F496" s="85" t="str">
        <f>if(isblank(K496),"",vlookup(K496,Pacing!$A$1:$Z$213,23))</f>
        <v/>
      </c>
      <c r="G496" s="85" t="str">
        <f>if(isblank(L496),"",vlookup(L496,Pacing!$A$1:$Z$213,23))</f>
        <v/>
      </c>
      <c r="H496" s="85" t="str">
        <f>if(isblank(M496),"",vlookup(M496,Pacing!$A$1:$Z$213,23))</f>
        <v/>
      </c>
      <c r="I496" s="86" t="str">
        <f t="shared" ref="I496:M496" si="523">I495</f>
        <v/>
      </c>
      <c r="J496" s="86" t="str">
        <f t="shared" si="523"/>
        <v/>
      </c>
      <c r="K496" s="86" t="str">
        <f t="shared" si="523"/>
        <v/>
      </c>
      <c r="L496" s="86" t="str">
        <f t="shared" si="523"/>
        <v/>
      </c>
      <c r="M496" s="86" t="str">
        <f t="shared" si="523"/>
        <v/>
      </c>
    </row>
    <row r="497" ht="15.75" customHeight="1">
      <c r="A497" s="69"/>
      <c r="B497" s="69"/>
      <c r="C497" s="71"/>
      <c r="D497" s="129" t="str">
        <f>if(isblank(I497),"",vlookup(I497,Pacing!$A$1:$Z$213,24))</f>
        <v/>
      </c>
      <c r="E497" s="85" t="str">
        <f>if(isblank(J497),"",vlookup(J497,Pacing!$A$1:$Z$213,24))</f>
        <v/>
      </c>
      <c r="F497" s="85" t="str">
        <f>if(isblank(K497),"",vlookup(K497,Pacing!$A$1:$Z$213,24))</f>
        <v/>
      </c>
      <c r="G497" s="85" t="str">
        <f>if(isblank(L497),"",vlookup(L497,Pacing!$A$1:$Z$213,24))</f>
        <v/>
      </c>
      <c r="H497" s="85" t="str">
        <f>if(isblank(M497),"",vlookup(M497,Pacing!$A$1:$Z$213,24))</f>
        <v/>
      </c>
      <c r="I497" s="86" t="str">
        <f t="shared" ref="I497:M497" si="524">I496</f>
        <v/>
      </c>
      <c r="J497" s="86" t="str">
        <f t="shared" si="524"/>
        <v/>
      </c>
      <c r="K497" s="86" t="str">
        <f t="shared" si="524"/>
        <v/>
      </c>
      <c r="L497" s="86" t="str">
        <f t="shared" si="524"/>
        <v/>
      </c>
      <c r="M497" s="86" t="str">
        <f t="shared" si="524"/>
        <v/>
      </c>
    </row>
    <row r="498" ht="15.75" customHeight="1">
      <c r="A498" s="69"/>
      <c r="B498" s="69"/>
      <c r="C498" s="71"/>
      <c r="D498" s="129" t="str">
        <f>if(isblank(I498),"",vlookup(I498,Pacing!$A$1:$Z$213,25))</f>
        <v/>
      </c>
      <c r="E498" s="85" t="str">
        <f>if(isblank(J498),"",vlookup(J498,Pacing!$A$1:$Z$213,25))</f>
        <v/>
      </c>
      <c r="F498" s="85" t="str">
        <f>if(isblank(K498),"",vlookup(K498,Pacing!$A$1:$Z$213,25))</f>
        <v/>
      </c>
      <c r="G498" s="85" t="str">
        <f>if(isblank(L498),"",vlookup(L498,Pacing!$A$1:$Z$213,25))</f>
        <v/>
      </c>
      <c r="H498" s="85" t="str">
        <f>if(isblank(M498),"",vlookup(M498,Pacing!$A$1:$Z$213,25))</f>
        <v/>
      </c>
      <c r="I498" s="86" t="str">
        <f t="shared" ref="I498:M498" si="525">I497</f>
        <v/>
      </c>
      <c r="J498" s="86" t="str">
        <f t="shared" si="525"/>
        <v/>
      </c>
      <c r="K498" s="86" t="str">
        <f t="shared" si="525"/>
        <v/>
      </c>
      <c r="L498" s="86" t="str">
        <f t="shared" si="525"/>
        <v/>
      </c>
      <c r="M498" s="86" t="str">
        <f t="shared" si="525"/>
        <v/>
      </c>
    </row>
    <row r="499" ht="15.75" customHeight="1">
      <c r="A499" s="69"/>
      <c r="B499" s="69"/>
      <c r="C499" s="71"/>
      <c r="D499" s="129" t="str">
        <f>if(isblank(I499),"",vlookup(I499,Pacing!$A$1:$Z$213,26))</f>
        <v/>
      </c>
      <c r="E499" s="85" t="str">
        <f>if(isblank(J499),"",vlookup(J499,Pacing!$A$1:$Z$213,26))</f>
        <v/>
      </c>
      <c r="F499" s="85" t="str">
        <f>if(isblank(K499),"",vlookup(K499,Pacing!$A$1:$Z$213,26))</f>
        <v/>
      </c>
      <c r="G499" s="85" t="str">
        <f>if(isblank(L499),"",vlookup(L499,Pacing!$A$1:$Z$213,26))</f>
        <v/>
      </c>
      <c r="H499" s="85" t="str">
        <f>if(isblank(M499),"",vlookup(M499,Pacing!$A$1:$Z$213,26))</f>
        <v/>
      </c>
      <c r="I499" s="86" t="str">
        <f t="shared" ref="I499:M499" si="526">I498</f>
        <v/>
      </c>
      <c r="J499" s="86" t="str">
        <f t="shared" si="526"/>
        <v/>
      </c>
      <c r="K499" s="86" t="str">
        <f t="shared" si="526"/>
        <v/>
      </c>
      <c r="L499" s="86" t="str">
        <f t="shared" si="526"/>
        <v/>
      </c>
      <c r="M499" s="86" t="str">
        <f t="shared" si="526"/>
        <v/>
      </c>
    </row>
    <row r="500" ht="15.75" customHeight="1">
      <c r="A500" s="137"/>
      <c r="B500" s="137"/>
      <c r="C500" s="138"/>
      <c r="D500" s="139">
        <f>H419+1</f>
        <v>76</v>
      </c>
      <c r="E500" s="139">
        <f t="shared" ref="E500:H500" si="527">D500+1</f>
        <v>77</v>
      </c>
      <c r="F500" s="139">
        <f t="shared" si="527"/>
        <v>78</v>
      </c>
      <c r="G500" s="139">
        <f t="shared" si="527"/>
        <v>79</v>
      </c>
      <c r="H500" s="139">
        <f t="shared" si="527"/>
        <v>80</v>
      </c>
      <c r="I500" s="55">
        <f t="shared" ref="I500:M500" si="528">D500</f>
        <v>76</v>
      </c>
      <c r="J500" s="55">
        <f t="shared" si="528"/>
        <v>77</v>
      </c>
      <c r="K500" s="55">
        <f t="shared" si="528"/>
        <v>78</v>
      </c>
      <c r="L500" s="55">
        <f t="shared" si="528"/>
        <v>79</v>
      </c>
      <c r="M500" s="55">
        <f t="shared" si="528"/>
        <v>80</v>
      </c>
    </row>
    <row r="501" ht="15.75" customHeight="1">
      <c r="A501" s="69">
        <f>B501+1</f>
        <v>191</v>
      </c>
      <c r="B501" s="69">
        <f t="shared" ref="B501:B508" si="530">$C$501*10</f>
        <v>190</v>
      </c>
      <c r="C501" s="71">
        <f>C474+1</f>
        <v>19</v>
      </c>
      <c r="D501" s="72">
        <f>D474+7</f>
        <v>46391</v>
      </c>
      <c r="E501" s="72">
        <f t="shared" ref="E501:H501" si="529">D501+1</f>
        <v>46392</v>
      </c>
      <c r="F501" s="72">
        <f t="shared" si="529"/>
        <v>46393</v>
      </c>
      <c r="G501" s="72">
        <f t="shared" si="529"/>
        <v>46394</v>
      </c>
      <c r="H501" s="72">
        <f t="shared" si="529"/>
        <v>46395</v>
      </c>
      <c r="I501" s="62" t="s">
        <v>42</v>
      </c>
    </row>
    <row r="502" ht="15.75" customHeight="1">
      <c r="A502" s="75">
        <f>B502+2</f>
        <v>192</v>
      </c>
      <c r="B502" s="75">
        <f t="shared" si="530"/>
        <v>190</v>
      </c>
      <c r="C502" s="76"/>
      <c r="D502" s="131" t="str">
        <f>if(isblank(I502),"",vlookup(I502,Pacing!$A$1:$Z$213,2))</f>
        <v>5.3: Sound</v>
      </c>
      <c r="E502" s="131" t="str">
        <f>if(isblank(J502),"",vlookup(J502,Pacing!$A$1:$Z$213,2))</f>
        <v>5.3: Sound</v>
      </c>
      <c r="F502" s="131" t="str">
        <f>if(isblank(K502),"",vlookup(K502,Pacing!$A$1:$Z$213,2))</f>
        <v>5.4: Refl/Refr/Res</v>
      </c>
      <c r="G502" s="131" t="str">
        <f>if(isblank(L502),"",vlookup(L502,Pacing!$A$1:$Z$213,2))</f>
        <v>5.4: Refl/Refr/Res</v>
      </c>
      <c r="H502" s="131" t="str">
        <f>if(isblank(M502),"",vlookup(M502,Pacing!$A$1:$Z$213,2))</f>
        <v>5.4: Refl/Refr/Res</v>
      </c>
      <c r="I502" s="78">
        <f t="shared" ref="I502:M502" si="531">I500</f>
        <v>76</v>
      </c>
      <c r="J502" s="78">
        <f t="shared" si="531"/>
        <v>77</v>
      </c>
      <c r="K502" s="78">
        <f t="shared" si="531"/>
        <v>78</v>
      </c>
      <c r="L502" s="78">
        <f t="shared" si="531"/>
        <v>79</v>
      </c>
      <c r="M502" s="78">
        <f t="shared" si="531"/>
        <v>80</v>
      </c>
    </row>
    <row r="503" ht="15.75" customHeight="1">
      <c r="A503" s="69">
        <f>B503+3</f>
        <v>193</v>
      </c>
      <c r="B503" s="69">
        <f t="shared" si="530"/>
        <v>190</v>
      </c>
      <c r="C503" s="76"/>
      <c r="D503" s="81" t="str">
        <f>if(isblank(I503),"",vlookup(I503,Pacing!$A$1:$Z$213,3))</f>
        <v>Warm Up</v>
      </c>
      <c r="E503" s="81" t="str">
        <f>if(isblank(J503),"",vlookup(J503,Pacing!$A$1:$Z$213,3))</f>
        <v>Warm Up</v>
      </c>
      <c r="F503" s="81" t="str">
        <f>if(isblank(K503),"",vlookup(K503,Pacing!$A$1:$Z$213,3))</f>
        <v>Warm Up</v>
      </c>
      <c r="G503" s="81" t="str">
        <f>if(isblank(L503),"",vlookup(L503,Pacing!$A$1:$Z$213,3))</f>
        <v>Warm Up</v>
      </c>
      <c r="H503" s="81" t="str">
        <f>if(isblank(M503),"",vlookup(M503,Pacing!$A$1:$Z$213,3))</f>
        <v>Warm Up</v>
      </c>
      <c r="I503" s="86">
        <f t="shared" ref="I503:M503" si="532">I502</f>
        <v>76</v>
      </c>
      <c r="J503" s="86">
        <f t="shared" si="532"/>
        <v>77</v>
      </c>
      <c r="K503" s="86">
        <f t="shared" si="532"/>
        <v>78</v>
      </c>
      <c r="L503" s="86">
        <f t="shared" si="532"/>
        <v>79</v>
      </c>
      <c r="M503" s="86">
        <f t="shared" si="532"/>
        <v>80</v>
      </c>
    </row>
    <row r="504" ht="15.75" customHeight="1">
      <c r="A504" s="69">
        <f>B504+4</f>
        <v>194</v>
      </c>
      <c r="B504" s="69">
        <f t="shared" si="530"/>
        <v>190</v>
      </c>
      <c r="C504" s="76"/>
      <c r="D504" s="81" t="str">
        <f>if(isblank(I504),"",vlookup(I504,Pacing!$A$1:$Z$213,4))</f>
        <v>Demo</v>
      </c>
      <c r="E504" s="81" t="str">
        <f>if(isblank(J504),"",vlookup(J504,Pacing!$A$1:$Z$213,4))</f>
        <v>Demo</v>
      </c>
      <c r="F504" s="81" t="str">
        <f>if(isblank(K504),"",vlookup(K504,Pacing!$A$1:$Z$213,4))</f>
        <v>Demo</v>
      </c>
      <c r="G504" s="81" t="str">
        <f>if(isblank(L504),"",vlookup(L504,Pacing!$A$1:$Z$213,4))</f>
        <v>Demo</v>
      </c>
      <c r="H504" s="81" t="str">
        <f>if(isblank(M504),"",vlookup(M504,Pacing!$A$1:$Z$213,4))</f>
        <v>Demo</v>
      </c>
      <c r="I504" s="86">
        <f t="shared" ref="I504:M504" si="533">I503</f>
        <v>76</v>
      </c>
      <c r="J504" s="86">
        <f t="shared" si="533"/>
        <v>77</v>
      </c>
      <c r="K504" s="86">
        <f t="shared" si="533"/>
        <v>78</v>
      </c>
      <c r="L504" s="86">
        <f t="shared" si="533"/>
        <v>79</v>
      </c>
      <c r="M504" s="86">
        <f t="shared" si="533"/>
        <v>80</v>
      </c>
    </row>
    <row r="505" ht="15.75" customHeight="1">
      <c r="A505" s="69">
        <f>B505+5</f>
        <v>195</v>
      </c>
      <c r="B505" s="69">
        <f t="shared" si="530"/>
        <v>190</v>
      </c>
      <c r="C505" s="76"/>
      <c r="D505" s="81" t="str">
        <f>if(isblank(I505),"",vlookup(I505,Pacing!$A$1:$Z$213,5))</f>
        <v>Notes</v>
      </c>
      <c r="E505" s="81" t="str">
        <f>if(isblank(J505),"",vlookup(J505,Pacing!$A$1:$Z$213,5))</f>
        <v>Notes</v>
      </c>
      <c r="F505" s="81" t="str">
        <f>if(isblank(K505),"",vlookup(K505,Pacing!$A$1:$Z$213,5))</f>
        <v>Notes</v>
      </c>
      <c r="G505" s="81" t="str">
        <f>if(isblank(L505),"",vlookup(L505,Pacing!$A$1:$Z$213,5))</f>
        <v>Notes</v>
      </c>
      <c r="H505" s="81" t="str">
        <f>if(isblank(M505),"",vlookup(M505,Pacing!$A$1:$Z$213,5))</f>
        <v>Notes</v>
      </c>
      <c r="I505" s="86">
        <f t="shared" ref="I505:M505" si="534">I504</f>
        <v>76</v>
      </c>
      <c r="J505" s="86">
        <f t="shared" si="534"/>
        <v>77</v>
      </c>
      <c r="K505" s="86">
        <f t="shared" si="534"/>
        <v>78</v>
      </c>
      <c r="L505" s="86">
        <f t="shared" si="534"/>
        <v>79</v>
      </c>
      <c r="M505" s="86">
        <f t="shared" si="534"/>
        <v>80</v>
      </c>
    </row>
    <row r="506" ht="15.75" customHeight="1">
      <c r="A506" s="69">
        <f>B506+6</f>
        <v>196</v>
      </c>
      <c r="B506" s="69">
        <f t="shared" si="530"/>
        <v>190</v>
      </c>
      <c r="C506" s="76"/>
      <c r="D506" s="81" t="str">
        <f>if(isblank(I506),"",vlookup(I506,Pacing!$A$1:$Z$213,6))</f>
        <v>Investigation</v>
      </c>
      <c r="E506" s="81" t="str">
        <f>if(isblank(J506),"",vlookup(J506,Pacing!$A$1:$Z$213,6))</f>
        <v>Investigation</v>
      </c>
      <c r="F506" s="81" t="str">
        <f>if(isblank(K506),"",vlookup(K506,Pacing!$A$1:$Z$213,6))</f>
        <v>Investigation</v>
      </c>
      <c r="G506" s="81" t="str">
        <f>if(isblank(L506),"",vlookup(L506,Pacing!$A$1:$Z$213,6))</f>
        <v>Investigation</v>
      </c>
      <c r="H506" s="81" t="str">
        <f>if(isblank(M506),"",vlookup(M506,Pacing!$A$1:$Z$213,6))</f>
        <v>Investigation</v>
      </c>
      <c r="I506" s="86">
        <f t="shared" ref="I506:M506" si="535">I505</f>
        <v>76</v>
      </c>
      <c r="J506" s="86">
        <f t="shared" si="535"/>
        <v>77</v>
      </c>
      <c r="K506" s="86">
        <f t="shared" si="535"/>
        <v>78</v>
      </c>
      <c r="L506" s="86">
        <f t="shared" si="535"/>
        <v>79</v>
      </c>
      <c r="M506" s="86">
        <f t="shared" si="535"/>
        <v>80</v>
      </c>
    </row>
    <row r="507" ht="15.75" customHeight="1">
      <c r="A507" s="69">
        <f>B507+7</f>
        <v>197</v>
      </c>
      <c r="B507" s="69">
        <f t="shared" si="530"/>
        <v>190</v>
      </c>
      <c r="C507" s="76"/>
      <c r="D507" s="81" t="str">
        <f>if(isblank(I507),"",vlookup(I507,Pacing!$A$1:$Z$213,7))</f>
        <v>Activity</v>
      </c>
      <c r="E507" s="81" t="str">
        <f>if(isblank(J507),"",vlookup(J507,Pacing!$A$1:$Z$213,7))</f>
        <v>Activity</v>
      </c>
      <c r="F507" s="81" t="str">
        <f>if(isblank(K507),"",vlookup(K507,Pacing!$A$1:$Z$213,7))</f>
        <v>Activity</v>
      </c>
      <c r="G507" s="81" t="str">
        <f>if(isblank(L507),"",vlookup(L507,Pacing!$A$1:$Z$213,7))</f>
        <v>Activity</v>
      </c>
      <c r="H507" s="81" t="str">
        <f>if(isblank(M507),"",vlookup(M507,Pacing!$A$1:$Z$213,7))</f>
        <v>Activity</v>
      </c>
      <c r="I507" s="86">
        <f t="shared" ref="I507:M507" si="536">I506</f>
        <v>76</v>
      </c>
      <c r="J507" s="86">
        <f t="shared" si="536"/>
        <v>77</v>
      </c>
      <c r="K507" s="86">
        <f t="shared" si="536"/>
        <v>78</v>
      </c>
      <c r="L507" s="86">
        <f t="shared" si="536"/>
        <v>79</v>
      </c>
      <c r="M507" s="86">
        <f t="shared" si="536"/>
        <v>80</v>
      </c>
    </row>
    <row r="508" ht="15.75" customHeight="1">
      <c r="A508" s="69">
        <f>B508+8</f>
        <v>198</v>
      </c>
      <c r="B508" s="69">
        <f t="shared" si="530"/>
        <v>190</v>
      </c>
      <c r="C508" s="95"/>
      <c r="D508" s="81" t="str">
        <f>if(isblank(I508),"",vlookup(I508,Pacing!$A$1:$Z$213,8))</f>
        <v>Practice Set</v>
      </c>
      <c r="E508" s="81" t="str">
        <f>if(isblank(J508),"",vlookup(J508,Pacing!$A$1:$Z$213,8))</f>
        <v>Practice Set</v>
      </c>
      <c r="F508" s="81" t="str">
        <f>if(isblank(K508),"",vlookup(K508,Pacing!$A$1:$Z$213,8))</f>
        <v>Practice Set</v>
      </c>
      <c r="G508" s="81" t="str">
        <f>if(isblank(L508),"",vlookup(L508,Pacing!$A$1:$Z$213,8))</f>
        <v>Practice Set</v>
      </c>
      <c r="H508" s="81" t="str">
        <f>if(isblank(M508),"",vlookup(M508,Pacing!$A$1:$Z$213,8))</f>
        <v>Practice Set</v>
      </c>
      <c r="I508" s="86">
        <f t="shared" ref="I508:M508" si="537">I507</f>
        <v>76</v>
      </c>
      <c r="J508" s="86">
        <f t="shared" si="537"/>
        <v>77</v>
      </c>
      <c r="K508" s="86">
        <f t="shared" si="537"/>
        <v>78</v>
      </c>
      <c r="L508" s="86">
        <f t="shared" si="537"/>
        <v>79</v>
      </c>
      <c r="M508" s="86">
        <f t="shared" si="537"/>
        <v>80</v>
      </c>
    </row>
    <row r="509" ht="15.75" customHeight="1">
      <c r="A509" s="69"/>
      <c r="B509" s="69"/>
      <c r="C509" s="71"/>
      <c r="D509" s="81" t="str">
        <f>if(isblank(I509),"",vlookup(I509,Pacing!$A$1:$Z$213,9))</f>
        <v>Extra Practice</v>
      </c>
      <c r="E509" s="81" t="str">
        <f>if(isblank(J509),"",vlookup(J509,Pacing!$A$1:$Z$213,9))</f>
        <v>Extra Practice</v>
      </c>
      <c r="F509" s="81" t="str">
        <f>if(isblank(K509),"",vlookup(K509,Pacing!$A$1:$Z$213,9))</f>
        <v>Extra Practice</v>
      </c>
      <c r="G509" s="81" t="str">
        <f>if(isblank(L509),"",vlookup(L509,Pacing!$A$1:$Z$213,9))</f>
        <v>Extra Practice</v>
      </c>
      <c r="H509" s="81" t="str">
        <f>if(isblank(M509),"",vlookup(M509,Pacing!$A$1:$Z$213,9))</f>
        <v>Extra Practice</v>
      </c>
      <c r="I509" s="86">
        <f t="shared" ref="I509:M509" si="538">I508</f>
        <v>76</v>
      </c>
      <c r="J509" s="86">
        <f t="shared" si="538"/>
        <v>77</v>
      </c>
      <c r="K509" s="86">
        <f t="shared" si="538"/>
        <v>78</v>
      </c>
      <c r="L509" s="86">
        <f t="shared" si="538"/>
        <v>79</v>
      </c>
      <c r="M509" s="86">
        <f t="shared" si="538"/>
        <v>80</v>
      </c>
    </row>
    <row r="510" ht="15.75" customHeight="1">
      <c r="A510" s="69"/>
      <c r="B510" s="69"/>
      <c r="C510" s="71"/>
      <c r="D510" s="81" t="str">
        <f>if(isblank(I510),"",vlookup(I510,Pacing!$A$1:$Z$213,10))</f>
        <v>CYU</v>
      </c>
      <c r="E510" s="81" t="str">
        <f>if(isblank(J510),"",vlookup(J510,Pacing!$A$1:$Z$213,10))</f>
        <v>CYU</v>
      </c>
      <c r="F510" s="81" t="str">
        <f>if(isblank(K510),"",vlookup(K510,Pacing!$A$1:$Z$213,10))</f>
        <v>CYU</v>
      </c>
      <c r="G510" s="81" t="str">
        <f>if(isblank(L510),"",vlookup(L510,Pacing!$A$1:$Z$213,10))</f>
        <v>CYU</v>
      </c>
      <c r="H510" s="81" t="str">
        <f>if(isblank(M510),"",vlookup(M510,Pacing!$A$1:$Z$213,10))</f>
        <v>CYU</v>
      </c>
      <c r="I510" s="86">
        <f t="shared" ref="I510:M510" si="539">I509</f>
        <v>76</v>
      </c>
      <c r="J510" s="86">
        <f t="shared" si="539"/>
        <v>77</v>
      </c>
      <c r="K510" s="86">
        <f t="shared" si="539"/>
        <v>78</v>
      </c>
      <c r="L510" s="86">
        <f t="shared" si="539"/>
        <v>79</v>
      </c>
      <c r="M510" s="86">
        <f t="shared" si="539"/>
        <v>80</v>
      </c>
    </row>
    <row r="511" ht="15.75" customHeight="1">
      <c r="A511" s="69"/>
      <c r="B511" s="69"/>
      <c r="C511" s="71"/>
      <c r="D511" s="81" t="str">
        <f>if(isblank(I511),"",vlookup(I511,Pacing!$A$1:$Z$213,11))</f>
        <v>Progress</v>
      </c>
      <c r="E511" s="81" t="str">
        <f>if(isblank(J511),"",vlookup(J511,Pacing!$A$1:$Z$213,11))</f>
        <v>Progress</v>
      </c>
      <c r="F511" s="81" t="str">
        <f>if(isblank(K511),"",vlookup(K511,Pacing!$A$1:$Z$213,11))</f>
        <v>Progress</v>
      </c>
      <c r="G511" s="81" t="str">
        <f>if(isblank(L511),"",vlookup(L511,Pacing!$A$1:$Z$213,11))</f>
        <v>Progress</v>
      </c>
      <c r="H511" s="81" t="str">
        <f>if(isblank(M511),"",vlookup(M511,Pacing!$A$1:$Z$213,11))</f>
        <v>Progress</v>
      </c>
      <c r="I511" s="86">
        <f t="shared" ref="I511:M511" si="540">I510</f>
        <v>76</v>
      </c>
      <c r="J511" s="86">
        <f t="shared" si="540"/>
        <v>77</v>
      </c>
      <c r="K511" s="86">
        <f t="shared" si="540"/>
        <v>78</v>
      </c>
      <c r="L511" s="86">
        <f t="shared" si="540"/>
        <v>79</v>
      </c>
      <c r="M511" s="86">
        <f t="shared" si="540"/>
        <v>80</v>
      </c>
    </row>
    <row r="512" ht="15.75" customHeight="1">
      <c r="A512" s="69"/>
      <c r="B512" s="69"/>
      <c r="C512" s="71"/>
      <c r="D512" s="81" t="str">
        <f>if(isblank(I512),"",vlookup(I512,Pacing!$A$1:$Z$213,12))</f>
        <v>Review</v>
      </c>
      <c r="E512" s="81" t="str">
        <f>if(isblank(J512),"",vlookup(J512,Pacing!$A$1:$Z$213,12))</f>
        <v>Review</v>
      </c>
      <c r="F512" s="81" t="str">
        <f>if(isblank(K512),"",vlookup(K512,Pacing!$A$1:$Z$213,12))</f>
        <v>Review</v>
      </c>
      <c r="G512" s="81" t="str">
        <f>if(isblank(L512),"",vlookup(L512,Pacing!$A$1:$Z$213,12))</f>
        <v>Review</v>
      </c>
      <c r="H512" s="81" t="str">
        <f>if(isblank(M512),"",vlookup(M512,Pacing!$A$1:$Z$213,12))</f>
        <v>Review</v>
      </c>
      <c r="I512" s="86">
        <f t="shared" ref="I512:M512" si="541">I511</f>
        <v>76</v>
      </c>
      <c r="J512" s="86">
        <f t="shared" si="541"/>
        <v>77</v>
      </c>
      <c r="K512" s="86">
        <f t="shared" si="541"/>
        <v>78</v>
      </c>
      <c r="L512" s="86">
        <f t="shared" si="541"/>
        <v>79</v>
      </c>
      <c r="M512" s="86">
        <f t="shared" si="541"/>
        <v>80</v>
      </c>
    </row>
    <row r="513" ht="15.75" customHeight="1">
      <c r="A513" s="69"/>
      <c r="B513" s="69"/>
      <c r="C513" s="71"/>
      <c r="D513" s="91" t="str">
        <f>if(isblank(I513),"",vlookup(I513,Pacing!$A$1:$Z$213,13))</f>
        <v/>
      </c>
      <c r="E513" s="91" t="str">
        <f>if(isblank(J513),"",vlookup(J513,Pacing!$A$1:$Z$213,13))</f>
        <v/>
      </c>
      <c r="F513" s="91" t="str">
        <f>if(isblank(K513),"",vlookup(K513,Pacing!$A$1:$Z$213,13))</f>
        <v/>
      </c>
      <c r="G513" s="91" t="str">
        <f>if(isblank(L513),"",vlookup(L513,Pacing!$A$1:$Z$213,13))</f>
        <v/>
      </c>
      <c r="H513" s="91" t="str">
        <f>if(isblank(M513),"",vlookup(M513,Pacing!$A$1:$Z$213,13))</f>
        <v/>
      </c>
      <c r="I513" s="86">
        <f t="shared" ref="I513:M513" si="542">I512</f>
        <v>76</v>
      </c>
      <c r="J513" s="86">
        <f t="shared" si="542"/>
        <v>77</v>
      </c>
      <c r="K513" s="86">
        <f t="shared" si="542"/>
        <v>78</v>
      </c>
      <c r="L513" s="86">
        <f t="shared" si="542"/>
        <v>79</v>
      </c>
      <c r="M513" s="86">
        <f t="shared" si="542"/>
        <v>80</v>
      </c>
    </row>
    <row r="514" ht="15.75" customHeight="1">
      <c r="A514" s="69"/>
      <c r="B514" s="69"/>
      <c r="C514" s="71"/>
      <c r="D514" s="81" t="str">
        <f>if(isblank(I514),"",vlookup(I514,Pacing!$A$1:$Z$213,14))</f>
        <v>Notes Teacher</v>
      </c>
      <c r="E514" s="81" t="str">
        <f>if(isblank(J514),"",vlookup(J514,Pacing!$A$1:$Z$213,14))</f>
        <v>Notes Teacher</v>
      </c>
      <c r="F514" s="81" t="str">
        <f>if(isblank(K514),"",vlookup(K514,Pacing!$A$1:$Z$213,14))</f>
        <v>Notes Teacher</v>
      </c>
      <c r="G514" s="81" t="str">
        <f>if(isblank(L514),"",vlookup(L514,Pacing!$A$1:$Z$213,14))</f>
        <v>Notes Teacher</v>
      </c>
      <c r="H514" s="81" t="str">
        <f>if(isblank(M514),"",vlookup(M514,Pacing!$A$1:$Z$213,14))</f>
        <v>Notes Teacher</v>
      </c>
      <c r="I514" s="86">
        <f t="shared" ref="I514:M514" si="543">I513</f>
        <v>76</v>
      </c>
      <c r="J514" s="86">
        <f t="shared" si="543"/>
        <v>77</v>
      </c>
      <c r="K514" s="86">
        <f t="shared" si="543"/>
        <v>78</v>
      </c>
      <c r="L514" s="86">
        <f t="shared" si="543"/>
        <v>79</v>
      </c>
      <c r="M514" s="86">
        <f t="shared" si="543"/>
        <v>80</v>
      </c>
    </row>
    <row r="515" ht="15.75" customHeight="1">
      <c r="A515" s="69"/>
      <c r="B515" s="69"/>
      <c r="C515" s="71"/>
      <c r="D515" s="81" t="str">
        <f>if(isblank(I515),"",vlookup(I515,Pacing!$A$1:$Z$213,15))</f>
        <v>Demo Teacher</v>
      </c>
      <c r="E515" s="81" t="str">
        <f>if(isblank(J515),"",vlookup(J515,Pacing!$A$1:$Z$213,15))</f>
        <v>Demo Teacher</v>
      </c>
      <c r="F515" s="81" t="str">
        <f>if(isblank(K515),"",vlookup(K515,Pacing!$A$1:$Z$213,15))</f>
        <v>Demo Teacher</v>
      </c>
      <c r="G515" s="81" t="str">
        <f>if(isblank(L515),"",vlookup(L515,Pacing!$A$1:$Z$213,15))</f>
        <v>Demo Teacher</v>
      </c>
      <c r="H515" s="81" t="str">
        <f>if(isblank(M515),"",vlookup(M515,Pacing!$A$1:$Z$213,15))</f>
        <v>Demo Teacher</v>
      </c>
      <c r="I515" s="86">
        <f t="shared" ref="I515:M515" si="544">I514</f>
        <v>76</v>
      </c>
      <c r="J515" s="86">
        <f t="shared" si="544"/>
        <v>77</v>
      </c>
      <c r="K515" s="86">
        <f t="shared" si="544"/>
        <v>78</v>
      </c>
      <c r="L515" s="86">
        <f t="shared" si="544"/>
        <v>79</v>
      </c>
      <c r="M515" s="86">
        <f t="shared" si="544"/>
        <v>80</v>
      </c>
    </row>
    <row r="516" ht="15.75" customHeight="1">
      <c r="A516" s="69"/>
      <c r="B516" s="69"/>
      <c r="C516" s="71"/>
      <c r="D516" s="81" t="str">
        <f>if(isblank(I516),"",vlookup(I516,Pacing!$A$1:$Z$213,16))</f>
        <v>Invest Teacher</v>
      </c>
      <c r="E516" s="81" t="str">
        <f>if(isblank(J516),"",vlookup(J516,Pacing!$A$1:$Z$213,16))</f>
        <v>Invest Teacher</v>
      </c>
      <c r="F516" s="81" t="str">
        <f>if(isblank(K516),"",vlookup(K516,Pacing!$A$1:$Z$213,16))</f>
        <v>Invest Teacher</v>
      </c>
      <c r="G516" s="81" t="str">
        <f>if(isblank(L516),"",vlookup(L516,Pacing!$A$1:$Z$213,16))</f>
        <v>Invest Teacher</v>
      </c>
      <c r="H516" s="81" t="str">
        <f>if(isblank(M516),"",vlookup(M516,Pacing!$A$1:$Z$213,16))</f>
        <v>Invest Teacher</v>
      </c>
      <c r="I516" s="86">
        <f t="shared" ref="I516:M516" si="545">I515</f>
        <v>76</v>
      </c>
      <c r="J516" s="86">
        <f t="shared" si="545"/>
        <v>77</v>
      </c>
      <c r="K516" s="86">
        <f t="shared" si="545"/>
        <v>78</v>
      </c>
      <c r="L516" s="86">
        <f t="shared" si="545"/>
        <v>79</v>
      </c>
      <c r="M516" s="86">
        <f t="shared" si="545"/>
        <v>80</v>
      </c>
    </row>
    <row r="517" ht="15.75" customHeight="1">
      <c r="A517" s="69"/>
      <c r="B517" s="69"/>
      <c r="C517" s="71"/>
      <c r="D517" s="81" t="str">
        <f>if(isblank(I517),"",vlookup(I517,Pacing!$A$1:$Z$213,17))</f>
        <v>PT Teacher</v>
      </c>
      <c r="E517" s="81" t="str">
        <f>if(isblank(J517),"",vlookup(J517,Pacing!$A$1:$Z$213,17))</f>
        <v>PT Teacher</v>
      </c>
      <c r="F517" s="81" t="str">
        <f>if(isblank(K517),"",vlookup(K517,Pacing!$A$1:$Z$213,17))</f>
        <v>PT Teacher</v>
      </c>
      <c r="G517" s="81" t="str">
        <f>if(isblank(L517),"",vlookup(L517,Pacing!$A$1:$Z$213,17))</f>
        <v>PT Teacher</v>
      </c>
      <c r="H517" s="81" t="str">
        <f>if(isblank(M517),"",vlookup(M517,Pacing!$A$1:$Z$213,17))</f>
        <v>PT Teacher</v>
      </c>
      <c r="I517" s="86">
        <f t="shared" ref="I517:M517" si="546">I516</f>
        <v>76</v>
      </c>
      <c r="J517" s="86">
        <f t="shared" si="546"/>
        <v>77</v>
      </c>
      <c r="K517" s="86">
        <f t="shared" si="546"/>
        <v>78</v>
      </c>
      <c r="L517" s="86">
        <f t="shared" si="546"/>
        <v>79</v>
      </c>
      <c r="M517" s="86">
        <f t="shared" si="546"/>
        <v>80</v>
      </c>
    </row>
    <row r="518" ht="15.75" customHeight="1">
      <c r="A518" s="69"/>
      <c r="B518" s="69"/>
      <c r="C518" s="71"/>
      <c r="D518" s="81" t="str">
        <f>if(isblank(I518),"",vlookup(I518,Pacing!$A$1:$Z$213,18))</f>
        <v>Assess Plan</v>
      </c>
      <c r="E518" s="81" t="str">
        <f>if(isblank(J518),"",vlookup(J518,Pacing!$A$1:$Z$213,18))</f>
        <v>Assess Plan</v>
      </c>
      <c r="F518" s="81" t="str">
        <f>if(isblank(K518),"",vlookup(K518,Pacing!$A$1:$Z$213,18))</f>
        <v>Assess Plan</v>
      </c>
      <c r="G518" s="81" t="str">
        <f>if(isblank(L518),"",vlookup(L518,Pacing!$A$1:$Z$213,18))</f>
        <v>Assess Plan</v>
      </c>
      <c r="H518" s="81" t="str">
        <f>if(isblank(M518),"",vlookup(M518,Pacing!$A$1:$Z$213,18))</f>
        <v>Assess Plan</v>
      </c>
      <c r="I518" s="86">
        <f t="shared" ref="I518:M518" si="547">I517</f>
        <v>76</v>
      </c>
      <c r="J518" s="86">
        <f t="shared" si="547"/>
        <v>77</v>
      </c>
      <c r="K518" s="86">
        <f t="shared" si="547"/>
        <v>78</v>
      </c>
      <c r="L518" s="86">
        <f t="shared" si="547"/>
        <v>79</v>
      </c>
      <c r="M518" s="86">
        <f t="shared" si="547"/>
        <v>80</v>
      </c>
    </row>
    <row r="519" ht="15.75" customHeight="1">
      <c r="A519" s="69"/>
      <c r="B519" s="69"/>
      <c r="C519" s="71"/>
      <c r="D519" s="81" t="str">
        <f>if(isblank(I519),"",vlookup(I519,Pacing!$A$1:$Z$213,19))</f>
        <v>Perform Task</v>
      </c>
      <c r="E519" s="81" t="str">
        <f>if(isblank(J519),"",vlookup(J519,Pacing!$A$1:$Z$213,19))</f>
        <v>Perform Task</v>
      </c>
      <c r="F519" s="81" t="str">
        <f>if(isblank(K519),"",vlookup(K519,Pacing!$A$1:$Z$213,19))</f>
        <v>Perform Task</v>
      </c>
      <c r="G519" s="81" t="str">
        <f>if(isblank(L519),"",vlookup(L519,Pacing!$A$1:$Z$213,19))</f>
        <v>Perform Task</v>
      </c>
      <c r="H519" s="81" t="str">
        <f>if(isblank(M519),"",vlookup(M519,Pacing!$A$1:$Z$213,19))</f>
        <v>Perform Task</v>
      </c>
      <c r="I519" s="86">
        <f t="shared" ref="I519:M519" si="548">I518</f>
        <v>76</v>
      </c>
      <c r="J519" s="86">
        <f t="shared" si="548"/>
        <v>77</v>
      </c>
      <c r="K519" s="86">
        <f t="shared" si="548"/>
        <v>78</v>
      </c>
      <c r="L519" s="86">
        <f t="shared" si="548"/>
        <v>79</v>
      </c>
      <c r="M519" s="86">
        <f t="shared" si="548"/>
        <v>80</v>
      </c>
    </row>
    <row r="520" ht="15.75" customHeight="1">
      <c r="A520" s="69"/>
      <c r="B520" s="69"/>
      <c r="C520" s="71"/>
      <c r="D520" s="81" t="str">
        <f>if(isblank(I520),"",vlookup(I520,Pacing!$A$1:$Z$213,20))</f>
        <v>Quick Check</v>
      </c>
      <c r="E520" s="81" t="str">
        <f>if(isblank(J520),"",vlookup(J520,Pacing!$A$1:$Z$213,20))</f>
        <v>Quick Check</v>
      </c>
      <c r="F520" s="81" t="str">
        <f>if(isblank(K520),"",vlookup(K520,Pacing!$A$1:$Z$213,20))</f>
        <v>Quick Check</v>
      </c>
      <c r="G520" s="81" t="str">
        <f>if(isblank(L520),"",vlookup(L520,Pacing!$A$1:$Z$213,20))</f>
        <v>Quick Check</v>
      </c>
      <c r="H520" s="81" t="str">
        <f>if(isblank(M520),"",vlookup(M520,Pacing!$A$1:$Z$213,20))</f>
        <v>Quick Check</v>
      </c>
      <c r="I520" s="86">
        <f t="shared" ref="I520:M520" si="549">I519</f>
        <v>76</v>
      </c>
      <c r="J520" s="86">
        <f t="shared" si="549"/>
        <v>77</v>
      </c>
      <c r="K520" s="86">
        <f t="shared" si="549"/>
        <v>78</v>
      </c>
      <c r="L520" s="86">
        <f t="shared" si="549"/>
        <v>79</v>
      </c>
      <c r="M520" s="86">
        <f t="shared" si="549"/>
        <v>80</v>
      </c>
    </row>
    <row r="521" ht="15.75" customHeight="1">
      <c r="A521" s="69"/>
      <c r="B521" s="69"/>
      <c r="C521" s="71"/>
      <c r="D521" s="81" t="str">
        <f>if(isblank(I521),"",vlookup(I521,Pacing!$A$1:$Z$213,21))</f>
        <v>Exit Ticket</v>
      </c>
      <c r="E521" s="81" t="str">
        <f>if(isblank(J521),"",vlookup(J521,Pacing!$A$1:$Z$213,21))</f>
        <v>Exit Ticket</v>
      </c>
      <c r="F521" s="81" t="str">
        <f>if(isblank(K521),"",vlookup(K521,Pacing!$A$1:$Z$213,21))</f>
        <v>Exit Ticket</v>
      </c>
      <c r="G521" s="81" t="str">
        <f>if(isblank(L521),"",vlookup(L521,Pacing!$A$1:$Z$213,21))</f>
        <v>Exit Ticket</v>
      </c>
      <c r="H521" s="81" t="str">
        <f>if(isblank(M521),"",vlookup(M521,Pacing!$A$1:$Z$213,21))</f>
        <v>Exit Ticket</v>
      </c>
      <c r="I521" s="86">
        <f t="shared" ref="I521:M521" si="550">I520</f>
        <v>76</v>
      </c>
      <c r="J521" s="86">
        <f t="shared" si="550"/>
        <v>77</v>
      </c>
      <c r="K521" s="86">
        <f t="shared" si="550"/>
        <v>78</v>
      </c>
      <c r="L521" s="86">
        <f t="shared" si="550"/>
        <v>79</v>
      </c>
      <c r="M521" s="86">
        <f t="shared" si="550"/>
        <v>80</v>
      </c>
    </row>
    <row r="522" ht="15.75" customHeight="1">
      <c r="A522" s="69"/>
      <c r="B522" s="69"/>
      <c r="C522" s="71"/>
      <c r="D522" s="81" t="str">
        <f>if(isblank(I522),"",vlookup(I522,Pacing!$A$1:$Z$213,22))</f>
        <v>Practice 2</v>
      </c>
      <c r="E522" s="81" t="str">
        <f>if(isblank(J522),"",vlookup(J522,Pacing!$A$1:$Z$213,22))</f>
        <v>Practice 2</v>
      </c>
      <c r="F522" s="81" t="str">
        <f>if(isblank(K522),"",vlookup(K522,Pacing!$A$1:$Z$213,22))</f>
        <v>Practice 2</v>
      </c>
      <c r="G522" s="81" t="str">
        <f>if(isblank(L522),"",vlookup(L522,Pacing!$A$1:$Z$213,22))</f>
        <v>Practice 2</v>
      </c>
      <c r="H522" s="81" t="str">
        <f>if(isblank(M522),"",vlookup(M522,Pacing!$A$1:$Z$213,22))</f>
        <v>Practice 2</v>
      </c>
      <c r="I522" s="86">
        <f t="shared" ref="I522:M522" si="551">I521</f>
        <v>76</v>
      </c>
      <c r="J522" s="86">
        <f t="shared" si="551"/>
        <v>77</v>
      </c>
      <c r="K522" s="86">
        <f t="shared" si="551"/>
        <v>78</v>
      </c>
      <c r="L522" s="86">
        <f t="shared" si="551"/>
        <v>79</v>
      </c>
      <c r="M522" s="86">
        <f t="shared" si="551"/>
        <v>80</v>
      </c>
    </row>
    <row r="523" ht="15.75" customHeight="1">
      <c r="A523" s="69"/>
      <c r="B523" s="69"/>
      <c r="C523" s="71"/>
      <c r="D523" s="81" t="str">
        <f>if(isblank(I523),"",vlookup(I523,Pacing!$A$1:$Z$213,23))</f>
        <v>Practice 3</v>
      </c>
      <c r="E523" s="81" t="str">
        <f>if(isblank(J523),"",vlookup(J523,Pacing!$A$1:$Z$213,23))</f>
        <v>Practice 3</v>
      </c>
      <c r="F523" s="81" t="str">
        <f>if(isblank(K523),"",vlookup(K523,Pacing!$A$1:$Z$213,23))</f>
        <v>Practice 3</v>
      </c>
      <c r="G523" s="81" t="str">
        <f>if(isblank(L523),"",vlookup(L523,Pacing!$A$1:$Z$213,23))</f>
        <v>Practice 3</v>
      </c>
      <c r="H523" s="81" t="str">
        <f>if(isblank(M523),"",vlookup(M523,Pacing!$A$1:$Z$213,23))</f>
        <v>Practice 3</v>
      </c>
      <c r="I523" s="86">
        <f t="shared" ref="I523:M523" si="552">I522</f>
        <v>76</v>
      </c>
      <c r="J523" s="86">
        <f t="shared" si="552"/>
        <v>77</v>
      </c>
      <c r="K523" s="86">
        <f t="shared" si="552"/>
        <v>78</v>
      </c>
      <c r="L523" s="86">
        <f t="shared" si="552"/>
        <v>79</v>
      </c>
      <c r="M523" s="86">
        <f t="shared" si="552"/>
        <v>80</v>
      </c>
    </row>
    <row r="524" ht="15.75" customHeight="1">
      <c r="A524" s="69"/>
      <c r="B524" s="69"/>
      <c r="C524" s="71"/>
      <c r="D524" s="81" t="str">
        <f>if(isblank(I524),"",vlookup(I524,Pacing!$A$1:$Z$213,24))</f>
        <v>Sum Assess</v>
      </c>
      <c r="E524" s="81" t="str">
        <f>if(isblank(J524),"",vlookup(J524,Pacing!$A$1:$Z$213,24))</f>
        <v>Sum Assess</v>
      </c>
      <c r="F524" s="81" t="str">
        <f>if(isblank(K524),"",vlookup(K524,Pacing!$A$1:$Z$213,24))</f>
        <v>Sum Assess</v>
      </c>
      <c r="G524" s="81" t="str">
        <f>if(isblank(L524),"",vlookup(L524,Pacing!$A$1:$Z$213,24))</f>
        <v>Sum Assess</v>
      </c>
      <c r="H524" s="81" t="str">
        <f>if(isblank(M524),"",vlookup(M524,Pacing!$A$1:$Z$213,24))</f>
        <v>Sum Assess</v>
      </c>
      <c r="I524" s="86">
        <f t="shared" ref="I524:M524" si="553">I523</f>
        <v>76</v>
      </c>
      <c r="J524" s="86">
        <f t="shared" si="553"/>
        <v>77</v>
      </c>
      <c r="K524" s="86">
        <f t="shared" si="553"/>
        <v>78</v>
      </c>
      <c r="L524" s="86">
        <f t="shared" si="553"/>
        <v>79</v>
      </c>
      <c r="M524" s="86">
        <f t="shared" si="553"/>
        <v>80</v>
      </c>
    </row>
    <row r="525" ht="15.75" customHeight="1">
      <c r="A525" s="69"/>
      <c r="B525" s="69"/>
      <c r="C525" s="71"/>
      <c r="D525" s="81" t="str">
        <f>if(isblank(I525),"",vlookup(I525,Pacing!$A$1:$Z$213,25))</f>
        <v>Bank</v>
      </c>
      <c r="E525" s="81" t="str">
        <f>if(isblank(J525),"",vlookup(J525,Pacing!$A$1:$Z$213,25))</f>
        <v>Bank</v>
      </c>
      <c r="F525" s="81" t="str">
        <f>if(isblank(K525),"",vlookup(K525,Pacing!$A$1:$Z$213,25))</f>
        <v>Bank</v>
      </c>
      <c r="G525" s="81" t="str">
        <f>if(isblank(L525),"",vlookup(L525,Pacing!$A$1:$Z$213,25))</f>
        <v>Bank</v>
      </c>
      <c r="H525" s="81" t="str">
        <f>if(isblank(M525),"",vlookup(M525,Pacing!$A$1:$Z$213,25))</f>
        <v>Bank</v>
      </c>
      <c r="I525" s="86">
        <f t="shared" ref="I525:M525" si="554">I524</f>
        <v>76</v>
      </c>
      <c r="J525" s="86">
        <f t="shared" si="554"/>
        <v>77</v>
      </c>
      <c r="K525" s="86">
        <f t="shared" si="554"/>
        <v>78</v>
      </c>
      <c r="L525" s="86">
        <f t="shared" si="554"/>
        <v>79</v>
      </c>
      <c r="M525" s="86">
        <f t="shared" si="554"/>
        <v>80</v>
      </c>
    </row>
    <row r="526" ht="15.75" customHeight="1">
      <c r="A526" s="69"/>
      <c r="B526" s="69"/>
      <c r="C526" s="71"/>
      <c r="D526" s="91" t="str">
        <f>if(isblank(I526),"",vlookup(I526,Pacing!$A$1:$Z$213,26))</f>
        <v/>
      </c>
      <c r="E526" s="89" t="str">
        <f>if(isblank(J526),"",vlookup(J526,Pacing!$A$1:$Z$213,26))</f>
        <v/>
      </c>
      <c r="F526" s="89" t="str">
        <f>if(isblank(K526),"",vlookup(K526,Pacing!$A$1:$Z$213,26))</f>
        <v/>
      </c>
      <c r="G526" s="89" t="str">
        <f>if(isblank(L526),"",vlookup(L526,Pacing!$A$1:$Z$213,26))</f>
        <v/>
      </c>
      <c r="H526" s="89" t="str">
        <f>if(isblank(M526),"",vlookup(M526,Pacing!$A$1:$Z$213,26))</f>
        <v/>
      </c>
      <c r="I526" s="86">
        <f t="shared" ref="I526:M526" si="555">I525</f>
        <v>76</v>
      </c>
      <c r="J526" s="86">
        <f t="shared" si="555"/>
        <v>77</v>
      </c>
      <c r="K526" s="86">
        <f t="shared" si="555"/>
        <v>78</v>
      </c>
      <c r="L526" s="86">
        <f t="shared" si="555"/>
        <v>79</v>
      </c>
      <c r="M526" s="86">
        <f t="shared" si="555"/>
        <v>80</v>
      </c>
    </row>
    <row r="527" ht="15.75" customHeight="1">
      <c r="A527" s="137"/>
      <c r="B527" s="137"/>
      <c r="C527" s="138"/>
      <c r="D527" s="139">
        <f>H500+1</f>
        <v>81</v>
      </c>
      <c r="E527" s="139">
        <f t="shared" ref="E527:H527" si="556">D527+1</f>
        <v>82</v>
      </c>
      <c r="F527" s="139">
        <f t="shared" si="556"/>
        <v>83</v>
      </c>
      <c r="G527" s="139">
        <f t="shared" si="556"/>
        <v>84</v>
      </c>
      <c r="H527" s="139">
        <f t="shared" si="556"/>
        <v>85</v>
      </c>
      <c r="I527" s="55">
        <f t="shared" ref="I527:M527" si="557">D527</f>
        <v>81</v>
      </c>
      <c r="J527" s="55">
        <f t="shared" si="557"/>
        <v>82</v>
      </c>
      <c r="K527" s="55">
        <f t="shared" si="557"/>
        <v>83</v>
      </c>
      <c r="L527" s="55">
        <f t="shared" si="557"/>
        <v>84</v>
      </c>
      <c r="M527" s="55">
        <f t="shared" si="557"/>
        <v>85</v>
      </c>
    </row>
    <row r="528" ht="15.75" customHeight="1">
      <c r="A528" s="69">
        <f>B528+1</f>
        <v>201</v>
      </c>
      <c r="B528" s="69">
        <f t="shared" ref="B528:B535" si="559">$C$528*10</f>
        <v>200</v>
      </c>
      <c r="C528" s="71">
        <f>C501+1</f>
        <v>20</v>
      </c>
      <c r="D528" s="72">
        <f>D501+7</f>
        <v>46398</v>
      </c>
      <c r="E528" s="72">
        <f t="shared" ref="E528:H528" si="558">D528+1</f>
        <v>46399</v>
      </c>
      <c r="F528" s="72">
        <f t="shared" si="558"/>
        <v>46400</v>
      </c>
      <c r="G528" s="72">
        <f t="shared" si="558"/>
        <v>46401</v>
      </c>
      <c r="H528" s="228">
        <f t="shared" si="558"/>
        <v>46402</v>
      </c>
      <c r="I528" s="62" t="s">
        <v>42</v>
      </c>
    </row>
    <row r="529" ht="15.75" customHeight="1">
      <c r="A529" s="75">
        <f>B529+2</f>
        <v>202</v>
      </c>
      <c r="B529" s="75">
        <f t="shared" si="559"/>
        <v>200</v>
      </c>
      <c r="C529" s="76"/>
      <c r="D529" s="131" t="str">
        <f>if(isblank(I529),"",vlookup(I529,Pacing!$A$1:$Z$213,2))</f>
        <v>5.5: Beats &amp; Interf</v>
      </c>
      <c r="E529" s="131" t="str">
        <f>if(isblank(J529),"",vlookup(J529,Pacing!$A$1:$Z$213,2))</f>
        <v>5.5: Beats &amp; Interf</v>
      </c>
      <c r="F529" s="131" t="str">
        <f>if(isblank(K529),"",vlookup(K529,Pacing!$A$1:$Z$213,2))</f>
        <v>5.5: Beats &amp; Interf</v>
      </c>
      <c r="G529" s="131" t="str">
        <f>if(isblank(L529),"",vlookup(L529,Pacing!$A$1:$Z$213,2))</f>
        <v>Unit 5 Sum Assess</v>
      </c>
      <c r="H529" s="229" t="str">
        <f>if(isblank(M529),"",vlookup(M529,Pacing!$A$1:$Z$213,2))</f>
        <v>6.1: Nature of Light</v>
      </c>
      <c r="I529" s="78">
        <f t="shared" ref="I529:M529" si="560">I527</f>
        <v>81</v>
      </c>
      <c r="J529" s="78">
        <f t="shared" si="560"/>
        <v>82</v>
      </c>
      <c r="K529" s="78">
        <f t="shared" si="560"/>
        <v>83</v>
      </c>
      <c r="L529" s="78">
        <f t="shared" si="560"/>
        <v>84</v>
      </c>
      <c r="M529" s="78">
        <f t="shared" si="560"/>
        <v>85</v>
      </c>
    </row>
    <row r="530" ht="15.75" customHeight="1">
      <c r="A530" s="69">
        <f>B530+3</f>
        <v>203</v>
      </c>
      <c r="B530" s="69">
        <f t="shared" si="559"/>
        <v>200</v>
      </c>
      <c r="C530" s="76"/>
      <c r="D530" s="81" t="str">
        <f>if(isblank(I530),"",vlookup(I530,Pacing!$A$1:$Z$213,3))</f>
        <v>Warm Up</v>
      </c>
      <c r="E530" s="81" t="str">
        <f>if(isblank(J530),"",vlookup(J530,Pacing!$A$1:$Z$213,3))</f>
        <v>Warm Up</v>
      </c>
      <c r="F530" s="81" t="str">
        <f>if(isblank(K530),"",vlookup(K530,Pacing!$A$1:$Z$213,3))</f>
        <v>Warm Up</v>
      </c>
      <c r="G530" s="89" t="str">
        <f>if(isblank(L530),"",vlookup(L530,Pacing!$A$1:$Z$213,3))</f>
        <v/>
      </c>
      <c r="H530" s="230" t="str">
        <f>if(isblank(M530),"",vlookup(M530,Pacing!$A$1:$Z$213,3))</f>
        <v>Warm Up</v>
      </c>
      <c r="I530" s="86">
        <f t="shared" ref="I530:M530" si="561">I529</f>
        <v>81</v>
      </c>
      <c r="J530" s="86">
        <f t="shared" si="561"/>
        <v>82</v>
      </c>
      <c r="K530" s="86">
        <f t="shared" si="561"/>
        <v>83</v>
      </c>
      <c r="L530" s="86">
        <f t="shared" si="561"/>
        <v>84</v>
      </c>
      <c r="M530" s="86">
        <f t="shared" si="561"/>
        <v>85</v>
      </c>
    </row>
    <row r="531" ht="15.75" customHeight="1">
      <c r="A531" s="69">
        <f>B531+4</f>
        <v>204</v>
      </c>
      <c r="B531" s="69">
        <f t="shared" si="559"/>
        <v>200</v>
      </c>
      <c r="C531" s="76"/>
      <c r="D531" s="81" t="str">
        <f>if(isblank(I531),"",vlookup(I531,Pacing!$A$1:$Z$213,4))</f>
        <v>Demo</v>
      </c>
      <c r="E531" s="81" t="str">
        <f>if(isblank(J531),"",vlookup(J531,Pacing!$A$1:$Z$213,4))</f>
        <v>Demo</v>
      </c>
      <c r="F531" s="81" t="str">
        <f>if(isblank(K531),"",vlookup(K531,Pacing!$A$1:$Z$213,4))</f>
        <v>Demo</v>
      </c>
      <c r="G531" s="89" t="str">
        <f>if(isblank(L531),"",vlookup(L531,Pacing!$A$1:$Z$213,4))</f>
        <v/>
      </c>
      <c r="H531" s="230" t="str">
        <f>if(isblank(M531),"",vlookup(M531,Pacing!$A$1:$Z$213,4))</f>
        <v>Demo</v>
      </c>
      <c r="I531" s="86">
        <f t="shared" ref="I531:M531" si="562">I530</f>
        <v>81</v>
      </c>
      <c r="J531" s="86">
        <f t="shared" si="562"/>
        <v>82</v>
      </c>
      <c r="K531" s="86">
        <f t="shared" si="562"/>
        <v>83</v>
      </c>
      <c r="L531" s="86">
        <f t="shared" si="562"/>
        <v>84</v>
      </c>
      <c r="M531" s="86">
        <f t="shared" si="562"/>
        <v>85</v>
      </c>
    </row>
    <row r="532" ht="15.75" customHeight="1">
      <c r="A532" s="69">
        <f>B532+5</f>
        <v>205</v>
      </c>
      <c r="B532" s="69">
        <f t="shared" si="559"/>
        <v>200</v>
      </c>
      <c r="C532" s="76"/>
      <c r="D532" s="81" t="str">
        <f>if(isblank(I532),"",vlookup(I532,Pacing!$A$1:$Z$213,5))</f>
        <v>Notes</v>
      </c>
      <c r="E532" s="81" t="str">
        <f>if(isblank(J532),"",vlookup(J532,Pacing!$A$1:$Z$213,5))</f>
        <v>Notes</v>
      </c>
      <c r="F532" s="81" t="str">
        <f>if(isblank(K532),"",vlookup(K532,Pacing!$A$1:$Z$213,5))</f>
        <v>Notes</v>
      </c>
      <c r="G532" s="89" t="str">
        <f>if(isblank(L532),"",vlookup(L532,Pacing!$A$1:$Z$213,5))</f>
        <v/>
      </c>
      <c r="H532" s="230" t="str">
        <f>if(isblank(M532),"",vlookup(M532,Pacing!$A$1:$Z$213,5))</f>
        <v>Notes</v>
      </c>
      <c r="I532" s="86">
        <f t="shared" ref="I532:M532" si="563">I531</f>
        <v>81</v>
      </c>
      <c r="J532" s="86">
        <f t="shared" si="563"/>
        <v>82</v>
      </c>
      <c r="K532" s="86">
        <f t="shared" si="563"/>
        <v>83</v>
      </c>
      <c r="L532" s="86">
        <f t="shared" si="563"/>
        <v>84</v>
      </c>
      <c r="M532" s="86">
        <f t="shared" si="563"/>
        <v>85</v>
      </c>
    </row>
    <row r="533" ht="15.75" customHeight="1">
      <c r="A533" s="69">
        <f>B533+6</f>
        <v>206</v>
      </c>
      <c r="B533" s="69">
        <f t="shared" si="559"/>
        <v>200</v>
      </c>
      <c r="C533" s="76"/>
      <c r="D533" s="81" t="str">
        <f>if(isblank(I533),"",vlookup(I533,Pacing!$A$1:$Z$213,6))</f>
        <v>Investigation</v>
      </c>
      <c r="E533" s="81" t="str">
        <f>if(isblank(J533),"",vlookup(J533,Pacing!$A$1:$Z$213,6))</f>
        <v>Investigation</v>
      </c>
      <c r="F533" s="81" t="str">
        <f>if(isblank(K533),"",vlookup(K533,Pacing!$A$1:$Z$213,6))</f>
        <v>Investigation</v>
      </c>
      <c r="G533" s="89" t="str">
        <f>if(isblank(L533),"",vlookup(L533,Pacing!$A$1:$Z$213,6))</f>
        <v/>
      </c>
      <c r="H533" s="230" t="str">
        <f>if(isblank(M533),"",vlookup(M533,Pacing!$A$1:$Z$213,6))</f>
        <v>Investigation</v>
      </c>
      <c r="I533" s="86">
        <f t="shared" ref="I533:M533" si="564">I532</f>
        <v>81</v>
      </c>
      <c r="J533" s="86">
        <f t="shared" si="564"/>
        <v>82</v>
      </c>
      <c r="K533" s="86">
        <f t="shared" si="564"/>
        <v>83</v>
      </c>
      <c r="L533" s="86">
        <f t="shared" si="564"/>
        <v>84</v>
      </c>
      <c r="M533" s="86">
        <f t="shared" si="564"/>
        <v>85</v>
      </c>
    </row>
    <row r="534" ht="15.75" customHeight="1">
      <c r="A534" s="69">
        <f>B534+7</f>
        <v>207</v>
      </c>
      <c r="B534" s="69">
        <f t="shared" si="559"/>
        <v>200</v>
      </c>
      <c r="C534" s="76"/>
      <c r="D534" s="81" t="str">
        <f>if(isblank(I534),"",vlookup(I534,Pacing!$A$1:$Z$213,7))</f>
        <v>Activity</v>
      </c>
      <c r="E534" s="81" t="str">
        <f>if(isblank(J534),"",vlookup(J534,Pacing!$A$1:$Z$213,7))</f>
        <v>Activity</v>
      </c>
      <c r="F534" s="81" t="str">
        <f>if(isblank(K534),"",vlookup(K534,Pacing!$A$1:$Z$213,7))</f>
        <v>Activity</v>
      </c>
      <c r="G534" s="89" t="str">
        <f>if(isblank(L534),"",vlookup(L534,Pacing!$A$1:$Z$213,7))</f>
        <v/>
      </c>
      <c r="H534" s="230" t="str">
        <f>if(isblank(M534),"",vlookup(M534,Pacing!$A$1:$Z$213,7))</f>
        <v>Activity</v>
      </c>
      <c r="I534" s="86">
        <f t="shared" ref="I534:M534" si="565">I533</f>
        <v>81</v>
      </c>
      <c r="J534" s="86">
        <f t="shared" si="565"/>
        <v>82</v>
      </c>
      <c r="K534" s="86">
        <f t="shared" si="565"/>
        <v>83</v>
      </c>
      <c r="L534" s="86">
        <f t="shared" si="565"/>
        <v>84</v>
      </c>
      <c r="M534" s="86">
        <f t="shared" si="565"/>
        <v>85</v>
      </c>
    </row>
    <row r="535" ht="15.75" customHeight="1">
      <c r="A535" s="69">
        <f>B535+8</f>
        <v>208</v>
      </c>
      <c r="B535" s="69">
        <f t="shared" si="559"/>
        <v>200</v>
      </c>
      <c r="C535" s="95"/>
      <c r="D535" s="81" t="str">
        <f>if(isblank(I535),"",vlookup(I535,Pacing!$A$1:$Z$213,8))</f>
        <v>Practice Set</v>
      </c>
      <c r="E535" s="81" t="str">
        <f>if(isblank(J535),"",vlookup(J535,Pacing!$A$1:$Z$213,8))</f>
        <v>Practice Set</v>
      </c>
      <c r="F535" s="81" t="str">
        <f>if(isblank(K535),"",vlookup(K535,Pacing!$A$1:$Z$213,8))</f>
        <v>Practice Set</v>
      </c>
      <c r="G535" s="89" t="str">
        <f>if(isblank(L535),"",vlookup(L535,Pacing!$A$1:$Z$213,8))</f>
        <v/>
      </c>
      <c r="H535" s="230" t="str">
        <f>if(isblank(M535),"",vlookup(M535,Pacing!$A$1:$Z$213,8))</f>
        <v>Practice Set</v>
      </c>
      <c r="I535" s="86">
        <f t="shared" ref="I535:M535" si="566">I534</f>
        <v>81</v>
      </c>
      <c r="J535" s="86">
        <f t="shared" si="566"/>
        <v>82</v>
      </c>
      <c r="K535" s="86">
        <f t="shared" si="566"/>
        <v>83</v>
      </c>
      <c r="L535" s="86">
        <f t="shared" si="566"/>
        <v>84</v>
      </c>
      <c r="M535" s="86">
        <f t="shared" si="566"/>
        <v>85</v>
      </c>
    </row>
    <row r="536" ht="15.75" customHeight="1">
      <c r="A536" s="69"/>
      <c r="B536" s="69"/>
      <c r="C536" s="71"/>
      <c r="D536" s="81" t="str">
        <f>if(isblank(I536),"",vlookup(I536,Pacing!$A$1:$Z$213,9))</f>
        <v>Extra Practice</v>
      </c>
      <c r="E536" s="81" t="str">
        <f>if(isblank(J536),"",vlookup(J536,Pacing!$A$1:$Z$213,9))</f>
        <v>Extra Practice</v>
      </c>
      <c r="F536" s="81" t="str">
        <f>if(isblank(K536),"",vlookup(K536,Pacing!$A$1:$Z$213,9))</f>
        <v>Extra Practice</v>
      </c>
      <c r="G536" s="89" t="str">
        <f>if(isblank(L536),"",vlookup(L536,Pacing!$A$1:$Z$213,9))</f>
        <v/>
      </c>
      <c r="H536" s="230" t="str">
        <f>if(isblank(M536),"",vlookup(M536,Pacing!$A$1:$Z$213,9))</f>
        <v>Extra Practice</v>
      </c>
      <c r="I536" s="86">
        <f t="shared" ref="I536:M536" si="567">I535</f>
        <v>81</v>
      </c>
      <c r="J536" s="86">
        <f t="shared" si="567"/>
        <v>82</v>
      </c>
      <c r="K536" s="86">
        <f t="shared" si="567"/>
        <v>83</v>
      </c>
      <c r="L536" s="86">
        <f t="shared" si="567"/>
        <v>84</v>
      </c>
      <c r="M536" s="86">
        <f t="shared" si="567"/>
        <v>85</v>
      </c>
    </row>
    <row r="537" ht="15.75" customHeight="1">
      <c r="A537" s="69"/>
      <c r="B537" s="69"/>
      <c r="C537" s="71"/>
      <c r="D537" s="81" t="str">
        <f>if(isblank(I537),"",vlookup(I537,Pacing!$A$1:$Z$213,10))</f>
        <v>CYU</v>
      </c>
      <c r="E537" s="81" t="str">
        <f>if(isblank(J537),"",vlookup(J537,Pacing!$A$1:$Z$213,10))</f>
        <v>CYU</v>
      </c>
      <c r="F537" s="81" t="str">
        <f>if(isblank(K537),"",vlookup(K537,Pacing!$A$1:$Z$213,10))</f>
        <v>CYU</v>
      </c>
      <c r="G537" s="89" t="str">
        <f>if(isblank(L537),"",vlookup(L537,Pacing!$A$1:$Z$213,10))</f>
        <v/>
      </c>
      <c r="H537" s="230" t="str">
        <f>if(isblank(M537),"",vlookup(M537,Pacing!$A$1:$Z$213,10))</f>
        <v>CYU</v>
      </c>
      <c r="I537" s="86">
        <f t="shared" ref="I537:M537" si="568">I536</f>
        <v>81</v>
      </c>
      <c r="J537" s="86">
        <f t="shared" si="568"/>
        <v>82</v>
      </c>
      <c r="K537" s="86">
        <f t="shared" si="568"/>
        <v>83</v>
      </c>
      <c r="L537" s="86">
        <f t="shared" si="568"/>
        <v>84</v>
      </c>
      <c r="M537" s="86">
        <f t="shared" si="568"/>
        <v>85</v>
      </c>
    </row>
    <row r="538" ht="15.75" customHeight="1">
      <c r="A538" s="69"/>
      <c r="B538" s="69"/>
      <c r="C538" s="71"/>
      <c r="D538" s="81" t="str">
        <f>if(isblank(I538),"",vlookup(I538,Pacing!$A$1:$Z$213,11))</f>
        <v>Progress</v>
      </c>
      <c r="E538" s="81" t="str">
        <f>if(isblank(J538),"",vlookup(J538,Pacing!$A$1:$Z$213,11))</f>
        <v>Progress</v>
      </c>
      <c r="F538" s="81" t="str">
        <f>if(isblank(K538),"",vlookup(K538,Pacing!$A$1:$Z$213,11))</f>
        <v>Progress</v>
      </c>
      <c r="G538" s="89" t="str">
        <f>if(isblank(L538),"",vlookup(L538,Pacing!$A$1:$Z$213,11))</f>
        <v/>
      </c>
      <c r="H538" s="230" t="str">
        <f>if(isblank(M538),"",vlookup(M538,Pacing!$A$1:$Z$213,11))</f>
        <v>Progress</v>
      </c>
      <c r="I538" s="86">
        <f t="shared" ref="I538:M538" si="569">I537</f>
        <v>81</v>
      </c>
      <c r="J538" s="86">
        <f t="shared" si="569"/>
        <v>82</v>
      </c>
      <c r="K538" s="86">
        <f t="shared" si="569"/>
        <v>83</v>
      </c>
      <c r="L538" s="86">
        <f t="shared" si="569"/>
        <v>84</v>
      </c>
      <c r="M538" s="86">
        <f t="shared" si="569"/>
        <v>85</v>
      </c>
    </row>
    <row r="539" ht="15.75" customHeight="1">
      <c r="A539" s="69"/>
      <c r="B539" s="69"/>
      <c r="C539" s="71"/>
      <c r="D539" s="81" t="str">
        <f>if(isblank(I539),"",vlookup(I539,Pacing!$A$1:$Z$213,12))</f>
        <v>Review</v>
      </c>
      <c r="E539" s="81" t="str">
        <f>if(isblank(J539),"",vlookup(J539,Pacing!$A$1:$Z$213,12))</f>
        <v>Review</v>
      </c>
      <c r="F539" s="81" t="str">
        <f>if(isblank(K539),"",vlookup(K539,Pacing!$A$1:$Z$213,12))</f>
        <v>Review</v>
      </c>
      <c r="G539" s="91" t="str">
        <f>if(isblank(L539),"",vlookup(L539,Pacing!$A$1:$Z$213,12))</f>
        <v/>
      </c>
      <c r="H539" s="230" t="str">
        <f>if(isblank(M539),"",vlookup(M539,Pacing!$A$1:$Z$213,12))</f>
        <v>Review</v>
      </c>
      <c r="I539" s="86">
        <f t="shared" ref="I539:M539" si="570">I538</f>
        <v>81</v>
      </c>
      <c r="J539" s="86">
        <f t="shared" si="570"/>
        <v>82</v>
      </c>
      <c r="K539" s="86">
        <f t="shared" si="570"/>
        <v>83</v>
      </c>
      <c r="L539" s="86">
        <f t="shared" si="570"/>
        <v>84</v>
      </c>
      <c r="M539" s="86">
        <f t="shared" si="570"/>
        <v>85</v>
      </c>
    </row>
    <row r="540" ht="15.75" customHeight="1">
      <c r="A540" s="69"/>
      <c r="B540" s="69"/>
      <c r="C540" s="71"/>
      <c r="D540" s="91" t="str">
        <f>if(isblank(I540),"",vlookup(I540,Pacing!$A$1:$Z$213,13))</f>
        <v/>
      </c>
      <c r="E540" s="91" t="str">
        <f>if(isblank(J540),"",vlookup(J540,Pacing!$A$1:$Z$213,13))</f>
        <v/>
      </c>
      <c r="F540" s="91" t="str">
        <f>if(isblank(K540),"",vlookup(K540,Pacing!$A$1:$Z$213,13))</f>
        <v/>
      </c>
      <c r="G540" s="91" t="str">
        <f>if(isblank(L540),"",vlookup(L540,Pacing!$A$1:$Z$213,13))</f>
        <v/>
      </c>
      <c r="H540" s="231" t="str">
        <f>if(isblank(M540),"",vlookup(M540,Pacing!$A$1:$Z$213,13))</f>
        <v/>
      </c>
      <c r="I540" s="86">
        <f t="shared" ref="I540:M540" si="571">I539</f>
        <v>81</v>
      </c>
      <c r="J540" s="86">
        <f t="shared" si="571"/>
        <v>82</v>
      </c>
      <c r="K540" s="86">
        <f t="shared" si="571"/>
        <v>83</v>
      </c>
      <c r="L540" s="86">
        <f t="shared" si="571"/>
        <v>84</v>
      </c>
      <c r="M540" s="86">
        <f t="shared" si="571"/>
        <v>85</v>
      </c>
    </row>
    <row r="541" ht="15.75" customHeight="1">
      <c r="A541" s="69"/>
      <c r="B541" s="69"/>
      <c r="C541" s="71"/>
      <c r="D541" s="81" t="str">
        <f>if(isblank(I541),"",vlookup(I541,Pacing!$A$1:$Z$213,14))</f>
        <v>Notes Teacher</v>
      </c>
      <c r="E541" s="81" t="str">
        <f>if(isblank(J541),"",vlookup(J541,Pacing!$A$1:$Z$213,14))</f>
        <v>Notes Teacher</v>
      </c>
      <c r="F541" s="81" t="str">
        <f>if(isblank(K541),"",vlookup(K541,Pacing!$A$1:$Z$213,14))</f>
        <v>Notes Teacher</v>
      </c>
      <c r="G541" s="81" t="str">
        <f>if(isblank(L541),"",vlookup(L541,Pacing!$A$1:$Z$213,14))</f>
        <v>Sum Assess</v>
      </c>
      <c r="H541" s="230" t="str">
        <f>if(isblank(M541),"",vlookup(M541,Pacing!$A$1:$Z$213,14))</f>
        <v>Notes Teacher</v>
      </c>
      <c r="I541" s="86">
        <f t="shared" ref="I541:M541" si="572">I540</f>
        <v>81</v>
      </c>
      <c r="J541" s="86">
        <f t="shared" si="572"/>
        <v>82</v>
      </c>
      <c r="K541" s="86">
        <f t="shared" si="572"/>
        <v>83</v>
      </c>
      <c r="L541" s="86">
        <f t="shared" si="572"/>
        <v>84</v>
      </c>
      <c r="M541" s="86">
        <f t="shared" si="572"/>
        <v>85</v>
      </c>
    </row>
    <row r="542" ht="15.75" customHeight="1">
      <c r="A542" s="69"/>
      <c r="B542" s="69"/>
      <c r="C542" s="71"/>
      <c r="D542" s="81" t="str">
        <f>if(isblank(I542),"",vlookup(I542,Pacing!$A$1:$Z$213,15))</f>
        <v>Demo Teacher</v>
      </c>
      <c r="E542" s="81" t="str">
        <f>if(isblank(J542),"",vlookup(J542,Pacing!$A$1:$Z$213,15))</f>
        <v>Demo Teacher</v>
      </c>
      <c r="F542" s="81" t="str">
        <f>if(isblank(K542),"",vlookup(K542,Pacing!$A$1:$Z$213,15))</f>
        <v>Demo Teacher</v>
      </c>
      <c r="G542" s="81" t="str">
        <f>if(isblank(L542),"",vlookup(L542,Pacing!$A$1:$Z$213,15))</f>
        <v>Bank</v>
      </c>
      <c r="H542" s="230" t="str">
        <f>if(isblank(M542),"",vlookup(M542,Pacing!$A$1:$Z$213,15))</f>
        <v>Demo Teacher</v>
      </c>
      <c r="I542" s="86">
        <f t="shared" ref="I542:M542" si="573">I541</f>
        <v>81</v>
      </c>
      <c r="J542" s="86">
        <f t="shared" si="573"/>
        <v>82</v>
      </c>
      <c r="K542" s="86">
        <f t="shared" si="573"/>
        <v>83</v>
      </c>
      <c r="L542" s="86">
        <f t="shared" si="573"/>
        <v>84</v>
      </c>
      <c r="M542" s="86">
        <f t="shared" si="573"/>
        <v>85</v>
      </c>
    </row>
    <row r="543" ht="15.75" customHeight="1">
      <c r="A543" s="69"/>
      <c r="B543" s="69"/>
      <c r="C543" s="71"/>
      <c r="D543" s="81" t="str">
        <f>if(isblank(I543),"",vlookup(I543,Pacing!$A$1:$Z$213,16))</f>
        <v>Invest Teacher</v>
      </c>
      <c r="E543" s="81" t="str">
        <f>if(isblank(J543),"",vlookup(J543,Pacing!$A$1:$Z$213,16))</f>
        <v>Invest Teacher</v>
      </c>
      <c r="F543" s="81" t="str">
        <f>if(isblank(K543),"",vlookup(K543,Pacing!$A$1:$Z$213,16))</f>
        <v>Invest Teacher</v>
      </c>
      <c r="G543" s="81" t="str">
        <f>if(isblank(L543),"",vlookup(L543,Pacing!$A$1:$Z$213,16))</f>
        <v>Assess Plan</v>
      </c>
      <c r="H543" s="230" t="str">
        <f>if(isblank(M543),"",vlookup(M543,Pacing!$A$1:$Z$213,16))</f>
        <v>Invest Teacher</v>
      </c>
      <c r="I543" s="86">
        <f t="shared" ref="I543:M543" si="574">I542</f>
        <v>81</v>
      </c>
      <c r="J543" s="86">
        <f t="shared" si="574"/>
        <v>82</v>
      </c>
      <c r="K543" s="86">
        <f t="shared" si="574"/>
        <v>83</v>
      </c>
      <c r="L543" s="86">
        <f t="shared" si="574"/>
        <v>84</v>
      </c>
      <c r="M543" s="86">
        <f t="shared" si="574"/>
        <v>85</v>
      </c>
    </row>
    <row r="544" ht="15.75" customHeight="1">
      <c r="A544" s="69"/>
      <c r="B544" s="69"/>
      <c r="C544" s="71"/>
      <c r="D544" s="81" t="str">
        <f>if(isblank(I544),"",vlookup(I544,Pacing!$A$1:$Z$213,17))</f>
        <v>PT Teacher</v>
      </c>
      <c r="E544" s="81" t="str">
        <f>if(isblank(J544),"",vlookup(J544,Pacing!$A$1:$Z$213,17))</f>
        <v>PT Teacher</v>
      </c>
      <c r="F544" s="81" t="str">
        <f>if(isblank(K544),"",vlookup(K544,Pacing!$A$1:$Z$213,17))</f>
        <v>PT Teacher</v>
      </c>
      <c r="G544" s="89" t="str">
        <f>if(isblank(L544),"",vlookup(L544,Pacing!$A$1:$Z$213,17))</f>
        <v/>
      </c>
      <c r="H544" s="230" t="str">
        <f>if(isblank(M544),"",vlookup(M544,Pacing!$A$1:$Z$213,17))</f>
        <v>PT Teacher</v>
      </c>
      <c r="I544" s="86">
        <f t="shared" ref="I544:M544" si="575">I543</f>
        <v>81</v>
      </c>
      <c r="J544" s="86">
        <f t="shared" si="575"/>
        <v>82</v>
      </c>
      <c r="K544" s="86">
        <f t="shared" si="575"/>
        <v>83</v>
      </c>
      <c r="L544" s="86">
        <f t="shared" si="575"/>
        <v>84</v>
      </c>
      <c r="M544" s="86">
        <f t="shared" si="575"/>
        <v>85</v>
      </c>
    </row>
    <row r="545" ht="15.75" customHeight="1">
      <c r="A545" s="69"/>
      <c r="B545" s="69"/>
      <c r="C545" s="71"/>
      <c r="D545" s="81" t="str">
        <f>if(isblank(I545),"",vlookup(I545,Pacing!$A$1:$Z$213,18))</f>
        <v>Assess Plan</v>
      </c>
      <c r="E545" s="81" t="str">
        <f>if(isblank(J545),"",vlookup(J545,Pacing!$A$1:$Z$213,18))</f>
        <v>Assess Plan</v>
      </c>
      <c r="F545" s="81" t="str">
        <f>if(isblank(K545),"",vlookup(K545,Pacing!$A$1:$Z$213,18))</f>
        <v>Assess Plan</v>
      </c>
      <c r="G545" s="81" t="str">
        <f>if(isblank(L545),"",vlookup(L545,Pacing!$A$1:$Z$213,18))</f>
        <v/>
      </c>
      <c r="H545" s="230" t="str">
        <f>if(isblank(M545),"",vlookup(M545,Pacing!$A$1:$Z$213,18))</f>
        <v>Assess Plan</v>
      </c>
      <c r="I545" s="86">
        <f t="shared" ref="I545:M545" si="576">I544</f>
        <v>81</v>
      </c>
      <c r="J545" s="86">
        <f t="shared" si="576"/>
        <v>82</v>
      </c>
      <c r="K545" s="86">
        <f t="shared" si="576"/>
        <v>83</v>
      </c>
      <c r="L545" s="86">
        <f t="shared" si="576"/>
        <v>84</v>
      </c>
      <c r="M545" s="86">
        <f t="shared" si="576"/>
        <v>85</v>
      </c>
    </row>
    <row r="546" ht="15.75" customHeight="1">
      <c r="A546" s="69"/>
      <c r="B546" s="69"/>
      <c r="C546" s="71"/>
      <c r="D546" s="81" t="str">
        <f>if(isblank(I546),"",vlookup(I546,Pacing!$A$1:$Z$213,19))</f>
        <v>Perform Task</v>
      </c>
      <c r="E546" s="81" t="str">
        <f>if(isblank(J546),"",vlookup(J546,Pacing!$A$1:$Z$213,19))</f>
        <v>Perform Task</v>
      </c>
      <c r="F546" s="81" t="str">
        <f>if(isblank(K546),"",vlookup(K546,Pacing!$A$1:$Z$213,19))</f>
        <v>Perform Task</v>
      </c>
      <c r="G546" s="89" t="str">
        <f>if(isblank(L546),"",vlookup(L546,Pacing!$A$1:$Z$213,19))</f>
        <v/>
      </c>
      <c r="H546" s="230" t="str">
        <f>if(isblank(M546),"",vlookup(M546,Pacing!$A$1:$Z$213,19))</f>
        <v>Perform Task</v>
      </c>
      <c r="I546" s="86">
        <f t="shared" ref="I546:M546" si="577">I545</f>
        <v>81</v>
      </c>
      <c r="J546" s="86">
        <f t="shared" si="577"/>
        <v>82</v>
      </c>
      <c r="K546" s="86">
        <f t="shared" si="577"/>
        <v>83</v>
      </c>
      <c r="L546" s="86">
        <f t="shared" si="577"/>
        <v>84</v>
      </c>
      <c r="M546" s="86">
        <f t="shared" si="577"/>
        <v>85</v>
      </c>
    </row>
    <row r="547" ht="15.75" customHeight="1">
      <c r="A547" s="69"/>
      <c r="B547" s="69"/>
      <c r="C547" s="71"/>
      <c r="D547" s="81" t="str">
        <f>if(isblank(I547),"",vlookup(I547,Pacing!$A$1:$Z$213,20))</f>
        <v>Quick Check</v>
      </c>
      <c r="E547" s="81" t="str">
        <f>if(isblank(J547),"",vlookup(J547,Pacing!$A$1:$Z$213,20))</f>
        <v>Quick Check</v>
      </c>
      <c r="F547" s="81" t="str">
        <f>if(isblank(K547),"",vlookup(K547,Pacing!$A$1:$Z$213,20))</f>
        <v>Quick Check</v>
      </c>
      <c r="G547" s="89" t="str">
        <f>if(isblank(L547),"",vlookup(L547,Pacing!$A$1:$Z$213,20))</f>
        <v/>
      </c>
      <c r="H547" s="230" t="str">
        <f>if(isblank(M547),"",vlookup(M547,Pacing!$A$1:$Z$213,20))</f>
        <v>Quick Check</v>
      </c>
      <c r="I547" s="86">
        <f t="shared" ref="I547:M547" si="578">I546</f>
        <v>81</v>
      </c>
      <c r="J547" s="86">
        <f t="shared" si="578"/>
        <v>82</v>
      </c>
      <c r="K547" s="86">
        <f t="shared" si="578"/>
        <v>83</v>
      </c>
      <c r="L547" s="86">
        <f t="shared" si="578"/>
        <v>84</v>
      </c>
      <c r="M547" s="86">
        <f t="shared" si="578"/>
        <v>85</v>
      </c>
    </row>
    <row r="548" ht="15.75" customHeight="1">
      <c r="A548" s="69"/>
      <c r="B548" s="69"/>
      <c r="C548" s="71"/>
      <c r="D548" s="81" t="str">
        <f>if(isblank(I548),"",vlookup(I548,Pacing!$A$1:$Z$213,21))</f>
        <v>Exit Ticket</v>
      </c>
      <c r="E548" s="81" t="str">
        <f>if(isblank(J548),"",vlookup(J548,Pacing!$A$1:$Z$213,21))</f>
        <v>Exit Ticket</v>
      </c>
      <c r="F548" s="81" t="str">
        <f>if(isblank(K548),"",vlookup(K548,Pacing!$A$1:$Z$213,21))</f>
        <v>Exit Ticket</v>
      </c>
      <c r="G548" s="81" t="str">
        <f>if(isblank(L548),"",vlookup(L548,Pacing!$A$1:$Z$213,21))</f>
        <v/>
      </c>
      <c r="H548" s="230" t="str">
        <f>if(isblank(M548),"",vlookup(M548,Pacing!$A$1:$Z$213,21))</f>
        <v>Exit Ticket</v>
      </c>
      <c r="I548" s="86">
        <f t="shared" ref="I548:M548" si="579">I547</f>
        <v>81</v>
      </c>
      <c r="J548" s="86">
        <f t="shared" si="579"/>
        <v>82</v>
      </c>
      <c r="K548" s="86">
        <f t="shared" si="579"/>
        <v>83</v>
      </c>
      <c r="L548" s="86">
        <f t="shared" si="579"/>
        <v>84</v>
      </c>
      <c r="M548" s="86">
        <f t="shared" si="579"/>
        <v>85</v>
      </c>
    </row>
    <row r="549" ht="15.75" customHeight="1">
      <c r="A549" s="69"/>
      <c r="B549" s="69"/>
      <c r="C549" s="71"/>
      <c r="D549" s="81" t="str">
        <f>if(isblank(I549),"",vlookup(I549,Pacing!$A$1:$Z$213,22))</f>
        <v>Practice 2</v>
      </c>
      <c r="E549" s="81" t="str">
        <f>if(isblank(J549),"",vlookup(J549,Pacing!$A$1:$Z$213,22))</f>
        <v>Practice 2</v>
      </c>
      <c r="F549" s="81" t="str">
        <f>if(isblank(K549),"",vlookup(K549,Pacing!$A$1:$Z$213,22))</f>
        <v>Practice 2</v>
      </c>
      <c r="G549" s="91" t="str">
        <f>if(isblank(L549),"",vlookup(L549,Pacing!$A$1:$Z$213,22))</f>
        <v/>
      </c>
      <c r="H549" s="230" t="str">
        <f>if(isblank(M549),"",vlookup(M549,Pacing!$A$1:$Z$213,22))</f>
        <v>Practice 2</v>
      </c>
      <c r="I549" s="86">
        <f t="shared" ref="I549:M549" si="580">I548</f>
        <v>81</v>
      </c>
      <c r="J549" s="86">
        <f t="shared" si="580"/>
        <v>82</v>
      </c>
      <c r="K549" s="86">
        <f t="shared" si="580"/>
        <v>83</v>
      </c>
      <c r="L549" s="86">
        <f t="shared" si="580"/>
        <v>84</v>
      </c>
      <c r="M549" s="86">
        <f t="shared" si="580"/>
        <v>85</v>
      </c>
    </row>
    <row r="550" ht="15.75" customHeight="1">
      <c r="A550" s="69"/>
      <c r="B550" s="69"/>
      <c r="C550" s="71"/>
      <c r="D550" s="81" t="str">
        <f>if(isblank(I550),"",vlookup(I550,Pacing!$A$1:$Z$213,23))</f>
        <v>Practice 3</v>
      </c>
      <c r="E550" s="81" t="str">
        <f>if(isblank(J550),"",vlookup(J550,Pacing!$A$1:$Z$213,23))</f>
        <v>Practice 3</v>
      </c>
      <c r="F550" s="81" t="str">
        <f>if(isblank(K550),"",vlookup(K550,Pacing!$A$1:$Z$213,23))</f>
        <v>Practice 3</v>
      </c>
      <c r="G550" s="89" t="str">
        <f>if(isblank(L550),"",vlookup(L550,Pacing!$A$1:$Z$213,23))</f>
        <v/>
      </c>
      <c r="H550" s="230" t="str">
        <f>if(isblank(M550),"",vlookup(M550,Pacing!$A$1:$Z$213,23))</f>
        <v>Practice 3</v>
      </c>
      <c r="I550" s="86">
        <f t="shared" ref="I550:M550" si="581">I549</f>
        <v>81</v>
      </c>
      <c r="J550" s="86">
        <f t="shared" si="581"/>
        <v>82</v>
      </c>
      <c r="K550" s="86">
        <f t="shared" si="581"/>
        <v>83</v>
      </c>
      <c r="L550" s="86">
        <f t="shared" si="581"/>
        <v>84</v>
      </c>
      <c r="M550" s="86">
        <f t="shared" si="581"/>
        <v>85</v>
      </c>
    </row>
    <row r="551" ht="15.75" customHeight="1">
      <c r="A551" s="69"/>
      <c r="B551" s="69"/>
      <c r="C551" s="71"/>
      <c r="D551" s="81" t="str">
        <f>if(isblank(I551),"",vlookup(I551,Pacing!$A$1:$Z$213,24))</f>
        <v>Sum Assess</v>
      </c>
      <c r="E551" s="81" t="str">
        <f>if(isblank(J551),"",vlookup(J551,Pacing!$A$1:$Z$213,24))</f>
        <v>Sum Assess</v>
      </c>
      <c r="F551" s="81" t="str">
        <f>if(isblank(K551),"",vlookup(K551,Pacing!$A$1:$Z$213,24))</f>
        <v>Sum Assess</v>
      </c>
      <c r="G551" s="81" t="str">
        <f>if(isblank(L551),"",vlookup(L551,Pacing!$A$1:$Z$213,24))</f>
        <v/>
      </c>
      <c r="H551" s="230" t="str">
        <f>if(isblank(M551),"",vlookup(M551,Pacing!$A$1:$Z$213,24))</f>
        <v>Sum Assess</v>
      </c>
      <c r="I551" s="86">
        <f t="shared" ref="I551:M551" si="582">I550</f>
        <v>81</v>
      </c>
      <c r="J551" s="86">
        <f t="shared" si="582"/>
        <v>82</v>
      </c>
      <c r="K551" s="86">
        <f t="shared" si="582"/>
        <v>83</v>
      </c>
      <c r="L551" s="86">
        <f t="shared" si="582"/>
        <v>84</v>
      </c>
      <c r="M551" s="86">
        <f t="shared" si="582"/>
        <v>85</v>
      </c>
    </row>
    <row r="552" ht="15.75" customHeight="1">
      <c r="A552" s="69"/>
      <c r="B552" s="69"/>
      <c r="C552" s="71"/>
      <c r="D552" s="81" t="str">
        <f>if(isblank(I552),"",vlookup(I552,Pacing!$A$1:$Z$213,25))</f>
        <v>Bank</v>
      </c>
      <c r="E552" s="81" t="str">
        <f>if(isblank(J552),"",vlookup(J552,Pacing!$A$1:$Z$213,25))</f>
        <v>Bank</v>
      </c>
      <c r="F552" s="81" t="str">
        <f>if(isblank(K552),"",vlookup(K552,Pacing!$A$1:$Z$213,25))</f>
        <v>Bank</v>
      </c>
      <c r="G552" s="81" t="str">
        <f>if(isblank(L552),"",vlookup(L552,Pacing!$A$1:$Z$213,25))</f>
        <v/>
      </c>
      <c r="H552" s="230" t="str">
        <f>if(isblank(M552),"",vlookup(M552,Pacing!$A$1:$Z$213,25))</f>
        <v>Bank</v>
      </c>
      <c r="I552" s="86">
        <f t="shared" ref="I552:M552" si="583">I551</f>
        <v>81</v>
      </c>
      <c r="J552" s="86">
        <f t="shared" si="583"/>
        <v>82</v>
      </c>
      <c r="K552" s="86">
        <f t="shared" si="583"/>
        <v>83</v>
      </c>
      <c r="L552" s="86">
        <f t="shared" si="583"/>
        <v>84</v>
      </c>
      <c r="M552" s="86">
        <f t="shared" si="583"/>
        <v>85</v>
      </c>
    </row>
    <row r="553" ht="15.75" customHeight="1">
      <c r="A553" s="69"/>
      <c r="B553" s="69"/>
      <c r="C553" s="71"/>
      <c r="D553" s="91" t="str">
        <f>if(isblank(I553),"",vlookup(I553,Pacing!$A$1:$Z$213,26))</f>
        <v/>
      </c>
      <c r="E553" s="89" t="str">
        <f>if(isblank(J553),"",vlookup(J553,Pacing!$A$1:$Z$213,26))</f>
        <v/>
      </c>
      <c r="F553" s="89" t="str">
        <f>if(isblank(K553),"",vlookup(K553,Pacing!$A$1:$Z$213,26))</f>
        <v/>
      </c>
      <c r="G553" s="89" t="str">
        <f>if(isblank(L553),"",vlookup(L553,Pacing!$A$1:$Z$213,26))</f>
        <v/>
      </c>
      <c r="H553" s="232" t="str">
        <f>if(isblank(M553),"",vlookup(M553,Pacing!$A$1:$Z$213,26))</f>
        <v/>
      </c>
      <c r="I553" s="86">
        <f t="shared" ref="I553:M553" si="584">I552</f>
        <v>81</v>
      </c>
      <c r="J553" s="86">
        <f t="shared" si="584"/>
        <v>82</v>
      </c>
      <c r="K553" s="86">
        <f t="shared" si="584"/>
        <v>83</v>
      </c>
      <c r="L553" s="86">
        <f t="shared" si="584"/>
        <v>84</v>
      </c>
      <c r="M553" s="86">
        <f t="shared" si="584"/>
        <v>85</v>
      </c>
    </row>
    <row r="554" ht="15.75" customHeight="1">
      <c r="A554" s="137"/>
      <c r="B554" s="137"/>
      <c r="C554" s="138"/>
      <c r="D554" s="139"/>
      <c r="E554" s="139">
        <f>H527+1</f>
        <v>86</v>
      </c>
      <c r="F554" s="139">
        <f t="shared" ref="F554:H554" si="585">E554+1</f>
        <v>87</v>
      </c>
      <c r="G554" s="139">
        <f t="shared" si="585"/>
        <v>88</v>
      </c>
      <c r="H554" s="139">
        <f t="shared" si="585"/>
        <v>89</v>
      </c>
      <c r="I554" s="55" t="str">
        <f t="shared" ref="I554:M554" si="586">D554</f>
        <v/>
      </c>
      <c r="J554" s="55">
        <f t="shared" si="586"/>
        <v>86</v>
      </c>
      <c r="K554" s="55">
        <f t="shared" si="586"/>
        <v>87</v>
      </c>
      <c r="L554" s="55">
        <f t="shared" si="586"/>
        <v>88</v>
      </c>
      <c r="M554" s="55">
        <f t="shared" si="586"/>
        <v>89</v>
      </c>
    </row>
    <row r="555" ht="15.75" customHeight="1">
      <c r="A555" s="69">
        <f>B555+1</f>
        <v>211</v>
      </c>
      <c r="B555" s="69">
        <f t="shared" ref="B555:B562" si="588">$C$555*10</f>
        <v>210</v>
      </c>
      <c r="C555" s="71">
        <v>21.0</v>
      </c>
      <c r="D555" s="74">
        <f>D528+7</f>
        <v>46405</v>
      </c>
      <c r="E555" s="72">
        <f t="shared" ref="E555:H555" si="587">D555+1</f>
        <v>46406</v>
      </c>
      <c r="F555" s="72">
        <f t="shared" si="587"/>
        <v>46407</v>
      </c>
      <c r="G555" s="72">
        <f t="shared" si="587"/>
        <v>46408</v>
      </c>
      <c r="H555" s="72">
        <f t="shared" si="587"/>
        <v>46409</v>
      </c>
      <c r="I555" s="62" t="s">
        <v>42</v>
      </c>
    </row>
    <row r="556" ht="15.75" customHeight="1">
      <c r="A556" s="75">
        <f>B556+2</f>
        <v>212</v>
      </c>
      <c r="B556" s="75">
        <f t="shared" si="588"/>
        <v>210</v>
      </c>
      <c r="C556" s="76"/>
      <c r="D556" s="77" t="str">
        <f>if(isblank(I556),"",vlookup(I556,Pacing!$A$1:$Z$213,2))</f>
        <v/>
      </c>
      <c r="E556" s="131" t="str">
        <f>if(isblank(J556),"",vlookup(J556,Pacing!$A$1:$Z$213,2))</f>
        <v>6.1: Nature of Light</v>
      </c>
      <c r="F556" s="131" t="str">
        <f>if(isblank(K556),"",vlookup(K556,Pacing!$A$1:$Z$213,2))</f>
        <v>6.1: Nature of Light</v>
      </c>
      <c r="G556" s="131" t="str">
        <f>if(isblank(L556),"",vlookup(L556,Pacing!$A$1:$Z$213,2))</f>
        <v>6.2: Refl &amp; Mirrors</v>
      </c>
      <c r="H556" s="131" t="str">
        <f>if(isblank(M556),"",vlookup(M556,Pacing!$A$1:$Z$213,2))</f>
        <v>6.2: Refl &amp; Mirrors</v>
      </c>
      <c r="I556" s="78" t="str">
        <f t="shared" ref="I556:M556" si="589">I554</f>
        <v/>
      </c>
      <c r="J556" s="78">
        <f t="shared" si="589"/>
        <v>86</v>
      </c>
      <c r="K556" s="78">
        <f t="shared" si="589"/>
        <v>87</v>
      </c>
      <c r="L556" s="78">
        <f t="shared" si="589"/>
        <v>88</v>
      </c>
      <c r="M556" s="78">
        <f t="shared" si="589"/>
        <v>89</v>
      </c>
    </row>
    <row r="557" ht="15.75" customHeight="1">
      <c r="A557" s="69">
        <f>B557+3</f>
        <v>213</v>
      </c>
      <c r="B557" s="69">
        <f t="shared" si="588"/>
        <v>210</v>
      </c>
      <c r="C557" s="76"/>
      <c r="D557" s="129" t="str">
        <f>if(isblank(I557),"",vlookup(I557,Pacing!$A$1:$Z$213,3))</f>
        <v/>
      </c>
      <c r="E557" s="81" t="str">
        <f>if(isblank(J557),"",vlookup(J557,Pacing!$A$1:$Z$213,3))</f>
        <v>Warm Up</v>
      </c>
      <c r="F557" s="81" t="str">
        <f>if(isblank(K557),"",vlookup(K557,Pacing!$A$1:$Z$213,3))</f>
        <v>Warm Up</v>
      </c>
      <c r="G557" s="81" t="str">
        <f>if(isblank(L557),"",vlookup(L557,Pacing!$A$1:$Z$213,3))</f>
        <v>Warm Up</v>
      </c>
      <c r="H557" s="81" t="str">
        <f>if(isblank(M557),"",vlookup(M557,Pacing!$A$1:$Z$213,3))</f>
        <v>Warm Up</v>
      </c>
      <c r="I557" s="86" t="str">
        <f t="shared" ref="I557:M557" si="590">I556</f>
        <v/>
      </c>
      <c r="J557" s="86">
        <f t="shared" si="590"/>
        <v>86</v>
      </c>
      <c r="K557" s="86">
        <f t="shared" si="590"/>
        <v>87</v>
      </c>
      <c r="L557" s="86">
        <f t="shared" si="590"/>
        <v>88</v>
      </c>
      <c r="M557" s="86">
        <f t="shared" si="590"/>
        <v>89</v>
      </c>
    </row>
    <row r="558" ht="15.75" customHeight="1">
      <c r="A558" s="69">
        <f>B558+4</f>
        <v>214</v>
      </c>
      <c r="B558" s="69">
        <f t="shared" si="588"/>
        <v>210</v>
      </c>
      <c r="C558" s="76"/>
      <c r="D558" s="129" t="str">
        <f>if(isblank(I558),"",vlookup(I558,Pacing!$A$1:$Z$213,4))</f>
        <v/>
      </c>
      <c r="E558" s="81" t="str">
        <f>if(isblank(J558),"",vlookup(J558,Pacing!$A$1:$Z$213,4))</f>
        <v>Demo</v>
      </c>
      <c r="F558" s="81" t="str">
        <f>if(isblank(K558),"",vlookup(K558,Pacing!$A$1:$Z$213,4))</f>
        <v>Demo</v>
      </c>
      <c r="G558" s="81" t="str">
        <f>if(isblank(L558),"",vlookup(L558,Pacing!$A$1:$Z$213,4))</f>
        <v>Demo</v>
      </c>
      <c r="H558" s="81" t="str">
        <f>if(isblank(M558),"",vlookup(M558,Pacing!$A$1:$Z$213,4))</f>
        <v>Demo</v>
      </c>
      <c r="I558" s="86" t="str">
        <f t="shared" ref="I558:M558" si="591">I557</f>
        <v/>
      </c>
      <c r="J558" s="86">
        <f t="shared" si="591"/>
        <v>86</v>
      </c>
      <c r="K558" s="86">
        <f t="shared" si="591"/>
        <v>87</v>
      </c>
      <c r="L558" s="86">
        <f t="shared" si="591"/>
        <v>88</v>
      </c>
      <c r="M558" s="86">
        <f t="shared" si="591"/>
        <v>89</v>
      </c>
    </row>
    <row r="559" ht="15.75" customHeight="1">
      <c r="A559" s="69">
        <f>B559+5</f>
        <v>215</v>
      </c>
      <c r="B559" s="69">
        <f t="shared" si="588"/>
        <v>210</v>
      </c>
      <c r="C559" s="76"/>
      <c r="D559" s="129" t="str">
        <f>if(isblank(I559),"",vlookup(I559,Pacing!$A$1:$Z$213,5))</f>
        <v/>
      </c>
      <c r="E559" s="81" t="str">
        <f>if(isblank(J559),"",vlookup(J559,Pacing!$A$1:$Z$213,5))</f>
        <v>Notes</v>
      </c>
      <c r="F559" s="81" t="str">
        <f>if(isblank(K559),"",vlookup(K559,Pacing!$A$1:$Z$213,5))</f>
        <v>Notes</v>
      </c>
      <c r="G559" s="81" t="str">
        <f>if(isblank(L559),"",vlookup(L559,Pacing!$A$1:$Z$213,5))</f>
        <v>Notes</v>
      </c>
      <c r="H559" s="81" t="str">
        <f>if(isblank(M559),"",vlookup(M559,Pacing!$A$1:$Z$213,5))</f>
        <v>Notes</v>
      </c>
      <c r="I559" s="86" t="str">
        <f t="shared" ref="I559:M559" si="592">I558</f>
        <v/>
      </c>
      <c r="J559" s="86">
        <f t="shared" si="592"/>
        <v>86</v>
      </c>
      <c r="K559" s="86">
        <f t="shared" si="592"/>
        <v>87</v>
      </c>
      <c r="L559" s="86">
        <f t="shared" si="592"/>
        <v>88</v>
      </c>
      <c r="M559" s="86">
        <f t="shared" si="592"/>
        <v>89</v>
      </c>
    </row>
    <row r="560" ht="15.75" customHeight="1">
      <c r="A560" s="69">
        <f>B560+6</f>
        <v>216</v>
      </c>
      <c r="B560" s="69">
        <f t="shared" si="588"/>
        <v>210</v>
      </c>
      <c r="C560" s="76"/>
      <c r="D560" s="129" t="str">
        <f>if(isblank(I560),"",vlookup(I560,Pacing!$A$1:$Z$213,6))</f>
        <v/>
      </c>
      <c r="E560" s="81" t="str">
        <f>if(isblank(J560),"",vlookup(J560,Pacing!$A$1:$Z$213,6))</f>
        <v>Investigation</v>
      </c>
      <c r="F560" s="81" t="str">
        <f>if(isblank(K560),"",vlookup(K560,Pacing!$A$1:$Z$213,6))</f>
        <v>Investigation</v>
      </c>
      <c r="G560" s="81" t="str">
        <f>if(isblank(L560),"",vlookup(L560,Pacing!$A$1:$Z$213,6))</f>
        <v>Investigation</v>
      </c>
      <c r="H560" s="81" t="str">
        <f>if(isblank(M560),"",vlookup(M560,Pacing!$A$1:$Z$213,6))</f>
        <v>Investigation</v>
      </c>
      <c r="I560" s="86" t="str">
        <f t="shared" ref="I560:M560" si="593">I559</f>
        <v/>
      </c>
      <c r="J560" s="86">
        <f t="shared" si="593"/>
        <v>86</v>
      </c>
      <c r="K560" s="86">
        <f t="shared" si="593"/>
        <v>87</v>
      </c>
      <c r="L560" s="86">
        <f t="shared" si="593"/>
        <v>88</v>
      </c>
      <c r="M560" s="86">
        <f t="shared" si="593"/>
        <v>89</v>
      </c>
    </row>
    <row r="561" ht="15.75" customHeight="1">
      <c r="A561" s="69">
        <f>B561+7</f>
        <v>217</v>
      </c>
      <c r="B561" s="69">
        <f t="shared" si="588"/>
        <v>210</v>
      </c>
      <c r="C561" s="76"/>
      <c r="D561" s="129" t="str">
        <f>if(isblank(I561),"",vlookup(I561,Pacing!$A$1:$Z$213,7))</f>
        <v/>
      </c>
      <c r="E561" s="81" t="str">
        <f>if(isblank(J561),"",vlookup(J561,Pacing!$A$1:$Z$213,7))</f>
        <v>Activity</v>
      </c>
      <c r="F561" s="81" t="str">
        <f>if(isblank(K561),"",vlookup(K561,Pacing!$A$1:$Z$213,7))</f>
        <v>Activity</v>
      </c>
      <c r="G561" s="81" t="str">
        <f>if(isblank(L561),"",vlookup(L561,Pacing!$A$1:$Z$213,7))</f>
        <v>Activity</v>
      </c>
      <c r="H561" s="81" t="str">
        <f>if(isblank(M561),"",vlookup(M561,Pacing!$A$1:$Z$213,7))</f>
        <v>Activity</v>
      </c>
      <c r="I561" s="86" t="str">
        <f t="shared" ref="I561:M561" si="594">I560</f>
        <v/>
      </c>
      <c r="J561" s="86">
        <f t="shared" si="594"/>
        <v>86</v>
      </c>
      <c r="K561" s="86">
        <f t="shared" si="594"/>
        <v>87</v>
      </c>
      <c r="L561" s="86">
        <f t="shared" si="594"/>
        <v>88</v>
      </c>
      <c r="M561" s="86">
        <f t="shared" si="594"/>
        <v>89</v>
      </c>
    </row>
    <row r="562" ht="15.75" customHeight="1">
      <c r="A562" s="69">
        <f>B562+8</f>
        <v>218</v>
      </c>
      <c r="B562" s="69">
        <f t="shared" si="588"/>
        <v>210</v>
      </c>
      <c r="C562" s="95"/>
      <c r="D562" s="129" t="str">
        <f>if(isblank(I562),"",vlookup(I562,Pacing!$A$1:$Z$213,8))</f>
        <v/>
      </c>
      <c r="E562" s="81" t="str">
        <f>if(isblank(J562),"",vlookup(J562,Pacing!$A$1:$Z$213,8))</f>
        <v>Practice Set</v>
      </c>
      <c r="F562" s="81" t="str">
        <f>if(isblank(K562),"",vlookup(K562,Pacing!$A$1:$Z$213,8))</f>
        <v>Practice Set</v>
      </c>
      <c r="G562" s="81" t="str">
        <f>if(isblank(L562),"",vlookup(L562,Pacing!$A$1:$Z$213,8))</f>
        <v>Practice Set</v>
      </c>
      <c r="H562" s="81" t="str">
        <f>if(isblank(M562),"",vlookup(M562,Pacing!$A$1:$Z$213,8))</f>
        <v>Practice Set</v>
      </c>
      <c r="I562" s="86" t="str">
        <f t="shared" ref="I562:M562" si="595">I561</f>
        <v/>
      </c>
      <c r="J562" s="86">
        <f t="shared" si="595"/>
        <v>86</v>
      </c>
      <c r="K562" s="86">
        <f t="shared" si="595"/>
        <v>87</v>
      </c>
      <c r="L562" s="86">
        <f t="shared" si="595"/>
        <v>88</v>
      </c>
      <c r="M562" s="86">
        <f t="shared" si="595"/>
        <v>89</v>
      </c>
    </row>
    <row r="563" ht="15.75" customHeight="1">
      <c r="A563" s="69"/>
      <c r="B563" s="69"/>
      <c r="C563" s="71"/>
      <c r="D563" s="129" t="str">
        <f>if(isblank(I563),"",vlookup(I563,Pacing!$A$1:$Z$213,9))</f>
        <v/>
      </c>
      <c r="E563" s="81" t="str">
        <f>if(isblank(J563),"",vlookup(J563,Pacing!$A$1:$Z$213,9))</f>
        <v>Extra Practice</v>
      </c>
      <c r="F563" s="81" t="str">
        <f>if(isblank(K563),"",vlookup(K563,Pacing!$A$1:$Z$213,9))</f>
        <v>Extra Practice</v>
      </c>
      <c r="G563" s="81" t="str">
        <f>if(isblank(L563),"",vlookup(L563,Pacing!$A$1:$Z$213,9))</f>
        <v>Extra Practice</v>
      </c>
      <c r="H563" s="81" t="str">
        <f>if(isblank(M563),"",vlookup(M563,Pacing!$A$1:$Z$213,9))</f>
        <v>Extra Practice</v>
      </c>
      <c r="I563" s="86" t="str">
        <f t="shared" ref="I563:M563" si="596">I562</f>
        <v/>
      </c>
      <c r="J563" s="86">
        <f t="shared" si="596"/>
        <v>86</v>
      </c>
      <c r="K563" s="86">
        <f t="shared" si="596"/>
        <v>87</v>
      </c>
      <c r="L563" s="86">
        <f t="shared" si="596"/>
        <v>88</v>
      </c>
      <c r="M563" s="86">
        <f t="shared" si="596"/>
        <v>89</v>
      </c>
    </row>
    <row r="564" ht="15.75" customHeight="1">
      <c r="A564" s="69"/>
      <c r="B564" s="69"/>
      <c r="C564" s="71"/>
      <c r="D564" s="129" t="str">
        <f>if(isblank(I564),"",vlookup(I564,Pacing!$A$1:$Z$213,10))</f>
        <v/>
      </c>
      <c r="E564" s="81" t="str">
        <f>if(isblank(J564),"",vlookup(J564,Pacing!$A$1:$Z$213,10))</f>
        <v>CYU</v>
      </c>
      <c r="F564" s="81" t="str">
        <f>if(isblank(K564),"",vlookup(K564,Pacing!$A$1:$Z$213,10))</f>
        <v>CYU</v>
      </c>
      <c r="G564" s="81" t="str">
        <f>if(isblank(L564),"",vlookup(L564,Pacing!$A$1:$Z$213,10))</f>
        <v>CYU</v>
      </c>
      <c r="H564" s="81" t="str">
        <f>if(isblank(M564),"",vlookup(M564,Pacing!$A$1:$Z$213,10))</f>
        <v>CYU</v>
      </c>
      <c r="I564" s="86" t="str">
        <f t="shared" ref="I564:M564" si="597">I563</f>
        <v/>
      </c>
      <c r="J564" s="86">
        <f t="shared" si="597"/>
        <v>86</v>
      </c>
      <c r="K564" s="86">
        <f t="shared" si="597"/>
        <v>87</v>
      </c>
      <c r="L564" s="86">
        <f t="shared" si="597"/>
        <v>88</v>
      </c>
      <c r="M564" s="86">
        <f t="shared" si="597"/>
        <v>89</v>
      </c>
    </row>
    <row r="565" ht="15.75" customHeight="1">
      <c r="A565" s="69"/>
      <c r="B565" s="69"/>
      <c r="C565" s="71"/>
      <c r="D565" s="129" t="str">
        <f>if(isblank(I565),"",vlookup(I565,Pacing!$A$1:$Z$213,11))</f>
        <v/>
      </c>
      <c r="E565" s="81" t="str">
        <f>if(isblank(J565),"",vlookup(J565,Pacing!$A$1:$Z$213,11))</f>
        <v>Progress</v>
      </c>
      <c r="F565" s="81" t="str">
        <f>if(isblank(K565),"",vlookup(K565,Pacing!$A$1:$Z$213,11))</f>
        <v>Progress</v>
      </c>
      <c r="G565" s="81" t="str">
        <f>if(isblank(L565),"",vlookup(L565,Pacing!$A$1:$Z$213,11))</f>
        <v>Progress</v>
      </c>
      <c r="H565" s="81" t="str">
        <f>if(isblank(M565),"",vlookup(M565,Pacing!$A$1:$Z$213,11))</f>
        <v>Progress</v>
      </c>
      <c r="I565" s="86" t="str">
        <f t="shared" ref="I565:M565" si="598">I564</f>
        <v/>
      </c>
      <c r="J565" s="86">
        <f t="shared" si="598"/>
        <v>86</v>
      </c>
      <c r="K565" s="86">
        <f t="shared" si="598"/>
        <v>87</v>
      </c>
      <c r="L565" s="86">
        <f t="shared" si="598"/>
        <v>88</v>
      </c>
      <c r="M565" s="86">
        <f t="shared" si="598"/>
        <v>89</v>
      </c>
    </row>
    <row r="566" ht="15.75" customHeight="1">
      <c r="A566" s="69"/>
      <c r="B566" s="69"/>
      <c r="C566" s="71"/>
      <c r="D566" s="129" t="str">
        <f>if(isblank(I566),"",vlookup(I566,Pacing!$A$1:$Z$213,12))</f>
        <v/>
      </c>
      <c r="E566" s="81" t="str">
        <f>if(isblank(J566),"",vlookup(J566,Pacing!$A$1:$Z$213,12))</f>
        <v>Review</v>
      </c>
      <c r="F566" s="81" t="str">
        <f>if(isblank(K566),"",vlookup(K566,Pacing!$A$1:$Z$213,12))</f>
        <v>Review</v>
      </c>
      <c r="G566" s="81" t="str">
        <f>if(isblank(L566),"",vlookup(L566,Pacing!$A$1:$Z$213,12))</f>
        <v>Review</v>
      </c>
      <c r="H566" s="81" t="str">
        <f>if(isblank(M566),"",vlookup(M566,Pacing!$A$1:$Z$213,12))</f>
        <v>Review</v>
      </c>
      <c r="I566" s="86" t="str">
        <f t="shared" ref="I566:M566" si="599">I565</f>
        <v/>
      </c>
      <c r="J566" s="86">
        <f t="shared" si="599"/>
        <v>86</v>
      </c>
      <c r="K566" s="86">
        <f t="shared" si="599"/>
        <v>87</v>
      </c>
      <c r="L566" s="86">
        <f t="shared" si="599"/>
        <v>88</v>
      </c>
      <c r="M566" s="86">
        <f t="shared" si="599"/>
        <v>89</v>
      </c>
    </row>
    <row r="567" ht="15.75" customHeight="1">
      <c r="A567" s="69"/>
      <c r="B567" s="69"/>
      <c r="C567" s="71"/>
      <c r="D567" s="129" t="str">
        <f>if(isblank(I567),"",vlookup(I567,Pacing!$A$1:$Z$213,13))</f>
        <v/>
      </c>
      <c r="E567" s="91" t="str">
        <f>if(isblank(J567),"",vlookup(J567,Pacing!$A$1:$Z$213,13))</f>
        <v/>
      </c>
      <c r="F567" s="91" t="str">
        <f>if(isblank(K567),"",vlookup(K567,Pacing!$A$1:$Z$213,13))</f>
        <v/>
      </c>
      <c r="G567" s="91" t="str">
        <f>if(isblank(L567),"",vlookup(L567,Pacing!$A$1:$Z$213,13))</f>
        <v/>
      </c>
      <c r="H567" s="91" t="str">
        <f>if(isblank(M567),"",vlookup(M567,Pacing!$A$1:$Z$213,13))</f>
        <v/>
      </c>
      <c r="I567" s="86" t="str">
        <f t="shared" ref="I567:M567" si="600">I566</f>
        <v/>
      </c>
      <c r="J567" s="86">
        <f t="shared" si="600"/>
        <v>86</v>
      </c>
      <c r="K567" s="86">
        <f t="shared" si="600"/>
        <v>87</v>
      </c>
      <c r="L567" s="86">
        <f t="shared" si="600"/>
        <v>88</v>
      </c>
      <c r="M567" s="86">
        <f t="shared" si="600"/>
        <v>89</v>
      </c>
    </row>
    <row r="568" ht="15.75" customHeight="1">
      <c r="A568" s="69"/>
      <c r="B568" s="69"/>
      <c r="C568" s="71"/>
      <c r="D568" s="129" t="str">
        <f>if(isblank(I568),"",vlookup(I568,Pacing!$A$1:$Z$213,14))</f>
        <v/>
      </c>
      <c r="E568" s="81" t="str">
        <f>if(isblank(J568),"",vlookup(J568,Pacing!$A$1:$Z$213,14))</f>
        <v>Notes Teacher</v>
      </c>
      <c r="F568" s="81" t="str">
        <f>if(isblank(K568),"",vlookup(K568,Pacing!$A$1:$Z$213,14))</f>
        <v>Notes Teacher</v>
      </c>
      <c r="G568" s="81" t="str">
        <f>if(isblank(L568),"",vlookup(L568,Pacing!$A$1:$Z$213,14))</f>
        <v>Notes Teacher</v>
      </c>
      <c r="H568" s="81" t="str">
        <f>if(isblank(M568),"",vlookup(M568,Pacing!$A$1:$Z$213,14))</f>
        <v>Notes Teacher</v>
      </c>
      <c r="I568" s="86" t="str">
        <f t="shared" ref="I568:M568" si="601">I567</f>
        <v/>
      </c>
      <c r="J568" s="86">
        <f t="shared" si="601"/>
        <v>86</v>
      </c>
      <c r="K568" s="86">
        <f t="shared" si="601"/>
        <v>87</v>
      </c>
      <c r="L568" s="86">
        <f t="shared" si="601"/>
        <v>88</v>
      </c>
      <c r="M568" s="86">
        <f t="shared" si="601"/>
        <v>89</v>
      </c>
    </row>
    <row r="569" ht="15.75" customHeight="1">
      <c r="A569" s="69"/>
      <c r="B569" s="69"/>
      <c r="C569" s="71"/>
      <c r="D569" s="129" t="str">
        <f>if(isblank(I569),"",vlookup(I569,Pacing!$A$1:$Z$213,15))</f>
        <v/>
      </c>
      <c r="E569" s="81" t="str">
        <f>if(isblank(J569),"",vlookup(J569,Pacing!$A$1:$Z$213,15))</f>
        <v>Demo Teacher</v>
      </c>
      <c r="F569" s="81" t="str">
        <f>if(isblank(K569),"",vlookup(K569,Pacing!$A$1:$Z$213,15))</f>
        <v>Demo Teacher</v>
      </c>
      <c r="G569" s="81" t="str">
        <f>if(isblank(L569),"",vlookup(L569,Pacing!$A$1:$Z$213,15))</f>
        <v>Demo Teacher</v>
      </c>
      <c r="H569" s="81" t="str">
        <f>if(isblank(M569),"",vlookup(M569,Pacing!$A$1:$Z$213,15))</f>
        <v>Demo Teacher</v>
      </c>
      <c r="I569" s="86" t="str">
        <f t="shared" ref="I569:M569" si="602">I568</f>
        <v/>
      </c>
      <c r="J569" s="86">
        <f t="shared" si="602"/>
        <v>86</v>
      </c>
      <c r="K569" s="86">
        <f t="shared" si="602"/>
        <v>87</v>
      </c>
      <c r="L569" s="86">
        <f t="shared" si="602"/>
        <v>88</v>
      </c>
      <c r="M569" s="86">
        <f t="shared" si="602"/>
        <v>89</v>
      </c>
    </row>
    <row r="570" ht="15.75" customHeight="1">
      <c r="A570" s="69"/>
      <c r="B570" s="69"/>
      <c r="C570" s="71"/>
      <c r="D570" s="129" t="str">
        <f>if(isblank(I570),"",vlookup(I570,Pacing!$A$1:$Z$213,16))</f>
        <v/>
      </c>
      <c r="E570" s="81" t="str">
        <f>if(isblank(J570),"",vlookup(J570,Pacing!$A$1:$Z$213,16))</f>
        <v>Invest Teacher</v>
      </c>
      <c r="F570" s="81" t="str">
        <f>if(isblank(K570),"",vlookup(K570,Pacing!$A$1:$Z$213,16))</f>
        <v>Invest Teacher</v>
      </c>
      <c r="G570" s="81" t="str">
        <f>if(isblank(L570),"",vlookup(L570,Pacing!$A$1:$Z$213,16))</f>
        <v>Invest Teacher</v>
      </c>
      <c r="H570" s="81" t="str">
        <f>if(isblank(M570),"",vlookup(M570,Pacing!$A$1:$Z$213,16))</f>
        <v>Invest Teacher</v>
      </c>
      <c r="I570" s="86" t="str">
        <f t="shared" ref="I570:M570" si="603">I569</f>
        <v/>
      </c>
      <c r="J570" s="86">
        <f t="shared" si="603"/>
        <v>86</v>
      </c>
      <c r="K570" s="86">
        <f t="shared" si="603"/>
        <v>87</v>
      </c>
      <c r="L570" s="86">
        <f t="shared" si="603"/>
        <v>88</v>
      </c>
      <c r="M570" s="86">
        <f t="shared" si="603"/>
        <v>89</v>
      </c>
    </row>
    <row r="571" ht="15.75" customHeight="1">
      <c r="A571" s="69"/>
      <c r="B571" s="69"/>
      <c r="C571" s="71"/>
      <c r="D571" s="129" t="str">
        <f>if(isblank(I571),"",vlookup(I571,Pacing!$A$1:$Z$213,17))</f>
        <v/>
      </c>
      <c r="E571" s="81" t="str">
        <f>if(isblank(J571),"",vlookup(J571,Pacing!$A$1:$Z$213,17))</f>
        <v>PT Teacher</v>
      </c>
      <c r="F571" s="81" t="str">
        <f>if(isblank(K571),"",vlookup(K571,Pacing!$A$1:$Z$213,17))</f>
        <v>PT Teacher</v>
      </c>
      <c r="G571" s="81" t="str">
        <f>if(isblank(L571),"",vlookup(L571,Pacing!$A$1:$Z$213,17))</f>
        <v>PT Teacher</v>
      </c>
      <c r="H571" s="81" t="str">
        <f>if(isblank(M571),"",vlookup(M571,Pacing!$A$1:$Z$213,17))</f>
        <v>PT Teacher</v>
      </c>
      <c r="I571" s="86" t="str">
        <f t="shared" ref="I571:M571" si="604">I570</f>
        <v/>
      </c>
      <c r="J571" s="86">
        <f t="shared" si="604"/>
        <v>86</v>
      </c>
      <c r="K571" s="86">
        <f t="shared" si="604"/>
        <v>87</v>
      </c>
      <c r="L571" s="86">
        <f t="shared" si="604"/>
        <v>88</v>
      </c>
      <c r="M571" s="86">
        <f t="shared" si="604"/>
        <v>89</v>
      </c>
    </row>
    <row r="572" ht="15.75" customHeight="1">
      <c r="A572" s="69"/>
      <c r="B572" s="69"/>
      <c r="C572" s="71"/>
      <c r="D572" s="129" t="str">
        <f>if(isblank(I572),"",vlookup(I572,Pacing!$A$1:$Z$213,18))</f>
        <v/>
      </c>
      <c r="E572" s="81" t="str">
        <f>if(isblank(J572),"",vlookup(J572,Pacing!$A$1:$Z$213,18))</f>
        <v>Assess Plan</v>
      </c>
      <c r="F572" s="81" t="str">
        <f>if(isblank(K572),"",vlookup(K572,Pacing!$A$1:$Z$213,18))</f>
        <v>Assess Plan</v>
      </c>
      <c r="G572" s="81" t="str">
        <f>if(isblank(L572),"",vlookup(L572,Pacing!$A$1:$Z$213,18))</f>
        <v>Assess Plan</v>
      </c>
      <c r="H572" s="81" t="str">
        <f>if(isblank(M572),"",vlookup(M572,Pacing!$A$1:$Z$213,18))</f>
        <v>Assess Plan</v>
      </c>
      <c r="I572" s="86" t="str">
        <f t="shared" ref="I572:M572" si="605">I571</f>
        <v/>
      </c>
      <c r="J572" s="86">
        <f t="shared" si="605"/>
        <v>86</v>
      </c>
      <c r="K572" s="86">
        <f t="shared" si="605"/>
        <v>87</v>
      </c>
      <c r="L572" s="86">
        <f t="shared" si="605"/>
        <v>88</v>
      </c>
      <c r="M572" s="86">
        <f t="shared" si="605"/>
        <v>89</v>
      </c>
    </row>
    <row r="573" ht="15.75" customHeight="1">
      <c r="A573" s="69"/>
      <c r="B573" s="69"/>
      <c r="C573" s="71"/>
      <c r="D573" s="129" t="str">
        <f>if(isblank(I573),"",vlookup(I573,Pacing!$A$1:$Z$213,19))</f>
        <v/>
      </c>
      <c r="E573" s="81" t="str">
        <f>if(isblank(J573),"",vlookup(J573,Pacing!$A$1:$Z$213,19))</f>
        <v>Perform Task</v>
      </c>
      <c r="F573" s="81" t="str">
        <f>if(isblank(K573),"",vlookup(K573,Pacing!$A$1:$Z$213,19))</f>
        <v>Perform Task</v>
      </c>
      <c r="G573" s="81" t="str">
        <f>if(isblank(L573),"",vlookup(L573,Pacing!$A$1:$Z$213,19))</f>
        <v>Perform Task</v>
      </c>
      <c r="H573" s="81" t="str">
        <f>if(isblank(M573),"",vlookup(M573,Pacing!$A$1:$Z$213,19))</f>
        <v>Perform Task</v>
      </c>
      <c r="I573" s="86" t="str">
        <f t="shared" ref="I573:M573" si="606">I572</f>
        <v/>
      </c>
      <c r="J573" s="86">
        <f t="shared" si="606"/>
        <v>86</v>
      </c>
      <c r="K573" s="86">
        <f t="shared" si="606"/>
        <v>87</v>
      </c>
      <c r="L573" s="86">
        <f t="shared" si="606"/>
        <v>88</v>
      </c>
      <c r="M573" s="86">
        <f t="shared" si="606"/>
        <v>89</v>
      </c>
    </row>
    <row r="574" ht="15.75" customHeight="1">
      <c r="A574" s="69"/>
      <c r="B574" s="69"/>
      <c r="C574" s="71"/>
      <c r="D574" s="129" t="str">
        <f>if(isblank(I574),"",vlookup(I574,Pacing!$A$1:$Z$213,20))</f>
        <v/>
      </c>
      <c r="E574" s="81" t="str">
        <f>if(isblank(J574),"",vlookup(J574,Pacing!$A$1:$Z$213,20))</f>
        <v>Quick Check</v>
      </c>
      <c r="F574" s="81" t="str">
        <f>if(isblank(K574),"",vlookup(K574,Pacing!$A$1:$Z$213,20))</f>
        <v>Quick Check</v>
      </c>
      <c r="G574" s="81" t="str">
        <f>if(isblank(L574),"",vlookup(L574,Pacing!$A$1:$Z$213,20))</f>
        <v>Quick Check</v>
      </c>
      <c r="H574" s="81" t="str">
        <f>if(isblank(M574),"",vlookup(M574,Pacing!$A$1:$Z$213,20))</f>
        <v>Quick Check</v>
      </c>
      <c r="I574" s="86" t="str">
        <f t="shared" ref="I574:M574" si="607">I573</f>
        <v/>
      </c>
      <c r="J574" s="86">
        <f t="shared" si="607"/>
        <v>86</v>
      </c>
      <c r="K574" s="86">
        <f t="shared" si="607"/>
        <v>87</v>
      </c>
      <c r="L574" s="86">
        <f t="shared" si="607"/>
        <v>88</v>
      </c>
      <c r="M574" s="86">
        <f t="shared" si="607"/>
        <v>89</v>
      </c>
    </row>
    <row r="575" ht="15.75" customHeight="1">
      <c r="A575" s="69"/>
      <c r="B575" s="69"/>
      <c r="C575" s="71"/>
      <c r="D575" s="129" t="str">
        <f>if(isblank(I575),"",vlookup(I575,Pacing!$A$1:$Z$213,21))</f>
        <v/>
      </c>
      <c r="E575" s="81" t="str">
        <f>if(isblank(J575),"",vlookup(J575,Pacing!$A$1:$Z$213,21))</f>
        <v>Exit Ticket</v>
      </c>
      <c r="F575" s="81" t="str">
        <f>if(isblank(K575),"",vlookup(K575,Pacing!$A$1:$Z$213,21))</f>
        <v>Exit Ticket</v>
      </c>
      <c r="G575" s="81" t="str">
        <f>if(isblank(L575),"",vlookup(L575,Pacing!$A$1:$Z$213,21))</f>
        <v>Exit Ticket</v>
      </c>
      <c r="H575" s="81" t="str">
        <f>if(isblank(M575),"",vlookup(M575,Pacing!$A$1:$Z$213,21))</f>
        <v>Exit Ticket</v>
      </c>
      <c r="I575" s="86" t="str">
        <f t="shared" ref="I575:M575" si="608">I574</f>
        <v/>
      </c>
      <c r="J575" s="86">
        <f t="shared" si="608"/>
        <v>86</v>
      </c>
      <c r="K575" s="86">
        <f t="shared" si="608"/>
        <v>87</v>
      </c>
      <c r="L575" s="86">
        <f t="shared" si="608"/>
        <v>88</v>
      </c>
      <c r="M575" s="86">
        <f t="shared" si="608"/>
        <v>89</v>
      </c>
    </row>
    <row r="576" ht="15.75" customHeight="1">
      <c r="A576" s="69"/>
      <c r="B576" s="69"/>
      <c r="C576" s="71"/>
      <c r="D576" s="129" t="str">
        <f>if(isblank(I576),"",vlookup(I576,Pacing!$A$1:$Z$213,22))</f>
        <v/>
      </c>
      <c r="E576" s="81" t="str">
        <f>if(isblank(J576),"",vlookup(J576,Pacing!$A$1:$Z$213,22))</f>
        <v>Practice 2</v>
      </c>
      <c r="F576" s="81" t="str">
        <f>if(isblank(K576),"",vlookup(K576,Pacing!$A$1:$Z$213,22))</f>
        <v>Practice 2</v>
      </c>
      <c r="G576" s="81" t="str">
        <f>if(isblank(L576),"",vlookup(L576,Pacing!$A$1:$Z$213,22))</f>
        <v>Practice 2</v>
      </c>
      <c r="H576" s="81" t="str">
        <f>if(isblank(M576),"",vlookup(M576,Pacing!$A$1:$Z$213,22))</f>
        <v>Practice 2</v>
      </c>
      <c r="I576" s="86" t="str">
        <f t="shared" ref="I576:M576" si="609">I575</f>
        <v/>
      </c>
      <c r="J576" s="86">
        <f t="shared" si="609"/>
        <v>86</v>
      </c>
      <c r="K576" s="86">
        <f t="shared" si="609"/>
        <v>87</v>
      </c>
      <c r="L576" s="86">
        <f t="shared" si="609"/>
        <v>88</v>
      </c>
      <c r="M576" s="86">
        <f t="shared" si="609"/>
        <v>89</v>
      </c>
    </row>
    <row r="577" ht="15.75" customHeight="1">
      <c r="A577" s="69"/>
      <c r="B577" s="69"/>
      <c r="C577" s="71"/>
      <c r="D577" s="129" t="str">
        <f>if(isblank(I577),"",vlookup(I577,Pacing!$A$1:$Z$213,23))</f>
        <v/>
      </c>
      <c r="E577" s="81" t="str">
        <f>if(isblank(J577),"",vlookup(J577,Pacing!$A$1:$Z$213,23))</f>
        <v>Practice 3</v>
      </c>
      <c r="F577" s="81" t="str">
        <f>if(isblank(K577),"",vlookup(K577,Pacing!$A$1:$Z$213,23))</f>
        <v>Practice 3</v>
      </c>
      <c r="G577" s="81" t="str">
        <f>if(isblank(L577),"",vlookup(L577,Pacing!$A$1:$Z$213,23))</f>
        <v>Practice 3</v>
      </c>
      <c r="H577" s="81" t="str">
        <f>if(isblank(M577),"",vlookup(M577,Pacing!$A$1:$Z$213,23))</f>
        <v>Practice 3</v>
      </c>
      <c r="I577" s="86" t="str">
        <f t="shared" ref="I577:M577" si="610">I576</f>
        <v/>
      </c>
      <c r="J577" s="86">
        <f t="shared" si="610"/>
        <v>86</v>
      </c>
      <c r="K577" s="86">
        <f t="shared" si="610"/>
        <v>87</v>
      </c>
      <c r="L577" s="86">
        <f t="shared" si="610"/>
        <v>88</v>
      </c>
      <c r="M577" s="86">
        <f t="shared" si="610"/>
        <v>89</v>
      </c>
    </row>
    <row r="578" ht="15.75" customHeight="1">
      <c r="A578" s="69"/>
      <c r="B578" s="69"/>
      <c r="C578" s="71"/>
      <c r="D578" s="129" t="str">
        <f>if(isblank(I578),"",vlookup(I578,Pacing!$A$1:$Z$213,24))</f>
        <v/>
      </c>
      <c r="E578" s="81" t="str">
        <f>if(isblank(J578),"",vlookup(J578,Pacing!$A$1:$Z$213,24))</f>
        <v>Sum Assess</v>
      </c>
      <c r="F578" s="81" t="str">
        <f>if(isblank(K578),"",vlookup(K578,Pacing!$A$1:$Z$213,24))</f>
        <v>Sum Assess</v>
      </c>
      <c r="G578" s="81" t="str">
        <f>if(isblank(L578),"",vlookup(L578,Pacing!$A$1:$Z$213,24))</f>
        <v>Sum Assess</v>
      </c>
      <c r="H578" s="81" t="str">
        <f>if(isblank(M578),"",vlookup(M578,Pacing!$A$1:$Z$213,24))</f>
        <v>Sum Assess</v>
      </c>
      <c r="I578" s="86" t="str">
        <f t="shared" ref="I578:M578" si="611">I577</f>
        <v/>
      </c>
      <c r="J578" s="86">
        <f t="shared" si="611"/>
        <v>86</v>
      </c>
      <c r="K578" s="86">
        <f t="shared" si="611"/>
        <v>87</v>
      </c>
      <c r="L578" s="86">
        <f t="shared" si="611"/>
        <v>88</v>
      </c>
      <c r="M578" s="86">
        <f t="shared" si="611"/>
        <v>89</v>
      </c>
    </row>
    <row r="579" ht="15.75" customHeight="1">
      <c r="A579" s="69"/>
      <c r="B579" s="69"/>
      <c r="C579" s="71"/>
      <c r="D579" s="129" t="str">
        <f>if(isblank(I579),"",vlookup(I579,Pacing!$A$1:$Z$213,25))</f>
        <v/>
      </c>
      <c r="E579" s="81" t="str">
        <f>if(isblank(J579),"",vlookup(J579,Pacing!$A$1:$Z$213,25))</f>
        <v>Bank</v>
      </c>
      <c r="F579" s="81" t="str">
        <f>if(isblank(K579),"",vlookup(K579,Pacing!$A$1:$Z$213,25))</f>
        <v>Bank</v>
      </c>
      <c r="G579" s="81" t="str">
        <f>if(isblank(L579),"",vlookup(L579,Pacing!$A$1:$Z$213,25))</f>
        <v>Bank</v>
      </c>
      <c r="H579" s="81" t="str">
        <f>if(isblank(M579),"",vlookup(M579,Pacing!$A$1:$Z$213,25))</f>
        <v>Bank</v>
      </c>
      <c r="I579" s="86" t="str">
        <f t="shared" ref="I579:M579" si="612">I578</f>
        <v/>
      </c>
      <c r="J579" s="86">
        <f t="shared" si="612"/>
        <v>86</v>
      </c>
      <c r="K579" s="86">
        <f t="shared" si="612"/>
        <v>87</v>
      </c>
      <c r="L579" s="86">
        <f t="shared" si="612"/>
        <v>88</v>
      </c>
      <c r="M579" s="86">
        <f t="shared" si="612"/>
        <v>89</v>
      </c>
    </row>
    <row r="580" ht="15.75" customHeight="1">
      <c r="A580" s="69"/>
      <c r="B580" s="69"/>
      <c r="C580" s="71"/>
      <c r="D580" s="129" t="str">
        <f>if(isblank(I580),"",vlookup(I580,Pacing!$A$1:$Z$213,26))</f>
        <v/>
      </c>
      <c r="E580" s="89" t="str">
        <f>if(isblank(J580),"",vlookup(J580,Pacing!$A$1:$Z$213,26))</f>
        <v/>
      </c>
      <c r="F580" s="89" t="str">
        <f>if(isblank(K580),"",vlookup(K580,Pacing!$A$1:$Z$213,26))</f>
        <v/>
      </c>
      <c r="G580" s="89" t="str">
        <f>if(isblank(L580),"",vlookup(L580,Pacing!$A$1:$Z$213,26))</f>
        <v/>
      </c>
      <c r="H580" s="89" t="str">
        <f>if(isblank(M580),"",vlookup(M580,Pacing!$A$1:$Z$213,26))</f>
        <v/>
      </c>
      <c r="I580" s="86" t="str">
        <f t="shared" ref="I580:M580" si="613">I579</f>
        <v/>
      </c>
      <c r="J580" s="86">
        <f t="shared" si="613"/>
        <v>86</v>
      </c>
      <c r="K580" s="86">
        <f t="shared" si="613"/>
        <v>87</v>
      </c>
      <c r="L580" s="86">
        <f t="shared" si="613"/>
        <v>88</v>
      </c>
      <c r="M580" s="86">
        <f t="shared" si="613"/>
        <v>89</v>
      </c>
    </row>
    <row r="581" ht="15.75" customHeight="1">
      <c r="A581" s="137"/>
      <c r="B581" s="137"/>
      <c r="C581" s="138"/>
      <c r="D581" s="139">
        <f>H554+1</f>
        <v>90</v>
      </c>
      <c r="E581" s="139">
        <f t="shared" ref="E581:H581" si="614">D581+1</f>
        <v>91</v>
      </c>
      <c r="F581" s="139">
        <f t="shared" si="614"/>
        <v>92</v>
      </c>
      <c r="G581" s="139">
        <f t="shared" si="614"/>
        <v>93</v>
      </c>
      <c r="H581" s="139">
        <f t="shared" si="614"/>
        <v>94</v>
      </c>
      <c r="I581" s="55">
        <f t="shared" ref="I581:M581" si="615">D581</f>
        <v>90</v>
      </c>
      <c r="J581" s="55">
        <f t="shared" si="615"/>
        <v>91</v>
      </c>
      <c r="K581" s="55">
        <f t="shared" si="615"/>
        <v>92</v>
      </c>
      <c r="L581" s="55">
        <f t="shared" si="615"/>
        <v>93</v>
      </c>
      <c r="M581" s="55">
        <f t="shared" si="615"/>
        <v>94</v>
      </c>
    </row>
    <row r="582" ht="15.75" customHeight="1">
      <c r="A582" s="69">
        <f>B582+1</f>
        <v>221</v>
      </c>
      <c r="B582" s="69">
        <f t="shared" ref="B582:B589" si="617">$C$582*10</f>
        <v>220</v>
      </c>
      <c r="C582" s="71">
        <f>C555+1</f>
        <v>22</v>
      </c>
      <c r="D582" s="72">
        <f>D555+7</f>
        <v>46412</v>
      </c>
      <c r="E582" s="72">
        <f t="shared" ref="E582:H582" si="616">D582+1</f>
        <v>46413</v>
      </c>
      <c r="F582" s="72">
        <f t="shared" si="616"/>
        <v>46414</v>
      </c>
      <c r="G582" s="72">
        <f t="shared" si="616"/>
        <v>46415</v>
      </c>
      <c r="H582" s="72">
        <f t="shared" si="616"/>
        <v>46416</v>
      </c>
      <c r="I582" s="62" t="s">
        <v>42</v>
      </c>
    </row>
    <row r="583" ht="15.75" customHeight="1">
      <c r="A583" s="75">
        <f>B583+2</f>
        <v>222</v>
      </c>
      <c r="B583" s="75">
        <f t="shared" si="617"/>
        <v>220</v>
      </c>
      <c r="C583" s="76"/>
      <c r="D583" s="131" t="str">
        <f>if(isblank(I583),"",vlookup(I583,Pacing!$A$1:$Z$213,2))</f>
        <v>6.2: Refl &amp; Mirrors</v>
      </c>
      <c r="E583" s="131" t="str">
        <f>if(isblank(J583),"",vlookup(J583,Pacing!$A$1:$Z$213,2))</f>
        <v>6.3: Refraction &amp; TIR</v>
      </c>
      <c r="F583" s="131" t="str">
        <f>if(isblank(K583),"",vlookup(K583,Pacing!$A$1:$Z$213,2))</f>
        <v>6.3: Refraction &amp; TIR</v>
      </c>
      <c r="G583" s="131" t="str">
        <f>if(isblank(L583),"",vlookup(L583,Pacing!$A$1:$Z$213,2))</f>
        <v>6.3: Refraction &amp; TIR</v>
      </c>
      <c r="H583" s="131" t="str">
        <f>if(isblank(M583),"",vlookup(M583,Pacing!$A$1:$Z$213,2))</f>
        <v>6.4: Lenses &amp; Optics</v>
      </c>
      <c r="I583" s="78">
        <f t="shared" ref="I583:M583" si="618">I581</f>
        <v>90</v>
      </c>
      <c r="J583" s="78">
        <f t="shared" si="618"/>
        <v>91</v>
      </c>
      <c r="K583" s="78">
        <f t="shared" si="618"/>
        <v>92</v>
      </c>
      <c r="L583" s="78">
        <f t="shared" si="618"/>
        <v>93</v>
      </c>
      <c r="M583" s="78">
        <f t="shared" si="618"/>
        <v>94</v>
      </c>
    </row>
    <row r="584" ht="15.75" customHeight="1">
      <c r="A584" s="69">
        <f>B584+3</f>
        <v>223</v>
      </c>
      <c r="B584" s="69">
        <f t="shared" si="617"/>
        <v>220</v>
      </c>
      <c r="C584" s="76"/>
      <c r="D584" s="81" t="str">
        <f>if(isblank(I584),"",vlookup(I584,Pacing!$A$1:$Z$213,3))</f>
        <v>Warm Up</v>
      </c>
      <c r="E584" s="81" t="str">
        <f>if(isblank(J584),"",vlookup(J584,Pacing!$A$1:$Z$213,3))</f>
        <v>Warm Up</v>
      </c>
      <c r="F584" s="81" t="str">
        <f>if(isblank(K584),"",vlookup(K584,Pacing!$A$1:$Z$213,3))</f>
        <v>Warm Up</v>
      </c>
      <c r="G584" s="81" t="str">
        <f>if(isblank(L584),"",vlookup(L584,Pacing!$A$1:$Z$213,3))</f>
        <v>Warm Up</v>
      </c>
      <c r="H584" s="81" t="str">
        <f>if(isblank(M584),"",vlookup(M584,Pacing!$A$1:$Z$213,3))</f>
        <v>Warm Up</v>
      </c>
      <c r="I584" s="86">
        <f t="shared" ref="I584:M584" si="619">I583</f>
        <v>90</v>
      </c>
      <c r="J584" s="86">
        <f t="shared" si="619"/>
        <v>91</v>
      </c>
      <c r="K584" s="86">
        <f t="shared" si="619"/>
        <v>92</v>
      </c>
      <c r="L584" s="86">
        <f t="shared" si="619"/>
        <v>93</v>
      </c>
      <c r="M584" s="86">
        <f t="shared" si="619"/>
        <v>94</v>
      </c>
    </row>
    <row r="585" ht="15.75" customHeight="1">
      <c r="A585" s="69">
        <f>B585+4</f>
        <v>224</v>
      </c>
      <c r="B585" s="69">
        <f t="shared" si="617"/>
        <v>220</v>
      </c>
      <c r="C585" s="76"/>
      <c r="D585" s="81" t="str">
        <f>if(isblank(I585),"",vlookup(I585,Pacing!$A$1:$Z$213,4))</f>
        <v>Demo</v>
      </c>
      <c r="E585" s="81" t="str">
        <f>if(isblank(J585),"",vlookup(J585,Pacing!$A$1:$Z$213,4))</f>
        <v>Demo</v>
      </c>
      <c r="F585" s="81" t="str">
        <f>if(isblank(K585),"",vlookup(K585,Pacing!$A$1:$Z$213,4))</f>
        <v>Demo</v>
      </c>
      <c r="G585" s="81" t="str">
        <f>if(isblank(L585),"",vlookup(L585,Pacing!$A$1:$Z$213,4))</f>
        <v>Demo</v>
      </c>
      <c r="H585" s="81" t="str">
        <f>if(isblank(M585),"",vlookup(M585,Pacing!$A$1:$Z$213,4))</f>
        <v>Demo</v>
      </c>
      <c r="I585" s="86">
        <f t="shared" ref="I585:M585" si="620">I584</f>
        <v>90</v>
      </c>
      <c r="J585" s="86">
        <f t="shared" si="620"/>
        <v>91</v>
      </c>
      <c r="K585" s="86">
        <f t="shared" si="620"/>
        <v>92</v>
      </c>
      <c r="L585" s="86">
        <f t="shared" si="620"/>
        <v>93</v>
      </c>
      <c r="M585" s="86">
        <f t="shared" si="620"/>
        <v>94</v>
      </c>
    </row>
    <row r="586" ht="15.75" customHeight="1">
      <c r="A586" s="69">
        <f>B586+5</f>
        <v>225</v>
      </c>
      <c r="B586" s="69">
        <f t="shared" si="617"/>
        <v>220</v>
      </c>
      <c r="C586" s="76"/>
      <c r="D586" s="81" t="str">
        <f>if(isblank(I586),"",vlookup(I586,Pacing!$A$1:$Z$213,5))</f>
        <v>Notes</v>
      </c>
      <c r="E586" s="81" t="str">
        <f>if(isblank(J586),"",vlookup(J586,Pacing!$A$1:$Z$213,5))</f>
        <v>Notes</v>
      </c>
      <c r="F586" s="81" t="str">
        <f>if(isblank(K586),"",vlookup(K586,Pacing!$A$1:$Z$213,5))</f>
        <v>Notes</v>
      </c>
      <c r="G586" s="81" t="str">
        <f>if(isblank(L586),"",vlookup(L586,Pacing!$A$1:$Z$213,5))</f>
        <v>Notes</v>
      </c>
      <c r="H586" s="81" t="str">
        <f>if(isblank(M586),"",vlookup(M586,Pacing!$A$1:$Z$213,5))</f>
        <v>Notes</v>
      </c>
      <c r="I586" s="86">
        <f t="shared" ref="I586:M586" si="621">I585</f>
        <v>90</v>
      </c>
      <c r="J586" s="86">
        <f t="shared" si="621"/>
        <v>91</v>
      </c>
      <c r="K586" s="86">
        <f t="shared" si="621"/>
        <v>92</v>
      </c>
      <c r="L586" s="86">
        <f t="shared" si="621"/>
        <v>93</v>
      </c>
      <c r="M586" s="86">
        <f t="shared" si="621"/>
        <v>94</v>
      </c>
    </row>
    <row r="587" ht="15.75" customHeight="1">
      <c r="A587" s="69">
        <f>B587+6</f>
        <v>226</v>
      </c>
      <c r="B587" s="69">
        <f t="shared" si="617"/>
        <v>220</v>
      </c>
      <c r="C587" s="76"/>
      <c r="D587" s="81" t="str">
        <f>if(isblank(I587),"",vlookup(I587,Pacing!$A$1:$Z$213,6))</f>
        <v>Investigation</v>
      </c>
      <c r="E587" s="81" t="str">
        <f>if(isblank(J587),"",vlookup(J587,Pacing!$A$1:$Z$213,6))</f>
        <v>Investigation</v>
      </c>
      <c r="F587" s="81" t="str">
        <f>if(isblank(K587),"",vlookup(K587,Pacing!$A$1:$Z$213,6))</f>
        <v>Investigation</v>
      </c>
      <c r="G587" s="81" t="str">
        <f>if(isblank(L587),"",vlookup(L587,Pacing!$A$1:$Z$213,6))</f>
        <v>Investigation</v>
      </c>
      <c r="H587" s="81" t="str">
        <f>if(isblank(M587),"",vlookup(M587,Pacing!$A$1:$Z$213,6))</f>
        <v>Investigation</v>
      </c>
      <c r="I587" s="86">
        <f t="shared" ref="I587:M587" si="622">I586</f>
        <v>90</v>
      </c>
      <c r="J587" s="86">
        <f t="shared" si="622"/>
        <v>91</v>
      </c>
      <c r="K587" s="86">
        <f t="shared" si="622"/>
        <v>92</v>
      </c>
      <c r="L587" s="86">
        <f t="shared" si="622"/>
        <v>93</v>
      </c>
      <c r="M587" s="86">
        <f t="shared" si="622"/>
        <v>94</v>
      </c>
    </row>
    <row r="588" ht="15.75" customHeight="1">
      <c r="A588" s="69">
        <f>B588+7</f>
        <v>227</v>
      </c>
      <c r="B588" s="69">
        <f t="shared" si="617"/>
        <v>220</v>
      </c>
      <c r="C588" s="76"/>
      <c r="D588" s="81" t="str">
        <f>if(isblank(I588),"",vlookup(I588,Pacing!$A$1:$Z$213,7))</f>
        <v>Activity</v>
      </c>
      <c r="E588" s="81" t="str">
        <f>if(isblank(J588),"",vlookup(J588,Pacing!$A$1:$Z$213,7))</f>
        <v>Activity</v>
      </c>
      <c r="F588" s="81" t="str">
        <f>if(isblank(K588),"",vlookup(K588,Pacing!$A$1:$Z$213,7))</f>
        <v>Activity</v>
      </c>
      <c r="G588" s="81" t="str">
        <f>if(isblank(L588),"",vlookup(L588,Pacing!$A$1:$Z$213,7))</f>
        <v>Activity</v>
      </c>
      <c r="H588" s="81" t="str">
        <f>if(isblank(M588),"",vlookup(M588,Pacing!$A$1:$Z$213,7))</f>
        <v>Activity</v>
      </c>
      <c r="I588" s="86">
        <f t="shared" ref="I588:M588" si="623">I587</f>
        <v>90</v>
      </c>
      <c r="J588" s="86">
        <f t="shared" si="623"/>
        <v>91</v>
      </c>
      <c r="K588" s="86">
        <f t="shared" si="623"/>
        <v>92</v>
      </c>
      <c r="L588" s="86">
        <f t="shared" si="623"/>
        <v>93</v>
      </c>
      <c r="M588" s="86">
        <f t="shared" si="623"/>
        <v>94</v>
      </c>
    </row>
    <row r="589" ht="15.75" customHeight="1">
      <c r="A589" s="69">
        <f>B589+8</f>
        <v>228</v>
      </c>
      <c r="B589" s="69">
        <f t="shared" si="617"/>
        <v>220</v>
      </c>
      <c r="C589" s="95"/>
      <c r="D589" s="81" t="str">
        <f>if(isblank(I589),"",vlookup(I589,Pacing!$A$1:$Z$213,8))</f>
        <v>Practice Set</v>
      </c>
      <c r="E589" s="81" t="str">
        <f>if(isblank(J589),"",vlookup(J589,Pacing!$A$1:$Z$213,8))</f>
        <v>Practice Set</v>
      </c>
      <c r="F589" s="81" t="str">
        <f>if(isblank(K589),"",vlookup(K589,Pacing!$A$1:$Z$213,8))</f>
        <v>Practice Set</v>
      </c>
      <c r="G589" s="81" t="str">
        <f>if(isblank(L589),"",vlookup(L589,Pacing!$A$1:$Z$213,8))</f>
        <v>Practice Set</v>
      </c>
      <c r="H589" s="81" t="str">
        <f>if(isblank(M589),"",vlookup(M589,Pacing!$A$1:$Z$213,8))</f>
        <v>Practice Set</v>
      </c>
      <c r="I589" s="86">
        <f t="shared" ref="I589:M589" si="624">I588</f>
        <v>90</v>
      </c>
      <c r="J589" s="86">
        <f t="shared" si="624"/>
        <v>91</v>
      </c>
      <c r="K589" s="86">
        <f t="shared" si="624"/>
        <v>92</v>
      </c>
      <c r="L589" s="86">
        <f t="shared" si="624"/>
        <v>93</v>
      </c>
      <c r="M589" s="86">
        <f t="shared" si="624"/>
        <v>94</v>
      </c>
    </row>
    <row r="590" ht="15.75" customHeight="1">
      <c r="A590" s="69"/>
      <c r="B590" s="69"/>
      <c r="C590" s="71"/>
      <c r="D590" s="81" t="str">
        <f>if(isblank(I590),"",vlookup(I590,Pacing!$A$1:$Z$213,9))</f>
        <v>Extra Practice</v>
      </c>
      <c r="E590" s="81" t="str">
        <f>if(isblank(J590),"",vlookup(J590,Pacing!$A$1:$Z$213,9))</f>
        <v>Extra Practice</v>
      </c>
      <c r="F590" s="81" t="str">
        <f>if(isblank(K590),"",vlookup(K590,Pacing!$A$1:$Z$213,9))</f>
        <v>Extra Practice</v>
      </c>
      <c r="G590" s="81" t="str">
        <f>if(isblank(L590),"",vlookup(L590,Pacing!$A$1:$Z$213,9))</f>
        <v>Extra Practice</v>
      </c>
      <c r="H590" s="81" t="str">
        <f>if(isblank(M590),"",vlookup(M590,Pacing!$A$1:$Z$213,9))</f>
        <v>Extra Practice</v>
      </c>
      <c r="I590" s="86">
        <f t="shared" ref="I590:M590" si="625">I589</f>
        <v>90</v>
      </c>
      <c r="J590" s="86">
        <f t="shared" si="625"/>
        <v>91</v>
      </c>
      <c r="K590" s="86">
        <f t="shared" si="625"/>
        <v>92</v>
      </c>
      <c r="L590" s="86">
        <f t="shared" si="625"/>
        <v>93</v>
      </c>
      <c r="M590" s="86">
        <f t="shared" si="625"/>
        <v>94</v>
      </c>
    </row>
    <row r="591" ht="15.75" customHeight="1">
      <c r="A591" s="69"/>
      <c r="B591" s="69"/>
      <c r="C591" s="71"/>
      <c r="D591" s="81" t="str">
        <f>if(isblank(I591),"",vlookup(I591,Pacing!$A$1:$Z$213,10))</f>
        <v>CYU</v>
      </c>
      <c r="E591" s="81" t="str">
        <f>if(isblank(J591),"",vlookup(J591,Pacing!$A$1:$Z$213,10))</f>
        <v>CYU</v>
      </c>
      <c r="F591" s="81" t="str">
        <f>if(isblank(K591),"",vlookup(K591,Pacing!$A$1:$Z$213,10))</f>
        <v>CYU</v>
      </c>
      <c r="G591" s="81" t="str">
        <f>if(isblank(L591),"",vlookup(L591,Pacing!$A$1:$Z$213,10))</f>
        <v>CYU</v>
      </c>
      <c r="H591" s="81" t="str">
        <f>if(isblank(M591),"",vlookup(M591,Pacing!$A$1:$Z$213,10))</f>
        <v>CYU</v>
      </c>
      <c r="I591" s="86">
        <f t="shared" ref="I591:M591" si="626">I590</f>
        <v>90</v>
      </c>
      <c r="J591" s="86">
        <f t="shared" si="626"/>
        <v>91</v>
      </c>
      <c r="K591" s="86">
        <f t="shared" si="626"/>
        <v>92</v>
      </c>
      <c r="L591" s="86">
        <f t="shared" si="626"/>
        <v>93</v>
      </c>
      <c r="M591" s="86">
        <f t="shared" si="626"/>
        <v>94</v>
      </c>
    </row>
    <row r="592" ht="15.75" customHeight="1">
      <c r="A592" s="69"/>
      <c r="B592" s="69"/>
      <c r="C592" s="71"/>
      <c r="D592" s="81" t="str">
        <f>if(isblank(I592),"",vlookup(I592,Pacing!$A$1:$Z$213,11))</f>
        <v>Progress</v>
      </c>
      <c r="E592" s="81" t="str">
        <f>if(isblank(J592),"",vlookup(J592,Pacing!$A$1:$Z$213,11))</f>
        <v>Progress</v>
      </c>
      <c r="F592" s="81" t="str">
        <f>if(isblank(K592),"",vlookup(K592,Pacing!$A$1:$Z$213,11))</f>
        <v>Progress</v>
      </c>
      <c r="G592" s="81" t="str">
        <f>if(isblank(L592),"",vlookup(L592,Pacing!$A$1:$Z$213,11))</f>
        <v>Progress</v>
      </c>
      <c r="H592" s="81" t="str">
        <f>if(isblank(M592),"",vlookup(M592,Pacing!$A$1:$Z$213,11))</f>
        <v>Progress</v>
      </c>
      <c r="I592" s="86">
        <f t="shared" ref="I592:M592" si="627">I591</f>
        <v>90</v>
      </c>
      <c r="J592" s="86">
        <f t="shared" si="627"/>
        <v>91</v>
      </c>
      <c r="K592" s="86">
        <f t="shared" si="627"/>
        <v>92</v>
      </c>
      <c r="L592" s="86">
        <f t="shared" si="627"/>
        <v>93</v>
      </c>
      <c r="M592" s="86">
        <f t="shared" si="627"/>
        <v>94</v>
      </c>
    </row>
    <row r="593" ht="15.75" customHeight="1">
      <c r="A593" s="69"/>
      <c r="B593" s="69"/>
      <c r="C593" s="71"/>
      <c r="D593" s="81" t="str">
        <f>if(isblank(I593),"",vlookup(I593,Pacing!$A$1:$Z$213,12))</f>
        <v>Review</v>
      </c>
      <c r="E593" s="81" t="str">
        <f>if(isblank(J593),"",vlookup(J593,Pacing!$A$1:$Z$213,12))</f>
        <v>Review</v>
      </c>
      <c r="F593" s="81" t="str">
        <f>if(isblank(K593),"",vlookup(K593,Pacing!$A$1:$Z$213,12))</f>
        <v>Review</v>
      </c>
      <c r="G593" s="81" t="str">
        <f>if(isblank(L593),"",vlookup(L593,Pacing!$A$1:$Z$213,12))</f>
        <v>Review</v>
      </c>
      <c r="H593" s="81" t="str">
        <f>if(isblank(M593),"",vlookup(M593,Pacing!$A$1:$Z$213,12))</f>
        <v>Review</v>
      </c>
      <c r="I593" s="86">
        <f t="shared" ref="I593:M593" si="628">I592</f>
        <v>90</v>
      </c>
      <c r="J593" s="86">
        <f t="shared" si="628"/>
        <v>91</v>
      </c>
      <c r="K593" s="86">
        <f t="shared" si="628"/>
        <v>92</v>
      </c>
      <c r="L593" s="86">
        <f t="shared" si="628"/>
        <v>93</v>
      </c>
      <c r="M593" s="86">
        <f t="shared" si="628"/>
        <v>94</v>
      </c>
    </row>
    <row r="594" ht="15.75" customHeight="1">
      <c r="A594" s="69"/>
      <c r="B594" s="69"/>
      <c r="C594" s="71"/>
      <c r="D594" s="91" t="str">
        <f>if(isblank(I594),"",vlookup(I594,Pacing!$A$1:$Z$213,13))</f>
        <v/>
      </c>
      <c r="E594" s="91" t="str">
        <f>if(isblank(J594),"",vlookup(J594,Pacing!$A$1:$Z$213,13))</f>
        <v/>
      </c>
      <c r="F594" s="91" t="str">
        <f>if(isblank(K594),"",vlookup(K594,Pacing!$A$1:$Z$213,13))</f>
        <v/>
      </c>
      <c r="G594" s="91" t="str">
        <f>if(isblank(L594),"",vlookup(L594,Pacing!$A$1:$Z$213,13))</f>
        <v/>
      </c>
      <c r="H594" s="91" t="str">
        <f>if(isblank(M594),"",vlookup(M594,Pacing!$A$1:$Z$213,13))</f>
        <v/>
      </c>
      <c r="I594" s="86">
        <f t="shared" ref="I594:M594" si="629">I593</f>
        <v>90</v>
      </c>
      <c r="J594" s="86">
        <f t="shared" si="629"/>
        <v>91</v>
      </c>
      <c r="K594" s="86">
        <f t="shared" si="629"/>
        <v>92</v>
      </c>
      <c r="L594" s="86">
        <f t="shared" si="629"/>
        <v>93</v>
      </c>
      <c r="M594" s="86">
        <f t="shared" si="629"/>
        <v>94</v>
      </c>
    </row>
    <row r="595" ht="15.75" customHeight="1">
      <c r="A595" s="69"/>
      <c r="B595" s="69"/>
      <c r="C595" s="71"/>
      <c r="D595" s="81" t="str">
        <f>if(isblank(I595),"",vlookup(I595,Pacing!$A$1:$Z$213,14))</f>
        <v>Notes Teacher</v>
      </c>
      <c r="E595" s="81" t="str">
        <f>if(isblank(J595),"",vlookup(J595,Pacing!$A$1:$Z$213,14))</f>
        <v>Notes Teacher</v>
      </c>
      <c r="F595" s="81" t="str">
        <f>if(isblank(K595),"",vlookup(K595,Pacing!$A$1:$Z$213,14))</f>
        <v>Notes Teacher</v>
      </c>
      <c r="G595" s="81" t="str">
        <f>if(isblank(L595),"",vlookup(L595,Pacing!$A$1:$Z$213,14))</f>
        <v>Notes Teacher</v>
      </c>
      <c r="H595" s="81" t="str">
        <f>if(isblank(M595),"",vlookup(M595,Pacing!$A$1:$Z$213,14))</f>
        <v>Notes Teacher</v>
      </c>
      <c r="I595" s="86">
        <f t="shared" ref="I595:M595" si="630">I594</f>
        <v>90</v>
      </c>
      <c r="J595" s="86">
        <f t="shared" si="630"/>
        <v>91</v>
      </c>
      <c r="K595" s="86">
        <f t="shared" si="630"/>
        <v>92</v>
      </c>
      <c r="L595" s="86">
        <f t="shared" si="630"/>
        <v>93</v>
      </c>
      <c r="M595" s="86">
        <f t="shared" si="630"/>
        <v>94</v>
      </c>
    </row>
    <row r="596" ht="15.75" customHeight="1">
      <c r="A596" s="69"/>
      <c r="B596" s="69"/>
      <c r="C596" s="71"/>
      <c r="D596" s="81" t="str">
        <f>if(isblank(I596),"",vlookup(I596,Pacing!$A$1:$Z$213,15))</f>
        <v>Demo Teacher</v>
      </c>
      <c r="E596" s="81" t="str">
        <f>if(isblank(J596),"",vlookup(J596,Pacing!$A$1:$Z$213,15))</f>
        <v>Demo Teacher</v>
      </c>
      <c r="F596" s="81" t="str">
        <f>if(isblank(K596),"",vlookup(K596,Pacing!$A$1:$Z$213,15))</f>
        <v>Demo Teacher</v>
      </c>
      <c r="G596" s="81" t="str">
        <f>if(isblank(L596),"",vlookup(L596,Pacing!$A$1:$Z$213,15))</f>
        <v>Demo Teacher</v>
      </c>
      <c r="H596" s="81" t="str">
        <f>if(isblank(M596),"",vlookup(M596,Pacing!$A$1:$Z$213,15))</f>
        <v>Demo Teacher</v>
      </c>
      <c r="I596" s="86">
        <f t="shared" ref="I596:M596" si="631">I595</f>
        <v>90</v>
      </c>
      <c r="J596" s="86">
        <f t="shared" si="631"/>
        <v>91</v>
      </c>
      <c r="K596" s="86">
        <f t="shared" si="631"/>
        <v>92</v>
      </c>
      <c r="L596" s="86">
        <f t="shared" si="631"/>
        <v>93</v>
      </c>
      <c r="M596" s="86">
        <f t="shared" si="631"/>
        <v>94</v>
      </c>
    </row>
    <row r="597" ht="15.75" customHeight="1">
      <c r="A597" s="69"/>
      <c r="B597" s="69"/>
      <c r="C597" s="71"/>
      <c r="D597" s="81" t="str">
        <f>if(isblank(I597),"",vlookup(I597,Pacing!$A$1:$Z$213,16))</f>
        <v>Invest Teacher</v>
      </c>
      <c r="E597" s="81" t="str">
        <f>if(isblank(J597),"",vlookup(J597,Pacing!$A$1:$Z$213,16))</f>
        <v>Invest Teacher</v>
      </c>
      <c r="F597" s="81" t="str">
        <f>if(isblank(K597),"",vlookup(K597,Pacing!$A$1:$Z$213,16))</f>
        <v>Invest Teacher</v>
      </c>
      <c r="G597" s="81" t="str">
        <f>if(isblank(L597),"",vlookup(L597,Pacing!$A$1:$Z$213,16))</f>
        <v>Invest Teacher</v>
      </c>
      <c r="H597" s="81" t="str">
        <f>if(isblank(M597),"",vlookup(M597,Pacing!$A$1:$Z$213,16))</f>
        <v>Invest Teacher</v>
      </c>
      <c r="I597" s="86">
        <f t="shared" ref="I597:M597" si="632">I596</f>
        <v>90</v>
      </c>
      <c r="J597" s="86">
        <f t="shared" si="632"/>
        <v>91</v>
      </c>
      <c r="K597" s="86">
        <f t="shared" si="632"/>
        <v>92</v>
      </c>
      <c r="L597" s="86">
        <f t="shared" si="632"/>
        <v>93</v>
      </c>
      <c r="M597" s="86">
        <f t="shared" si="632"/>
        <v>94</v>
      </c>
    </row>
    <row r="598" ht="15.75" customHeight="1">
      <c r="A598" s="69"/>
      <c r="B598" s="69"/>
      <c r="C598" s="71"/>
      <c r="D598" s="81" t="str">
        <f>if(isblank(I598),"",vlookup(I598,Pacing!$A$1:$Z$213,17))</f>
        <v>PT Teacher</v>
      </c>
      <c r="E598" s="81" t="str">
        <f>if(isblank(J598),"",vlookup(J598,Pacing!$A$1:$Z$213,17))</f>
        <v>PT Teacher</v>
      </c>
      <c r="F598" s="81" t="str">
        <f>if(isblank(K598),"",vlookup(K598,Pacing!$A$1:$Z$213,17))</f>
        <v>PT Teacher</v>
      </c>
      <c r="G598" s="81" t="str">
        <f>if(isblank(L598),"",vlookup(L598,Pacing!$A$1:$Z$213,17))</f>
        <v>PT Teacher</v>
      </c>
      <c r="H598" s="81" t="str">
        <f>if(isblank(M598),"",vlookup(M598,Pacing!$A$1:$Z$213,17))</f>
        <v>PT Teacher</v>
      </c>
      <c r="I598" s="86">
        <f t="shared" ref="I598:M598" si="633">I597</f>
        <v>90</v>
      </c>
      <c r="J598" s="86">
        <f t="shared" si="633"/>
        <v>91</v>
      </c>
      <c r="K598" s="86">
        <f t="shared" si="633"/>
        <v>92</v>
      </c>
      <c r="L598" s="86">
        <f t="shared" si="633"/>
        <v>93</v>
      </c>
      <c r="M598" s="86">
        <f t="shared" si="633"/>
        <v>94</v>
      </c>
    </row>
    <row r="599" ht="15.75" customHeight="1">
      <c r="A599" s="69"/>
      <c r="B599" s="69"/>
      <c r="C599" s="71"/>
      <c r="D599" s="81" t="str">
        <f>if(isblank(I599),"",vlookup(I599,Pacing!$A$1:$Z$213,18))</f>
        <v>Assess Plan</v>
      </c>
      <c r="E599" s="81" t="str">
        <f>if(isblank(J599),"",vlookup(J599,Pacing!$A$1:$Z$213,18))</f>
        <v>Assess Plan</v>
      </c>
      <c r="F599" s="81" t="str">
        <f>if(isblank(K599),"",vlookup(K599,Pacing!$A$1:$Z$213,18))</f>
        <v>Assess Plan</v>
      </c>
      <c r="G599" s="81" t="str">
        <f>if(isblank(L599),"",vlookup(L599,Pacing!$A$1:$Z$213,18))</f>
        <v>Assess Plan</v>
      </c>
      <c r="H599" s="81" t="str">
        <f>if(isblank(M599),"",vlookup(M599,Pacing!$A$1:$Z$213,18))</f>
        <v>Assess Plan</v>
      </c>
      <c r="I599" s="86">
        <f t="shared" ref="I599:M599" si="634">I598</f>
        <v>90</v>
      </c>
      <c r="J599" s="86">
        <f t="shared" si="634"/>
        <v>91</v>
      </c>
      <c r="K599" s="86">
        <f t="shared" si="634"/>
        <v>92</v>
      </c>
      <c r="L599" s="86">
        <f t="shared" si="634"/>
        <v>93</v>
      </c>
      <c r="M599" s="86">
        <f t="shared" si="634"/>
        <v>94</v>
      </c>
    </row>
    <row r="600" ht="15.75" customHeight="1">
      <c r="A600" s="69"/>
      <c r="B600" s="69"/>
      <c r="C600" s="71"/>
      <c r="D600" s="81" t="str">
        <f>if(isblank(I600),"",vlookup(I600,Pacing!$A$1:$Z$213,19))</f>
        <v>Perform Task</v>
      </c>
      <c r="E600" s="81" t="str">
        <f>if(isblank(J600),"",vlookup(J600,Pacing!$A$1:$Z$213,19))</f>
        <v>Perform Task</v>
      </c>
      <c r="F600" s="81" t="str">
        <f>if(isblank(K600),"",vlookup(K600,Pacing!$A$1:$Z$213,19))</f>
        <v>Perform Task</v>
      </c>
      <c r="G600" s="81" t="str">
        <f>if(isblank(L600),"",vlookup(L600,Pacing!$A$1:$Z$213,19))</f>
        <v>Perform Task</v>
      </c>
      <c r="H600" s="81" t="str">
        <f>if(isblank(M600),"",vlookup(M600,Pacing!$A$1:$Z$213,19))</f>
        <v>Perform Task</v>
      </c>
      <c r="I600" s="86">
        <f t="shared" ref="I600:M600" si="635">I599</f>
        <v>90</v>
      </c>
      <c r="J600" s="86">
        <f t="shared" si="635"/>
        <v>91</v>
      </c>
      <c r="K600" s="86">
        <f t="shared" si="635"/>
        <v>92</v>
      </c>
      <c r="L600" s="86">
        <f t="shared" si="635"/>
        <v>93</v>
      </c>
      <c r="M600" s="86">
        <f t="shared" si="635"/>
        <v>94</v>
      </c>
    </row>
    <row r="601" ht="15.75" customHeight="1">
      <c r="A601" s="69"/>
      <c r="B601" s="69"/>
      <c r="C601" s="71"/>
      <c r="D601" s="81" t="str">
        <f>if(isblank(I601),"",vlookup(I601,Pacing!$A$1:$Z$213,20))</f>
        <v>Quick Check</v>
      </c>
      <c r="E601" s="81" t="str">
        <f>if(isblank(J601),"",vlookup(J601,Pacing!$A$1:$Z$213,20))</f>
        <v>Quick Check</v>
      </c>
      <c r="F601" s="81" t="str">
        <f>if(isblank(K601),"",vlookup(K601,Pacing!$A$1:$Z$213,20))</f>
        <v>Quick Check</v>
      </c>
      <c r="G601" s="81" t="str">
        <f>if(isblank(L601),"",vlookup(L601,Pacing!$A$1:$Z$213,20))</f>
        <v>Quick Check</v>
      </c>
      <c r="H601" s="81" t="str">
        <f>if(isblank(M601),"",vlookup(M601,Pacing!$A$1:$Z$213,20))</f>
        <v>Quick Check</v>
      </c>
      <c r="I601" s="86">
        <f t="shared" ref="I601:M601" si="636">I600</f>
        <v>90</v>
      </c>
      <c r="J601" s="86">
        <f t="shared" si="636"/>
        <v>91</v>
      </c>
      <c r="K601" s="86">
        <f t="shared" si="636"/>
        <v>92</v>
      </c>
      <c r="L601" s="86">
        <f t="shared" si="636"/>
        <v>93</v>
      </c>
      <c r="M601" s="86">
        <f t="shared" si="636"/>
        <v>94</v>
      </c>
    </row>
    <row r="602" ht="15.75" customHeight="1">
      <c r="A602" s="69"/>
      <c r="B602" s="69"/>
      <c r="C602" s="71"/>
      <c r="D602" s="81" t="str">
        <f>if(isblank(I602),"",vlookup(I602,Pacing!$A$1:$Z$213,21))</f>
        <v>Exit Ticket</v>
      </c>
      <c r="E602" s="81" t="str">
        <f>if(isblank(J602),"",vlookup(J602,Pacing!$A$1:$Z$213,21))</f>
        <v>Exit Ticket</v>
      </c>
      <c r="F602" s="81" t="str">
        <f>if(isblank(K602),"",vlookup(K602,Pacing!$A$1:$Z$213,21))</f>
        <v>Exit Ticket</v>
      </c>
      <c r="G602" s="81" t="str">
        <f>if(isblank(L602),"",vlookup(L602,Pacing!$A$1:$Z$213,21))</f>
        <v>Exit Ticket</v>
      </c>
      <c r="H602" s="81" t="str">
        <f>if(isblank(M602),"",vlookup(M602,Pacing!$A$1:$Z$213,21))</f>
        <v>Exit Ticket</v>
      </c>
      <c r="I602" s="86">
        <f t="shared" ref="I602:M602" si="637">I601</f>
        <v>90</v>
      </c>
      <c r="J602" s="86">
        <f t="shared" si="637"/>
        <v>91</v>
      </c>
      <c r="K602" s="86">
        <f t="shared" si="637"/>
        <v>92</v>
      </c>
      <c r="L602" s="86">
        <f t="shared" si="637"/>
        <v>93</v>
      </c>
      <c r="M602" s="86">
        <f t="shared" si="637"/>
        <v>94</v>
      </c>
    </row>
    <row r="603" ht="15.75" customHeight="1">
      <c r="A603" s="69"/>
      <c r="B603" s="69"/>
      <c r="C603" s="71"/>
      <c r="D603" s="81" t="str">
        <f>if(isblank(I603),"",vlookup(I603,Pacing!$A$1:$Z$213,22))</f>
        <v>Practice 2</v>
      </c>
      <c r="E603" s="81" t="str">
        <f>if(isblank(J603),"",vlookup(J603,Pacing!$A$1:$Z$213,22))</f>
        <v>Practice 2</v>
      </c>
      <c r="F603" s="81" t="str">
        <f>if(isblank(K603),"",vlookup(K603,Pacing!$A$1:$Z$213,22))</f>
        <v>Practice 2</v>
      </c>
      <c r="G603" s="81" t="str">
        <f>if(isblank(L603),"",vlookup(L603,Pacing!$A$1:$Z$213,22))</f>
        <v>Practice 2</v>
      </c>
      <c r="H603" s="81" t="str">
        <f>if(isblank(M603),"",vlookup(M603,Pacing!$A$1:$Z$213,22))</f>
        <v>Practice 2</v>
      </c>
      <c r="I603" s="86">
        <f t="shared" ref="I603:M603" si="638">I602</f>
        <v>90</v>
      </c>
      <c r="J603" s="86">
        <f t="shared" si="638"/>
        <v>91</v>
      </c>
      <c r="K603" s="86">
        <f t="shared" si="638"/>
        <v>92</v>
      </c>
      <c r="L603" s="86">
        <f t="shared" si="638"/>
        <v>93</v>
      </c>
      <c r="M603" s="86">
        <f t="shared" si="638"/>
        <v>94</v>
      </c>
    </row>
    <row r="604" ht="15.75" customHeight="1">
      <c r="A604" s="69"/>
      <c r="B604" s="69"/>
      <c r="C604" s="71"/>
      <c r="D604" s="81" t="str">
        <f>if(isblank(I604),"",vlookup(I604,Pacing!$A$1:$Z$213,23))</f>
        <v>Practice 3</v>
      </c>
      <c r="E604" s="81" t="str">
        <f>if(isblank(J604),"",vlookup(J604,Pacing!$A$1:$Z$213,23))</f>
        <v>Practice 3</v>
      </c>
      <c r="F604" s="81" t="str">
        <f>if(isblank(K604),"",vlookup(K604,Pacing!$A$1:$Z$213,23))</f>
        <v>Practice 3</v>
      </c>
      <c r="G604" s="81" t="str">
        <f>if(isblank(L604),"",vlookup(L604,Pacing!$A$1:$Z$213,23))</f>
        <v>Practice 3</v>
      </c>
      <c r="H604" s="81" t="str">
        <f>if(isblank(M604),"",vlookup(M604,Pacing!$A$1:$Z$213,23))</f>
        <v>Practice 3</v>
      </c>
      <c r="I604" s="86">
        <f t="shared" ref="I604:M604" si="639">I603</f>
        <v>90</v>
      </c>
      <c r="J604" s="86">
        <f t="shared" si="639"/>
        <v>91</v>
      </c>
      <c r="K604" s="86">
        <f t="shared" si="639"/>
        <v>92</v>
      </c>
      <c r="L604" s="86">
        <f t="shared" si="639"/>
        <v>93</v>
      </c>
      <c r="M604" s="86">
        <f t="shared" si="639"/>
        <v>94</v>
      </c>
    </row>
    <row r="605" ht="15.75" customHeight="1">
      <c r="A605" s="69"/>
      <c r="B605" s="69"/>
      <c r="C605" s="71"/>
      <c r="D605" s="81" t="str">
        <f>if(isblank(I605),"",vlookup(I605,Pacing!$A$1:$Z$213,24))</f>
        <v>Sum Assess</v>
      </c>
      <c r="E605" s="81" t="str">
        <f>if(isblank(J605),"",vlookup(J605,Pacing!$A$1:$Z$213,24))</f>
        <v>Sum Assess</v>
      </c>
      <c r="F605" s="81" t="str">
        <f>if(isblank(K605),"",vlookup(K605,Pacing!$A$1:$Z$213,24))</f>
        <v>Sum Assess</v>
      </c>
      <c r="G605" s="81" t="str">
        <f>if(isblank(L605),"",vlookup(L605,Pacing!$A$1:$Z$213,24))</f>
        <v>Sum Assess</v>
      </c>
      <c r="H605" s="81" t="str">
        <f>if(isblank(M605),"",vlookup(M605,Pacing!$A$1:$Z$213,24))</f>
        <v>Sum Assess</v>
      </c>
      <c r="I605" s="86">
        <f t="shared" ref="I605:M605" si="640">I604</f>
        <v>90</v>
      </c>
      <c r="J605" s="86">
        <f t="shared" si="640"/>
        <v>91</v>
      </c>
      <c r="K605" s="86">
        <f t="shared" si="640"/>
        <v>92</v>
      </c>
      <c r="L605" s="86">
        <f t="shared" si="640"/>
        <v>93</v>
      </c>
      <c r="M605" s="86">
        <f t="shared" si="640"/>
        <v>94</v>
      </c>
    </row>
    <row r="606" ht="15.75" customHeight="1">
      <c r="A606" s="69"/>
      <c r="B606" s="69"/>
      <c r="C606" s="71"/>
      <c r="D606" s="81" t="str">
        <f>if(isblank(I606),"",vlookup(I606,Pacing!$A$1:$Z$213,25))</f>
        <v>Bank</v>
      </c>
      <c r="E606" s="81" t="str">
        <f>if(isblank(J606),"",vlookup(J606,Pacing!$A$1:$Z$213,25))</f>
        <v>Bank</v>
      </c>
      <c r="F606" s="81" t="str">
        <f>if(isblank(K606),"",vlookup(K606,Pacing!$A$1:$Z$213,25))</f>
        <v>Bank</v>
      </c>
      <c r="G606" s="81" t="str">
        <f>if(isblank(L606),"",vlookup(L606,Pacing!$A$1:$Z$213,25))</f>
        <v>Bank</v>
      </c>
      <c r="H606" s="81" t="str">
        <f>if(isblank(M606),"",vlookup(M606,Pacing!$A$1:$Z$213,25))</f>
        <v>Bank</v>
      </c>
      <c r="I606" s="86">
        <f t="shared" ref="I606:M606" si="641">I605</f>
        <v>90</v>
      </c>
      <c r="J606" s="86">
        <f t="shared" si="641"/>
        <v>91</v>
      </c>
      <c r="K606" s="86">
        <f t="shared" si="641"/>
        <v>92</v>
      </c>
      <c r="L606" s="86">
        <f t="shared" si="641"/>
        <v>93</v>
      </c>
      <c r="M606" s="86">
        <f t="shared" si="641"/>
        <v>94</v>
      </c>
    </row>
    <row r="607" ht="15.75" customHeight="1">
      <c r="A607" s="69"/>
      <c r="B607" s="69"/>
      <c r="C607" s="71"/>
      <c r="D607" s="91" t="str">
        <f>if(isblank(I607),"",vlookup(I607,Pacing!$A$1:$Z$213,26))</f>
        <v/>
      </c>
      <c r="E607" s="89" t="str">
        <f>if(isblank(J607),"",vlookup(J607,Pacing!$A$1:$Z$213,26))</f>
        <v/>
      </c>
      <c r="F607" s="89" t="str">
        <f>if(isblank(K607),"",vlookup(K607,Pacing!$A$1:$Z$213,26))</f>
        <v/>
      </c>
      <c r="G607" s="89" t="str">
        <f>if(isblank(L607),"",vlookup(L607,Pacing!$A$1:$Z$213,26))</f>
        <v/>
      </c>
      <c r="H607" s="89" t="str">
        <f>if(isblank(M607),"",vlookup(M607,Pacing!$A$1:$Z$213,26))</f>
        <v/>
      </c>
      <c r="I607" s="86">
        <f t="shared" ref="I607:M607" si="642">I606</f>
        <v>90</v>
      </c>
      <c r="J607" s="86">
        <f t="shared" si="642"/>
        <v>91</v>
      </c>
      <c r="K607" s="86">
        <f t="shared" si="642"/>
        <v>92</v>
      </c>
      <c r="L607" s="86">
        <f t="shared" si="642"/>
        <v>93</v>
      </c>
      <c r="M607" s="86">
        <f t="shared" si="642"/>
        <v>94</v>
      </c>
    </row>
    <row r="608" ht="15.75" customHeight="1">
      <c r="A608" s="137"/>
      <c r="B608" s="137"/>
      <c r="C608" s="138"/>
      <c r="D608" s="139">
        <f>H581+1</f>
        <v>95</v>
      </c>
      <c r="E608" s="139">
        <f t="shared" ref="E608:H608" si="643">D608+1</f>
        <v>96</v>
      </c>
      <c r="F608" s="139">
        <f t="shared" si="643"/>
        <v>97</v>
      </c>
      <c r="G608" s="139">
        <f t="shared" si="643"/>
        <v>98</v>
      </c>
      <c r="H608" s="139">
        <f t="shared" si="643"/>
        <v>99</v>
      </c>
      <c r="I608" s="55">
        <f t="shared" ref="I608:M608" si="644">D608</f>
        <v>95</v>
      </c>
      <c r="J608" s="55">
        <f t="shared" si="644"/>
        <v>96</v>
      </c>
      <c r="K608" s="55">
        <f t="shared" si="644"/>
        <v>97</v>
      </c>
      <c r="L608" s="55">
        <f t="shared" si="644"/>
        <v>98</v>
      </c>
      <c r="M608" s="55">
        <f t="shared" si="644"/>
        <v>99</v>
      </c>
    </row>
    <row r="609" ht="15.75" customHeight="1">
      <c r="A609" s="69">
        <f>B609+1</f>
        <v>231</v>
      </c>
      <c r="B609" s="69">
        <f t="shared" ref="B609:B616" si="646">$C$609*10</f>
        <v>230</v>
      </c>
      <c r="C609" s="71">
        <f>C582+1</f>
        <v>23</v>
      </c>
      <c r="D609" s="72">
        <f>D582+7</f>
        <v>46419</v>
      </c>
      <c r="E609" s="72">
        <f t="shared" ref="E609:H609" si="645">D609+1</f>
        <v>46420</v>
      </c>
      <c r="F609" s="72">
        <f t="shared" si="645"/>
        <v>46421</v>
      </c>
      <c r="G609" s="72">
        <f t="shared" si="645"/>
        <v>46422</v>
      </c>
      <c r="H609" s="72">
        <f t="shared" si="645"/>
        <v>46423</v>
      </c>
      <c r="I609" s="62" t="s">
        <v>42</v>
      </c>
    </row>
    <row r="610" ht="15.75" customHeight="1">
      <c r="A610" s="75">
        <f>B610+2</f>
        <v>232</v>
      </c>
      <c r="B610" s="75">
        <f t="shared" si="646"/>
        <v>230</v>
      </c>
      <c r="C610" s="76"/>
      <c r="D610" s="131" t="str">
        <f>if(isblank(I610),"",vlookup(I610,Pacing!$A$1:$Z$213,2))</f>
        <v>6.4: Lenses &amp; Optics</v>
      </c>
      <c r="E610" s="131" t="str">
        <f>if(isblank(J610),"",vlookup(J610,Pacing!$A$1:$Z$213,2))</f>
        <v>6.4: Lenses &amp; Optics</v>
      </c>
      <c r="F610" s="131" t="str">
        <f>if(isblank(K610),"",vlookup(K610,Pacing!$A$1:$Z$213,2))</f>
        <v>6.5: Optical Apps</v>
      </c>
      <c r="G610" s="131" t="str">
        <f>if(isblank(L610),"",vlookup(L610,Pacing!$A$1:$Z$213,2))</f>
        <v>6.5: Optical Apps</v>
      </c>
      <c r="H610" s="131" t="str">
        <f>if(isblank(M610),"",vlookup(M610,Pacing!$A$1:$Z$213,2))</f>
        <v>6.5: Optical Apps</v>
      </c>
      <c r="I610" s="78">
        <f t="shared" ref="I610:M610" si="647">I608</f>
        <v>95</v>
      </c>
      <c r="J610" s="78">
        <f t="shared" si="647"/>
        <v>96</v>
      </c>
      <c r="K610" s="78">
        <f t="shared" si="647"/>
        <v>97</v>
      </c>
      <c r="L610" s="78">
        <f t="shared" si="647"/>
        <v>98</v>
      </c>
      <c r="M610" s="78">
        <f t="shared" si="647"/>
        <v>99</v>
      </c>
    </row>
    <row r="611" ht="15.75" customHeight="1">
      <c r="A611" s="69">
        <f>B611+3</f>
        <v>233</v>
      </c>
      <c r="B611" s="69">
        <f t="shared" si="646"/>
        <v>230</v>
      </c>
      <c r="C611" s="76"/>
      <c r="D611" s="81" t="str">
        <f>if(isblank(I611),"",vlookup(I611,Pacing!$A$1:$Z$213,3))</f>
        <v>Warm Up</v>
      </c>
      <c r="E611" s="81" t="str">
        <f>if(isblank(J611),"",vlookup(J611,Pacing!$A$1:$Z$213,3))</f>
        <v>Warm Up</v>
      </c>
      <c r="F611" s="81" t="str">
        <f>if(isblank(K611),"",vlookup(K611,Pacing!$A$1:$Z$213,3))</f>
        <v>Warm Up</v>
      </c>
      <c r="G611" s="81" t="str">
        <f>if(isblank(L611),"",vlookup(L611,Pacing!$A$1:$Z$213,3))</f>
        <v>Warm Up</v>
      </c>
      <c r="H611" s="81" t="str">
        <f>if(isblank(M611),"",vlookup(M611,Pacing!$A$1:$Z$213,3))</f>
        <v>Warm Up</v>
      </c>
      <c r="I611" s="86">
        <f t="shared" ref="I611:M611" si="648">I610</f>
        <v>95</v>
      </c>
      <c r="J611" s="86">
        <f t="shared" si="648"/>
        <v>96</v>
      </c>
      <c r="K611" s="86">
        <f t="shared" si="648"/>
        <v>97</v>
      </c>
      <c r="L611" s="86">
        <f t="shared" si="648"/>
        <v>98</v>
      </c>
      <c r="M611" s="86">
        <f t="shared" si="648"/>
        <v>99</v>
      </c>
    </row>
    <row r="612" ht="15.75" customHeight="1">
      <c r="A612" s="69">
        <f>B612+4</f>
        <v>234</v>
      </c>
      <c r="B612" s="69">
        <f t="shared" si="646"/>
        <v>230</v>
      </c>
      <c r="C612" s="76"/>
      <c r="D612" s="81" t="str">
        <f>if(isblank(I612),"",vlookup(I612,Pacing!$A$1:$Z$213,4))</f>
        <v>Demo</v>
      </c>
      <c r="E612" s="81" t="str">
        <f>if(isblank(J612),"",vlookup(J612,Pacing!$A$1:$Z$213,4))</f>
        <v>Demo</v>
      </c>
      <c r="F612" s="81" t="str">
        <f>if(isblank(K612),"",vlookup(K612,Pacing!$A$1:$Z$213,4))</f>
        <v>Demo</v>
      </c>
      <c r="G612" s="81" t="str">
        <f>if(isblank(L612),"",vlookup(L612,Pacing!$A$1:$Z$213,4))</f>
        <v>Demo</v>
      </c>
      <c r="H612" s="81" t="str">
        <f>if(isblank(M612),"",vlookup(M612,Pacing!$A$1:$Z$213,4))</f>
        <v>Demo</v>
      </c>
      <c r="I612" s="86">
        <f t="shared" ref="I612:M612" si="649">I611</f>
        <v>95</v>
      </c>
      <c r="J612" s="86">
        <f t="shared" si="649"/>
        <v>96</v>
      </c>
      <c r="K612" s="86">
        <f t="shared" si="649"/>
        <v>97</v>
      </c>
      <c r="L612" s="86">
        <f t="shared" si="649"/>
        <v>98</v>
      </c>
      <c r="M612" s="86">
        <f t="shared" si="649"/>
        <v>99</v>
      </c>
    </row>
    <row r="613" ht="15.75" customHeight="1">
      <c r="A613" s="69">
        <f>B613+5</f>
        <v>235</v>
      </c>
      <c r="B613" s="69">
        <f t="shared" si="646"/>
        <v>230</v>
      </c>
      <c r="C613" s="76"/>
      <c r="D613" s="81" t="str">
        <f>if(isblank(I613),"",vlookup(I613,Pacing!$A$1:$Z$213,5))</f>
        <v>Notes</v>
      </c>
      <c r="E613" s="81" t="str">
        <f>if(isblank(J613),"",vlookup(J613,Pacing!$A$1:$Z$213,5))</f>
        <v>Notes</v>
      </c>
      <c r="F613" s="81" t="str">
        <f>if(isblank(K613),"",vlookup(K613,Pacing!$A$1:$Z$213,5))</f>
        <v>Notes</v>
      </c>
      <c r="G613" s="81" t="str">
        <f>if(isblank(L613),"",vlookup(L613,Pacing!$A$1:$Z$213,5))</f>
        <v>Notes</v>
      </c>
      <c r="H613" s="81" t="str">
        <f>if(isblank(M613),"",vlookup(M613,Pacing!$A$1:$Z$213,5))</f>
        <v>Notes</v>
      </c>
      <c r="I613" s="86">
        <f t="shared" ref="I613:M613" si="650">I612</f>
        <v>95</v>
      </c>
      <c r="J613" s="86">
        <f t="shared" si="650"/>
        <v>96</v>
      </c>
      <c r="K613" s="86">
        <f t="shared" si="650"/>
        <v>97</v>
      </c>
      <c r="L613" s="86">
        <f t="shared" si="650"/>
        <v>98</v>
      </c>
      <c r="M613" s="86">
        <f t="shared" si="650"/>
        <v>99</v>
      </c>
    </row>
    <row r="614" ht="15.75" customHeight="1">
      <c r="A614" s="69">
        <f>B614+6</f>
        <v>236</v>
      </c>
      <c r="B614" s="69">
        <f t="shared" si="646"/>
        <v>230</v>
      </c>
      <c r="C614" s="76"/>
      <c r="D614" s="81" t="str">
        <f>if(isblank(I614),"",vlookup(I614,Pacing!$A$1:$Z$213,6))</f>
        <v>Investigation</v>
      </c>
      <c r="E614" s="81" t="str">
        <f>if(isblank(J614),"",vlookup(J614,Pacing!$A$1:$Z$213,6))</f>
        <v>Investigation</v>
      </c>
      <c r="F614" s="81" t="str">
        <f>if(isblank(K614),"",vlookup(K614,Pacing!$A$1:$Z$213,6))</f>
        <v>Investigation</v>
      </c>
      <c r="G614" s="81" t="str">
        <f>if(isblank(L614),"",vlookup(L614,Pacing!$A$1:$Z$213,6))</f>
        <v>Investigation</v>
      </c>
      <c r="H614" s="81" t="str">
        <f>if(isblank(M614),"",vlookup(M614,Pacing!$A$1:$Z$213,6))</f>
        <v>Investigation</v>
      </c>
      <c r="I614" s="86">
        <f t="shared" ref="I614:M614" si="651">I613</f>
        <v>95</v>
      </c>
      <c r="J614" s="86">
        <f t="shared" si="651"/>
        <v>96</v>
      </c>
      <c r="K614" s="86">
        <f t="shared" si="651"/>
        <v>97</v>
      </c>
      <c r="L614" s="86">
        <f t="shared" si="651"/>
        <v>98</v>
      </c>
      <c r="M614" s="86">
        <f t="shared" si="651"/>
        <v>99</v>
      </c>
    </row>
    <row r="615" ht="15.75" customHeight="1">
      <c r="A615" s="69">
        <f>B615+7</f>
        <v>237</v>
      </c>
      <c r="B615" s="69">
        <f t="shared" si="646"/>
        <v>230</v>
      </c>
      <c r="C615" s="76"/>
      <c r="D615" s="81" t="str">
        <f>if(isblank(I615),"",vlookup(I615,Pacing!$A$1:$Z$213,7))</f>
        <v>Activity</v>
      </c>
      <c r="E615" s="81" t="str">
        <f>if(isblank(J615),"",vlookup(J615,Pacing!$A$1:$Z$213,7))</f>
        <v>Activity</v>
      </c>
      <c r="F615" s="81" t="str">
        <f>if(isblank(K615),"",vlookup(K615,Pacing!$A$1:$Z$213,7))</f>
        <v>Activity</v>
      </c>
      <c r="G615" s="81" t="str">
        <f>if(isblank(L615),"",vlookup(L615,Pacing!$A$1:$Z$213,7))</f>
        <v>Activity</v>
      </c>
      <c r="H615" s="81" t="str">
        <f>if(isblank(M615),"",vlookup(M615,Pacing!$A$1:$Z$213,7))</f>
        <v>Activity</v>
      </c>
      <c r="I615" s="86">
        <f t="shared" ref="I615:M615" si="652">I614</f>
        <v>95</v>
      </c>
      <c r="J615" s="86">
        <f t="shared" si="652"/>
        <v>96</v>
      </c>
      <c r="K615" s="86">
        <f t="shared" si="652"/>
        <v>97</v>
      </c>
      <c r="L615" s="86">
        <f t="shared" si="652"/>
        <v>98</v>
      </c>
      <c r="M615" s="86">
        <f t="shared" si="652"/>
        <v>99</v>
      </c>
    </row>
    <row r="616" ht="15.75" customHeight="1">
      <c r="A616" s="69">
        <f>B616+8</f>
        <v>238</v>
      </c>
      <c r="B616" s="69">
        <f t="shared" si="646"/>
        <v>230</v>
      </c>
      <c r="C616" s="95"/>
      <c r="D616" s="81" t="str">
        <f>if(isblank(I616),"",vlookup(I616,Pacing!$A$1:$Z$213,8))</f>
        <v>Practice Set</v>
      </c>
      <c r="E616" s="81" t="str">
        <f>if(isblank(J616),"",vlookup(J616,Pacing!$A$1:$Z$213,8))</f>
        <v>Practice Set</v>
      </c>
      <c r="F616" s="81" t="str">
        <f>if(isblank(K616),"",vlookup(K616,Pacing!$A$1:$Z$213,8))</f>
        <v>Practice Set</v>
      </c>
      <c r="G616" s="81" t="str">
        <f>if(isblank(L616),"",vlookup(L616,Pacing!$A$1:$Z$213,8))</f>
        <v>Practice Set</v>
      </c>
      <c r="H616" s="81" t="str">
        <f>if(isblank(M616),"",vlookup(M616,Pacing!$A$1:$Z$213,8))</f>
        <v>Practice Set</v>
      </c>
      <c r="I616" s="86">
        <f t="shared" ref="I616:M616" si="653">I615</f>
        <v>95</v>
      </c>
      <c r="J616" s="86">
        <f t="shared" si="653"/>
        <v>96</v>
      </c>
      <c r="K616" s="86">
        <f t="shared" si="653"/>
        <v>97</v>
      </c>
      <c r="L616" s="86">
        <f t="shared" si="653"/>
        <v>98</v>
      </c>
      <c r="M616" s="86">
        <f t="shared" si="653"/>
        <v>99</v>
      </c>
    </row>
    <row r="617" ht="15.75" customHeight="1">
      <c r="A617" s="69"/>
      <c r="B617" s="69"/>
      <c r="C617" s="71"/>
      <c r="D617" s="81" t="str">
        <f>if(isblank(I617),"",vlookup(I617,Pacing!$A$1:$Z$213,9))</f>
        <v>Extra Practice</v>
      </c>
      <c r="E617" s="81" t="str">
        <f>if(isblank(J617),"",vlookup(J617,Pacing!$A$1:$Z$213,9))</f>
        <v>Extra Practice</v>
      </c>
      <c r="F617" s="81" t="str">
        <f>if(isblank(K617),"",vlookup(K617,Pacing!$A$1:$Z$213,9))</f>
        <v>Extra Practice</v>
      </c>
      <c r="G617" s="81" t="str">
        <f>if(isblank(L617),"",vlookup(L617,Pacing!$A$1:$Z$213,9))</f>
        <v>Extra Practice</v>
      </c>
      <c r="H617" s="81" t="str">
        <f>if(isblank(M617),"",vlookup(M617,Pacing!$A$1:$Z$213,9))</f>
        <v>Extra Practice</v>
      </c>
      <c r="I617" s="86">
        <f t="shared" ref="I617:M617" si="654">I616</f>
        <v>95</v>
      </c>
      <c r="J617" s="86">
        <f t="shared" si="654"/>
        <v>96</v>
      </c>
      <c r="K617" s="86">
        <f t="shared" si="654"/>
        <v>97</v>
      </c>
      <c r="L617" s="86">
        <f t="shared" si="654"/>
        <v>98</v>
      </c>
      <c r="M617" s="86">
        <f t="shared" si="654"/>
        <v>99</v>
      </c>
    </row>
    <row r="618" ht="15.75" customHeight="1">
      <c r="A618" s="69"/>
      <c r="B618" s="69"/>
      <c r="C618" s="71"/>
      <c r="D618" s="81" t="str">
        <f>if(isblank(I618),"",vlookup(I618,Pacing!$A$1:$Z$213,10))</f>
        <v>CYU</v>
      </c>
      <c r="E618" s="81" t="str">
        <f>if(isblank(J618),"",vlookup(J618,Pacing!$A$1:$Z$213,10))</f>
        <v>CYU</v>
      </c>
      <c r="F618" s="81" t="str">
        <f>if(isblank(K618),"",vlookup(K618,Pacing!$A$1:$Z$213,10))</f>
        <v>CYU</v>
      </c>
      <c r="G618" s="81" t="str">
        <f>if(isblank(L618),"",vlookup(L618,Pacing!$A$1:$Z$213,10))</f>
        <v>CYU</v>
      </c>
      <c r="H618" s="81" t="str">
        <f>if(isblank(M618),"",vlookup(M618,Pacing!$A$1:$Z$213,10))</f>
        <v>CYU</v>
      </c>
      <c r="I618" s="86">
        <f t="shared" ref="I618:M618" si="655">I617</f>
        <v>95</v>
      </c>
      <c r="J618" s="86">
        <f t="shared" si="655"/>
        <v>96</v>
      </c>
      <c r="K618" s="86">
        <f t="shared" si="655"/>
        <v>97</v>
      </c>
      <c r="L618" s="86">
        <f t="shared" si="655"/>
        <v>98</v>
      </c>
      <c r="M618" s="86">
        <f t="shared" si="655"/>
        <v>99</v>
      </c>
    </row>
    <row r="619" ht="15.75" customHeight="1">
      <c r="A619" s="69"/>
      <c r="B619" s="69"/>
      <c r="C619" s="71"/>
      <c r="D619" s="81" t="str">
        <f>if(isblank(I619),"",vlookup(I619,Pacing!$A$1:$Z$213,11))</f>
        <v>Progress</v>
      </c>
      <c r="E619" s="81" t="str">
        <f>if(isblank(J619),"",vlookup(J619,Pacing!$A$1:$Z$213,11))</f>
        <v>Progress</v>
      </c>
      <c r="F619" s="81" t="str">
        <f>if(isblank(K619),"",vlookup(K619,Pacing!$A$1:$Z$213,11))</f>
        <v>Progress</v>
      </c>
      <c r="G619" s="81" t="str">
        <f>if(isblank(L619),"",vlookup(L619,Pacing!$A$1:$Z$213,11))</f>
        <v>Progress</v>
      </c>
      <c r="H619" s="81" t="str">
        <f>if(isblank(M619),"",vlookup(M619,Pacing!$A$1:$Z$213,11))</f>
        <v>Progress</v>
      </c>
      <c r="I619" s="86">
        <f t="shared" ref="I619:M619" si="656">I618</f>
        <v>95</v>
      </c>
      <c r="J619" s="86">
        <f t="shared" si="656"/>
        <v>96</v>
      </c>
      <c r="K619" s="86">
        <f t="shared" si="656"/>
        <v>97</v>
      </c>
      <c r="L619" s="86">
        <f t="shared" si="656"/>
        <v>98</v>
      </c>
      <c r="M619" s="86">
        <f t="shared" si="656"/>
        <v>99</v>
      </c>
    </row>
    <row r="620" ht="15.75" customHeight="1">
      <c r="A620" s="69"/>
      <c r="B620" s="69"/>
      <c r="C620" s="71"/>
      <c r="D620" s="81" t="str">
        <f>if(isblank(I620),"",vlookup(I620,Pacing!$A$1:$Z$213,12))</f>
        <v>Review</v>
      </c>
      <c r="E620" s="81" t="str">
        <f>if(isblank(J620),"",vlookup(J620,Pacing!$A$1:$Z$213,12))</f>
        <v>Review</v>
      </c>
      <c r="F620" s="81" t="str">
        <f>if(isblank(K620),"",vlookup(K620,Pacing!$A$1:$Z$213,12))</f>
        <v>Review</v>
      </c>
      <c r="G620" s="81" t="str">
        <f>if(isblank(L620),"",vlookup(L620,Pacing!$A$1:$Z$213,12))</f>
        <v>Review</v>
      </c>
      <c r="H620" s="81" t="str">
        <f>if(isblank(M620),"",vlookup(M620,Pacing!$A$1:$Z$213,12))</f>
        <v>Review</v>
      </c>
      <c r="I620" s="86">
        <f t="shared" ref="I620:M620" si="657">I619</f>
        <v>95</v>
      </c>
      <c r="J620" s="86">
        <f t="shared" si="657"/>
        <v>96</v>
      </c>
      <c r="K620" s="86">
        <f t="shared" si="657"/>
        <v>97</v>
      </c>
      <c r="L620" s="86">
        <f t="shared" si="657"/>
        <v>98</v>
      </c>
      <c r="M620" s="86">
        <f t="shared" si="657"/>
        <v>99</v>
      </c>
    </row>
    <row r="621" ht="15.75" customHeight="1">
      <c r="A621" s="69"/>
      <c r="B621" s="69"/>
      <c r="C621" s="71"/>
      <c r="D621" s="91" t="str">
        <f>if(isblank(I621),"",vlookup(I621,Pacing!$A$1:$Z$213,13))</f>
        <v/>
      </c>
      <c r="E621" s="91" t="str">
        <f>if(isblank(J621),"",vlookup(J621,Pacing!$A$1:$Z$213,13))</f>
        <v/>
      </c>
      <c r="F621" s="91" t="str">
        <f>if(isblank(K621),"",vlookup(K621,Pacing!$A$1:$Z$213,13))</f>
        <v/>
      </c>
      <c r="G621" s="91" t="str">
        <f>if(isblank(L621),"",vlookup(L621,Pacing!$A$1:$Z$213,13))</f>
        <v/>
      </c>
      <c r="H621" s="91" t="str">
        <f>if(isblank(M621),"",vlookup(M621,Pacing!$A$1:$Z$213,13))</f>
        <v/>
      </c>
      <c r="I621" s="86">
        <f t="shared" ref="I621:M621" si="658">I620</f>
        <v>95</v>
      </c>
      <c r="J621" s="86">
        <f t="shared" si="658"/>
        <v>96</v>
      </c>
      <c r="K621" s="86">
        <f t="shared" si="658"/>
        <v>97</v>
      </c>
      <c r="L621" s="86">
        <f t="shared" si="658"/>
        <v>98</v>
      </c>
      <c r="M621" s="86">
        <f t="shared" si="658"/>
        <v>99</v>
      </c>
    </row>
    <row r="622" ht="15.75" customHeight="1">
      <c r="A622" s="69"/>
      <c r="B622" s="69"/>
      <c r="C622" s="71"/>
      <c r="D622" s="81" t="str">
        <f>if(isblank(I622),"",vlookup(I622,Pacing!$A$1:$Z$213,14))</f>
        <v>Notes Teacher</v>
      </c>
      <c r="E622" s="81" t="str">
        <f>if(isblank(J622),"",vlookup(J622,Pacing!$A$1:$Z$213,14))</f>
        <v>Notes Teacher</v>
      </c>
      <c r="F622" s="81" t="str">
        <f>if(isblank(K622),"",vlookup(K622,Pacing!$A$1:$Z$213,14))</f>
        <v>Notes Teacher</v>
      </c>
      <c r="G622" s="81" t="str">
        <f>if(isblank(L622),"",vlookup(L622,Pacing!$A$1:$Z$213,14))</f>
        <v>Notes Teacher</v>
      </c>
      <c r="H622" s="81" t="str">
        <f>if(isblank(M622),"",vlookup(M622,Pacing!$A$1:$Z$213,14))</f>
        <v>Notes Teacher</v>
      </c>
      <c r="I622" s="86">
        <f t="shared" ref="I622:M622" si="659">I621</f>
        <v>95</v>
      </c>
      <c r="J622" s="86">
        <f t="shared" si="659"/>
        <v>96</v>
      </c>
      <c r="K622" s="86">
        <f t="shared" si="659"/>
        <v>97</v>
      </c>
      <c r="L622" s="86">
        <f t="shared" si="659"/>
        <v>98</v>
      </c>
      <c r="M622" s="86">
        <f t="shared" si="659"/>
        <v>99</v>
      </c>
    </row>
    <row r="623" ht="15.75" customHeight="1">
      <c r="A623" s="69"/>
      <c r="B623" s="69"/>
      <c r="C623" s="71"/>
      <c r="D623" s="81" t="str">
        <f>if(isblank(I623),"",vlookup(I623,Pacing!$A$1:$Z$213,15))</f>
        <v>Demo Teacher</v>
      </c>
      <c r="E623" s="81" t="str">
        <f>if(isblank(J623),"",vlookup(J623,Pacing!$A$1:$Z$213,15))</f>
        <v>Demo Teacher</v>
      </c>
      <c r="F623" s="81" t="str">
        <f>if(isblank(K623),"",vlookup(K623,Pacing!$A$1:$Z$213,15))</f>
        <v>Demo Teacher</v>
      </c>
      <c r="G623" s="81" t="str">
        <f>if(isblank(L623),"",vlookup(L623,Pacing!$A$1:$Z$213,15))</f>
        <v>Demo Teacher</v>
      </c>
      <c r="H623" s="81" t="str">
        <f>if(isblank(M623),"",vlookup(M623,Pacing!$A$1:$Z$213,15))</f>
        <v>Demo Teacher</v>
      </c>
      <c r="I623" s="86">
        <f t="shared" ref="I623:M623" si="660">I622</f>
        <v>95</v>
      </c>
      <c r="J623" s="86">
        <f t="shared" si="660"/>
        <v>96</v>
      </c>
      <c r="K623" s="86">
        <f t="shared" si="660"/>
        <v>97</v>
      </c>
      <c r="L623" s="86">
        <f t="shared" si="660"/>
        <v>98</v>
      </c>
      <c r="M623" s="86">
        <f t="shared" si="660"/>
        <v>99</v>
      </c>
    </row>
    <row r="624" ht="15.75" customHeight="1">
      <c r="A624" s="69"/>
      <c r="B624" s="69"/>
      <c r="C624" s="71"/>
      <c r="D624" s="81" t="str">
        <f>if(isblank(I624),"",vlookup(I624,Pacing!$A$1:$Z$213,16))</f>
        <v>Invest Teacher</v>
      </c>
      <c r="E624" s="81" t="str">
        <f>if(isblank(J624),"",vlookup(J624,Pacing!$A$1:$Z$213,16))</f>
        <v>Invest Teacher</v>
      </c>
      <c r="F624" s="81" t="str">
        <f>if(isblank(K624),"",vlookup(K624,Pacing!$A$1:$Z$213,16))</f>
        <v>Invest Teacher</v>
      </c>
      <c r="G624" s="81" t="str">
        <f>if(isblank(L624),"",vlookup(L624,Pacing!$A$1:$Z$213,16))</f>
        <v>Invest Teacher</v>
      </c>
      <c r="H624" s="81" t="str">
        <f>if(isblank(M624),"",vlookup(M624,Pacing!$A$1:$Z$213,16))</f>
        <v>Invest Teacher</v>
      </c>
      <c r="I624" s="86">
        <f t="shared" ref="I624:M624" si="661">I623</f>
        <v>95</v>
      </c>
      <c r="J624" s="86">
        <f t="shared" si="661"/>
        <v>96</v>
      </c>
      <c r="K624" s="86">
        <f t="shared" si="661"/>
        <v>97</v>
      </c>
      <c r="L624" s="86">
        <f t="shared" si="661"/>
        <v>98</v>
      </c>
      <c r="M624" s="86">
        <f t="shared" si="661"/>
        <v>99</v>
      </c>
    </row>
    <row r="625" ht="15.75" customHeight="1">
      <c r="A625" s="69"/>
      <c r="B625" s="69"/>
      <c r="C625" s="71"/>
      <c r="D625" s="81" t="str">
        <f>if(isblank(I625),"",vlookup(I625,Pacing!$A$1:$Z$213,17))</f>
        <v>PT Teacher</v>
      </c>
      <c r="E625" s="81" t="str">
        <f>if(isblank(J625),"",vlookup(J625,Pacing!$A$1:$Z$213,17))</f>
        <v>PT Teacher</v>
      </c>
      <c r="F625" s="81" t="str">
        <f>if(isblank(K625),"",vlookup(K625,Pacing!$A$1:$Z$213,17))</f>
        <v>PT Teacher</v>
      </c>
      <c r="G625" s="81" t="str">
        <f>if(isblank(L625),"",vlookup(L625,Pacing!$A$1:$Z$213,17))</f>
        <v>PT Teacher</v>
      </c>
      <c r="H625" s="81" t="str">
        <f>if(isblank(M625),"",vlookup(M625,Pacing!$A$1:$Z$213,17))</f>
        <v>PT Teacher</v>
      </c>
      <c r="I625" s="86">
        <f t="shared" ref="I625:M625" si="662">I624</f>
        <v>95</v>
      </c>
      <c r="J625" s="86">
        <f t="shared" si="662"/>
        <v>96</v>
      </c>
      <c r="K625" s="86">
        <f t="shared" si="662"/>
        <v>97</v>
      </c>
      <c r="L625" s="86">
        <f t="shared" si="662"/>
        <v>98</v>
      </c>
      <c r="M625" s="86">
        <f t="shared" si="662"/>
        <v>99</v>
      </c>
    </row>
    <row r="626" ht="15.75" customHeight="1">
      <c r="A626" s="69"/>
      <c r="B626" s="69"/>
      <c r="C626" s="71"/>
      <c r="D626" s="81" t="str">
        <f>if(isblank(I626),"",vlookup(I626,Pacing!$A$1:$Z$213,18))</f>
        <v>Assess Plan</v>
      </c>
      <c r="E626" s="81" t="str">
        <f>if(isblank(J626),"",vlookup(J626,Pacing!$A$1:$Z$213,18))</f>
        <v>Assess Plan</v>
      </c>
      <c r="F626" s="81" t="str">
        <f>if(isblank(K626),"",vlookup(K626,Pacing!$A$1:$Z$213,18))</f>
        <v>Assess Plan</v>
      </c>
      <c r="G626" s="81" t="str">
        <f>if(isblank(L626),"",vlookup(L626,Pacing!$A$1:$Z$213,18))</f>
        <v>Assess Plan</v>
      </c>
      <c r="H626" s="81" t="str">
        <f>if(isblank(M626),"",vlookup(M626,Pacing!$A$1:$Z$213,18))</f>
        <v>Assess Plan</v>
      </c>
      <c r="I626" s="86">
        <f t="shared" ref="I626:M626" si="663">I625</f>
        <v>95</v>
      </c>
      <c r="J626" s="86">
        <f t="shared" si="663"/>
        <v>96</v>
      </c>
      <c r="K626" s="86">
        <f t="shared" si="663"/>
        <v>97</v>
      </c>
      <c r="L626" s="86">
        <f t="shared" si="663"/>
        <v>98</v>
      </c>
      <c r="M626" s="86">
        <f t="shared" si="663"/>
        <v>99</v>
      </c>
    </row>
    <row r="627" ht="15.75" customHeight="1">
      <c r="A627" s="69"/>
      <c r="B627" s="69"/>
      <c r="C627" s="71"/>
      <c r="D627" s="81" t="str">
        <f>if(isblank(I627),"",vlookup(I627,Pacing!$A$1:$Z$213,19))</f>
        <v>Perform Task</v>
      </c>
      <c r="E627" s="81" t="str">
        <f>if(isblank(J627),"",vlookup(J627,Pacing!$A$1:$Z$213,19))</f>
        <v>Perform Task</v>
      </c>
      <c r="F627" s="81" t="str">
        <f>if(isblank(K627),"",vlookup(K627,Pacing!$A$1:$Z$213,19))</f>
        <v>Perform Task</v>
      </c>
      <c r="G627" s="81" t="str">
        <f>if(isblank(L627),"",vlookup(L627,Pacing!$A$1:$Z$213,19))</f>
        <v>Perform Task</v>
      </c>
      <c r="H627" s="81" t="str">
        <f>if(isblank(M627),"",vlookup(M627,Pacing!$A$1:$Z$213,19))</f>
        <v>Perform Task</v>
      </c>
      <c r="I627" s="86">
        <f t="shared" ref="I627:M627" si="664">I626</f>
        <v>95</v>
      </c>
      <c r="J627" s="86">
        <f t="shared" si="664"/>
        <v>96</v>
      </c>
      <c r="K627" s="86">
        <f t="shared" si="664"/>
        <v>97</v>
      </c>
      <c r="L627" s="86">
        <f t="shared" si="664"/>
        <v>98</v>
      </c>
      <c r="M627" s="86">
        <f t="shared" si="664"/>
        <v>99</v>
      </c>
    </row>
    <row r="628" ht="15.75" customHeight="1">
      <c r="A628" s="69"/>
      <c r="B628" s="69"/>
      <c r="C628" s="71"/>
      <c r="D628" s="81" t="str">
        <f>if(isblank(I628),"",vlookup(I628,Pacing!$A$1:$Z$213,20))</f>
        <v>Quick Check</v>
      </c>
      <c r="E628" s="81" t="str">
        <f>if(isblank(J628),"",vlookup(J628,Pacing!$A$1:$Z$213,20))</f>
        <v>Quick Check</v>
      </c>
      <c r="F628" s="81" t="str">
        <f>if(isblank(K628),"",vlookup(K628,Pacing!$A$1:$Z$213,20))</f>
        <v>Quick Check</v>
      </c>
      <c r="G628" s="81" t="str">
        <f>if(isblank(L628),"",vlookup(L628,Pacing!$A$1:$Z$213,20))</f>
        <v>Quick Check</v>
      </c>
      <c r="H628" s="81" t="str">
        <f>if(isblank(M628),"",vlookup(M628,Pacing!$A$1:$Z$213,20))</f>
        <v>Quick Check</v>
      </c>
      <c r="I628" s="86">
        <f t="shared" ref="I628:M628" si="665">I627</f>
        <v>95</v>
      </c>
      <c r="J628" s="86">
        <f t="shared" si="665"/>
        <v>96</v>
      </c>
      <c r="K628" s="86">
        <f t="shared" si="665"/>
        <v>97</v>
      </c>
      <c r="L628" s="86">
        <f t="shared" si="665"/>
        <v>98</v>
      </c>
      <c r="M628" s="86">
        <f t="shared" si="665"/>
        <v>99</v>
      </c>
    </row>
    <row r="629" ht="15.75" customHeight="1">
      <c r="A629" s="69"/>
      <c r="B629" s="69"/>
      <c r="C629" s="71"/>
      <c r="D629" s="81" t="str">
        <f>if(isblank(I629),"",vlookup(I629,Pacing!$A$1:$Z$213,21))</f>
        <v>Exit Ticket</v>
      </c>
      <c r="E629" s="81" t="str">
        <f>if(isblank(J629),"",vlookup(J629,Pacing!$A$1:$Z$213,21))</f>
        <v>Exit Ticket</v>
      </c>
      <c r="F629" s="81" t="str">
        <f>if(isblank(K629),"",vlookup(K629,Pacing!$A$1:$Z$213,21))</f>
        <v>Exit Ticket</v>
      </c>
      <c r="G629" s="81" t="str">
        <f>if(isblank(L629),"",vlookup(L629,Pacing!$A$1:$Z$213,21))</f>
        <v>Exit Ticket</v>
      </c>
      <c r="H629" s="81" t="str">
        <f>if(isblank(M629),"",vlookup(M629,Pacing!$A$1:$Z$213,21))</f>
        <v>Exit Ticket</v>
      </c>
      <c r="I629" s="86">
        <f t="shared" ref="I629:M629" si="666">I628</f>
        <v>95</v>
      </c>
      <c r="J629" s="86">
        <f t="shared" si="666"/>
        <v>96</v>
      </c>
      <c r="K629" s="86">
        <f t="shared" si="666"/>
        <v>97</v>
      </c>
      <c r="L629" s="86">
        <f t="shared" si="666"/>
        <v>98</v>
      </c>
      <c r="M629" s="86">
        <f t="shared" si="666"/>
        <v>99</v>
      </c>
    </row>
    <row r="630" ht="15.75" customHeight="1">
      <c r="A630" s="69"/>
      <c r="B630" s="69"/>
      <c r="C630" s="71"/>
      <c r="D630" s="81" t="str">
        <f>if(isblank(I630),"",vlookup(I630,Pacing!$A$1:$Z$213,22))</f>
        <v>Practice 2</v>
      </c>
      <c r="E630" s="81" t="str">
        <f>if(isblank(J630),"",vlookup(J630,Pacing!$A$1:$Z$213,22))</f>
        <v>Practice 2</v>
      </c>
      <c r="F630" s="81" t="str">
        <f>if(isblank(K630),"",vlookup(K630,Pacing!$A$1:$Z$213,22))</f>
        <v>Practice 2</v>
      </c>
      <c r="G630" s="81" t="str">
        <f>if(isblank(L630),"",vlookup(L630,Pacing!$A$1:$Z$213,22))</f>
        <v>Practice 2</v>
      </c>
      <c r="H630" s="81" t="str">
        <f>if(isblank(M630),"",vlookup(M630,Pacing!$A$1:$Z$213,22))</f>
        <v>Practice 2</v>
      </c>
      <c r="I630" s="86">
        <f t="shared" ref="I630:M630" si="667">I629</f>
        <v>95</v>
      </c>
      <c r="J630" s="86">
        <f t="shared" si="667"/>
        <v>96</v>
      </c>
      <c r="K630" s="86">
        <f t="shared" si="667"/>
        <v>97</v>
      </c>
      <c r="L630" s="86">
        <f t="shared" si="667"/>
        <v>98</v>
      </c>
      <c r="M630" s="86">
        <f t="shared" si="667"/>
        <v>99</v>
      </c>
    </row>
    <row r="631" ht="15.75" customHeight="1">
      <c r="A631" s="69"/>
      <c r="B631" s="69"/>
      <c r="C631" s="71"/>
      <c r="D631" s="81" t="str">
        <f>if(isblank(I631),"",vlookup(I631,Pacing!$A$1:$Z$213,23))</f>
        <v>Practice 3</v>
      </c>
      <c r="E631" s="81" t="str">
        <f>if(isblank(J631),"",vlookup(J631,Pacing!$A$1:$Z$213,23))</f>
        <v>Practice 3</v>
      </c>
      <c r="F631" s="81" t="str">
        <f>if(isblank(K631),"",vlookup(K631,Pacing!$A$1:$Z$213,23))</f>
        <v>Practice 3</v>
      </c>
      <c r="G631" s="81" t="str">
        <f>if(isblank(L631),"",vlookup(L631,Pacing!$A$1:$Z$213,23))</f>
        <v>Practice 3</v>
      </c>
      <c r="H631" s="81" t="str">
        <f>if(isblank(M631),"",vlookup(M631,Pacing!$A$1:$Z$213,23))</f>
        <v>Practice 3</v>
      </c>
      <c r="I631" s="86">
        <f t="shared" ref="I631:M631" si="668">I630</f>
        <v>95</v>
      </c>
      <c r="J631" s="86">
        <f t="shared" si="668"/>
        <v>96</v>
      </c>
      <c r="K631" s="86">
        <f t="shared" si="668"/>
        <v>97</v>
      </c>
      <c r="L631" s="86">
        <f t="shared" si="668"/>
        <v>98</v>
      </c>
      <c r="M631" s="86">
        <f t="shared" si="668"/>
        <v>99</v>
      </c>
    </row>
    <row r="632" ht="15.75" customHeight="1">
      <c r="A632" s="69"/>
      <c r="B632" s="69"/>
      <c r="C632" s="71"/>
      <c r="D632" s="81" t="str">
        <f>if(isblank(I632),"",vlookup(I632,Pacing!$A$1:$Z$213,24))</f>
        <v>Sum Assess</v>
      </c>
      <c r="E632" s="81" t="str">
        <f>if(isblank(J632),"",vlookup(J632,Pacing!$A$1:$Z$213,24))</f>
        <v>Sum Assess</v>
      </c>
      <c r="F632" s="81" t="str">
        <f>if(isblank(K632),"",vlookup(K632,Pacing!$A$1:$Z$213,24))</f>
        <v>Sum Assess</v>
      </c>
      <c r="G632" s="81" t="str">
        <f>if(isblank(L632),"",vlookup(L632,Pacing!$A$1:$Z$213,24))</f>
        <v>Sum Assess</v>
      </c>
      <c r="H632" s="81" t="str">
        <f>if(isblank(M632),"",vlookup(M632,Pacing!$A$1:$Z$213,24))</f>
        <v>Sum Assess</v>
      </c>
      <c r="I632" s="86">
        <f t="shared" ref="I632:M632" si="669">I631</f>
        <v>95</v>
      </c>
      <c r="J632" s="86">
        <f t="shared" si="669"/>
        <v>96</v>
      </c>
      <c r="K632" s="86">
        <f t="shared" si="669"/>
        <v>97</v>
      </c>
      <c r="L632" s="86">
        <f t="shared" si="669"/>
        <v>98</v>
      </c>
      <c r="M632" s="86">
        <f t="shared" si="669"/>
        <v>99</v>
      </c>
    </row>
    <row r="633" ht="15.75" customHeight="1">
      <c r="A633" s="69"/>
      <c r="B633" s="69"/>
      <c r="C633" s="71"/>
      <c r="D633" s="81" t="str">
        <f>if(isblank(I633),"",vlookup(I633,Pacing!$A$1:$Z$213,25))</f>
        <v>Bank</v>
      </c>
      <c r="E633" s="81" t="str">
        <f>if(isblank(J633),"",vlookup(J633,Pacing!$A$1:$Z$213,25))</f>
        <v>Bank</v>
      </c>
      <c r="F633" s="81" t="str">
        <f>if(isblank(K633),"",vlookup(K633,Pacing!$A$1:$Z$213,25))</f>
        <v>Bank</v>
      </c>
      <c r="G633" s="81" t="str">
        <f>if(isblank(L633),"",vlookup(L633,Pacing!$A$1:$Z$213,25))</f>
        <v>Bank</v>
      </c>
      <c r="H633" s="81" t="str">
        <f>if(isblank(M633),"",vlookup(M633,Pacing!$A$1:$Z$213,25))</f>
        <v>Bank</v>
      </c>
      <c r="I633" s="86">
        <f t="shared" ref="I633:M633" si="670">I632</f>
        <v>95</v>
      </c>
      <c r="J633" s="86">
        <f t="shared" si="670"/>
        <v>96</v>
      </c>
      <c r="K633" s="86">
        <f t="shared" si="670"/>
        <v>97</v>
      </c>
      <c r="L633" s="86">
        <f t="shared" si="670"/>
        <v>98</v>
      </c>
      <c r="M633" s="86">
        <f t="shared" si="670"/>
        <v>99</v>
      </c>
    </row>
    <row r="634" ht="15.75" customHeight="1">
      <c r="A634" s="69"/>
      <c r="B634" s="69"/>
      <c r="C634" s="71"/>
      <c r="D634" s="91" t="str">
        <f>if(isblank(I634),"",vlookup(I634,Pacing!$A$1:$Z$213,26))</f>
        <v/>
      </c>
      <c r="E634" s="89" t="str">
        <f>if(isblank(J634),"",vlookup(J634,Pacing!$A$1:$Z$213,26))</f>
        <v/>
      </c>
      <c r="F634" s="89" t="str">
        <f>if(isblank(K634),"",vlookup(K634,Pacing!$A$1:$Z$213,26))</f>
        <v/>
      </c>
      <c r="G634" s="89" t="str">
        <f>if(isblank(L634),"",vlookup(L634,Pacing!$A$1:$Z$213,26))</f>
        <v/>
      </c>
      <c r="H634" s="89" t="str">
        <f>if(isblank(M634),"",vlookup(M634,Pacing!$A$1:$Z$213,26))</f>
        <v/>
      </c>
      <c r="I634" s="86">
        <f t="shared" ref="I634:M634" si="671">I633</f>
        <v>95</v>
      </c>
      <c r="J634" s="86">
        <f t="shared" si="671"/>
        <v>96</v>
      </c>
      <c r="K634" s="86">
        <f t="shared" si="671"/>
        <v>97</v>
      </c>
      <c r="L634" s="86">
        <f t="shared" si="671"/>
        <v>98</v>
      </c>
      <c r="M634" s="86">
        <f t="shared" si="671"/>
        <v>99</v>
      </c>
    </row>
    <row r="635" ht="15.75" customHeight="1">
      <c r="A635" s="137"/>
      <c r="B635" s="137"/>
      <c r="C635" s="138"/>
      <c r="D635" s="139">
        <f>H608+1</f>
        <v>100</v>
      </c>
      <c r="E635" s="139">
        <f t="shared" ref="E635:H635" si="672">D635+1</f>
        <v>101</v>
      </c>
      <c r="F635" s="139">
        <f t="shared" si="672"/>
        <v>102</v>
      </c>
      <c r="G635" s="139">
        <f t="shared" si="672"/>
        <v>103</v>
      </c>
      <c r="H635" s="139">
        <f t="shared" si="672"/>
        <v>104</v>
      </c>
      <c r="I635" s="55">
        <f t="shared" ref="I635:M635" si="673">D635</f>
        <v>100</v>
      </c>
      <c r="J635" s="55">
        <f t="shared" si="673"/>
        <v>101</v>
      </c>
      <c r="K635" s="55">
        <f t="shared" si="673"/>
        <v>102</v>
      </c>
      <c r="L635" s="55">
        <f t="shared" si="673"/>
        <v>103</v>
      </c>
      <c r="M635" s="55">
        <f t="shared" si="673"/>
        <v>104</v>
      </c>
    </row>
    <row r="636" ht="15.75" customHeight="1">
      <c r="A636" s="69">
        <f>B636+1</f>
        <v>241</v>
      </c>
      <c r="B636" s="69">
        <f t="shared" ref="B636:B643" si="675">$C$636*10</f>
        <v>240</v>
      </c>
      <c r="C636" s="71">
        <f>C609+1</f>
        <v>24</v>
      </c>
      <c r="D636" s="72">
        <f>D609+7</f>
        <v>46426</v>
      </c>
      <c r="E636" s="72">
        <f t="shared" ref="E636:H636" si="674">D636+1</f>
        <v>46427</v>
      </c>
      <c r="F636" s="72">
        <f t="shared" si="674"/>
        <v>46428</v>
      </c>
      <c r="G636" s="72">
        <f t="shared" si="674"/>
        <v>46429</v>
      </c>
      <c r="H636" s="72">
        <f t="shared" si="674"/>
        <v>46430</v>
      </c>
      <c r="I636" s="62" t="s">
        <v>42</v>
      </c>
    </row>
    <row r="637" ht="15.75" customHeight="1">
      <c r="A637" s="75">
        <f>B637+2</f>
        <v>242</v>
      </c>
      <c r="B637" s="75">
        <f t="shared" si="675"/>
        <v>240</v>
      </c>
      <c r="C637" s="76"/>
      <c r="D637" s="131" t="str">
        <f>if(isblank(I637),"",vlookup(I637,Pacing!$A$1:$Z$213,2))</f>
        <v>Unit 6 Sum Assess</v>
      </c>
      <c r="E637" s="131" t="str">
        <f>if(isblank(J637),"",vlookup(J637,Pacing!$A$1:$Z$213,2))</f>
        <v>7.1: Charge &amp; Forces</v>
      </c>
      <c r="F637" s="131" t="str">
        <f>if(isblank(K637),"",vlookup(K637,Pacing!$A$1:$Z$213,2))</f>
        <v>7.1: Charge &amp; Forces</v>
      </c>
      <c r="G637" s="131" t="str">
        <f>if(isblank(L637),"",vlookup(L637,Pacing!$A$1:$Z$213,2))</f>
        <v>7.1: Charge &amp; Forces</v>
      </c>
      <c r="H637" s="131" t="str">
        <f>if(isblank(M637),"",vlookup(M637,Pacing!$A$1:$Z$213,2))</f>
        <v>7.2: Voltage &amp; Current</v>
      </c>
      <c r="I637" s="78">
        <f t="shared" ref="I637:M637" si="676">I635</f>
        <v>100</v>
      </c>
      <c r="J637" s="78">
        <f t="shared" si="676"/>
        <v>101</v>
      </c>
      <c r="K637" s="78">
        <f t="shared" si="676"/>
        <v>102</v>
      </c>
      <c r="L637" s="78">
        <f t="shared" si="676"/>
        <v>103</v>
      </c>
      <c r="M637" s="78">
        <f t="shared" si="676"/>
        <v>104</v>
      </c>
    </row>
    <row r="638" ht="15.75" customHeight="1">
      <c r="A638" s="69">
        <f>B638+3</f>
        <v>243</v>
      </c>
      <c r="B638" s="69">
        <f t="shared" si="675"/>
        <v>240</v>
      </c>
      <c r="C638" s="76"/>
      <c r="D638" s="91" t="str">
        <f>if(isblank(I638),"",vlookup(I638,Pacing!$A$1:$Z$213,3))</f>
        <v/>
      </c>
      <c r="E638" s="81" t="str">
        <f>if(isblank(J638),"",vlookup(J638,Pacing!$A$1:$Z$213,3))</f>
        <v>Warm Up</v>
      </c>
      <c r="F638" s="81" t="str">
        <f>if(isblank(K638),"",vlookup(K638,Pacing!$A$1:$Z$213,3))</f>
        <v>Warm Up</v>
      </c>
      <c r="G638" s="81" t="str">
        <f>if(isblank(L638),"",vlookup(L638,Pacing!$A$1:$Z$213,3))</f>
        <v>Warm Up</v>
      </c>
      <c r="H638" s="81" t="str">
        <f>if(isblank(M638),"",vlookup(M638,Pacing!$A$1:$Z$213,3))</f>
        <v>Warm Up</v>
      </c>
      <c r="I638" s="86">
        <f t="shared" ref="I638:M638" si="677">I637</f>
        <v>100</v>
      </c>
      <c r="J638" s="86">
        <f t="shared" si="677"/>
        <v>101</v>
      </c>
      <c r="K638" s="86">
        <f t="shared" si="677"/>
        <v>102</v>
      </c>
      <c r="L638" s="86">
        <f t="shared" si="677"/>
        <v>103</v>
      </c>
      <c r="M638" s="86">
        <f t="shared" si="677"/>
        <v>104</v>
      </c>
    </row>
    <row r="639" ht="15.75" customHeight="1">
      <c r="A639" s="69">
        <f>B639+4</f>
        <v>244</v>
      </c>
      <c r="B639" s="69">
        <f t="shared" si="675"/>
        <v>240</v>
      </c>
      <c r="C639" s="76"/>
      <c r="D639" s="91" t="str">
        <f>if(isblank(I639),"",vlookup(I639,Pacing!$A$1:$Z$213,4))</f>
        <v/>
      </c>
      <c r="E639" s="81" t="str">
        <f>if(isblank(J639),"",vlookup(J639,Pacing!$A$1:$Z$213,4))</f>
        <v>Demo</v>
      </c>
      <c r="F639" s="81" t="str">
        <f>if(isblank(K639),"",vlookup(K639,Pacing!$A$1:$Z$213,4))</f>
        <v>Demo</v>
      </c>
      <c r="G639" s="81" t="str">
        <f>if(isblank(L639),"",vlookup(L639,Pacing!$A$1:$Z$213,4))</f>
        <v>Demo</v>
      </c>
      <c r="H639" s="81" t="str">
        <f>if(isblank(M639),"",vlookup(M639,Pacing!$A$1:$Z$213,4))</f>
        <v>Demo</v>
      </c>
      <c r="I639" s="86">
        <f t="shared" ref="I639:M639" si="678">I638</f>
        <v>100</v>
      </c>
      <c r="J639" s="86">
        <f t="shared" si="678"/>
        <v>101</v>
      </c>
      <c r="K639" s="86">
        <f t="shared" si="678"/>
        <v>102</v>
      </c>
      <c r="L639" s="86">
        <f t="shared" si="678"/>
        <v>103</v>
      </c>
      <c r="M639" s="86">
        <f t="shared" si="678"/>
        <v>104</v>
      </c>
    </row>
    <row r="640" ht="15.75" customHeight="1">
      <c r="A640" s="69">
        <f>B640+5</f>
        <v>245</v>
      </c>
      <c r="B640" s="69">
        <f t="shared" si="675"/>
        <v>240</v>
      </c>
      <c r="C640" s="76"/>
      <c r="D640" s="91" t="str">
        <f>if(isblank(I640),"",vlookup(I640,Pacing!$A$1:$Z$213,5))</f>
        <v/>
      </c>
      <c r="E640" s="81" t="str">
        <f>if(isblank(J640),"",vlookup(J640,Pacing!$A$1:$Z$213,5))</f>
        <v>Notes</v>
      </c>
      <c r="F640" s="81" t="str">
        <f>if(isblank(K640),"",vlookup(K640,Pacing!$A$1:$Z$213,5))</f>
        <v>Notes</v>
      </c>
      <c r="G640" s="81" t="str">
        <f>if(isblank(L640),"",vlookup(L640,Pacing!$A$1:$Z$213,5))</f>
        <v>Notes</v>
      </c>
      <c r="H640" s="81" t="str">
        <f>if(isblank(M640),"",vlookup(M640,Pacing!$A$1:$Z$213,5))</f>
        <v>Notes</v>
      </c>
      <c r="I640" s="86">
        <f t="shared" ref="I640:M640" si="679">I639</f>
        <v>100</v>
      </c>
      <c r="J640" s="86">
        <f t="shared" si="679"/>
        <v>101</v>
      </c>
      <c r="K640" s="86">
        <f t="shared" si="679"/>
        <v>102</v>
      </c>
      <c r="L640" s="86">
        <f t="shared" si="679"/>
        <v>103</v>
      </c>
      <c r="M640" s="86">
        <f t="shared" si="679"/>
        <v>104</v>
      </c>
    </row>
    <row r="641" ht="15.75" customHeight="1">
      <c r="A641" s="69">
        <f>B641+6</f>
        <v>246</v>
      </c>
      <c r="B641" s="69">
        <f t="shared" si="675"/>
        <v>240</v>
      </c>
      <c r="C641" s="76"/>
      <c r="D641" s="91" t="str">
        <f>if(isblank(I641),"",vlookup(I641,Pacing!$A$1:$Z$213,6))</f>
        <v/>
      </c>
      <c r="E641" s="81" t="str">
        <f>if(isblank(J641),"",vlookup(J641,Pacing!$A$1:$Z$213,6))</f>
        <v>Investigation</v>
      </c>
      <c r="F641" s="81" t="str">
        <f>if(isblank(K641),"",vlookup(K641,Pacing!$A$1:$Z$213,6))</f>
        <v>Investigation</v>
      </c>
      <c r="G641" s="81" t="str">
        <f>if(isblank(L641),"",vlookup(L641,Pacing!$A$1:$Z$213,6))</f>
        <v>Investigation</v>
      </c>
      <c r="H641" s="81" t="str">
        <f>if(isblank(M641),"",vlookup(M641,Pacing!$A$1:$Z$213,6))</f>
        <v>Investigation</v>
      </c>
      <c r="I641" s="86">
        <f t="shared" ref="I641:M641" si="680">I640</f>
        <v>100</v>
      </c>
      <c r="J641" s="86">
        <f t="shared" si="680"/>
        <v>101</v>
      </c>
      <c r="K641" s="86">
        <f t="shared" si="680"/>
        <v>102</v>
      </c>
      <c r="L641" s="86">
        <f t="shared" si="680"/>
        <v>103</v>
      </c>
      <c r="M641" s="86">
        <f t="shared" si="680"/>
        <v>104</v>
      </c>
    </row>
    <row r="642" ht="15.75" customHeight="1">
      <c r="A642" s="69">
        <f>B642+7</f>
        <v>247</v>
      </c>
      <c r="B642" s="69">
        <f t="shared" si="675"/>
        <v>240</v>
      </c>
      <c r="C642" s="76"/>
      <c r="D642" s="91" t="str">
        <f>if(isblank(I642),"",vlookup(I642,Pacing!$A$1:$Z$213,7))</f>
        <v/>
      </c>
      <c r="E642" s="81" t="str">
        <f>if(isblank(J642),"",vlookup(J642,Pacing!$A$1:$Z$213,7))</f>
        <v>Activity</v>
      </c>
      <c r="F642" s="81" t="str">
        <f>if(isblank(K642),"",vlookup(K642,Pacing!$A$1:$Z$213,7))</f>
        <v>Activity</v>
      </c>
      <c r="G642" s="81" t="str">
        <f>if(isblank(L642),"",vlookup(L642,Pacing!$A$1:$Z$213,7))</f>
        <v>Activity</v>
      </c>
      <c r="H642" s="81" t="str">
        <f>if(isblank(M642),"",vlookup(M642,Pacing!$A$1:$Z$213,7))</f>
        <v>Activity</v>
      </c>
      <c r="I642" s="86">
        <f t="shared" ref="I642:M642" si="681">I641</f>
        <v>100</v>
      </c>
      <c r="J642" s="86">
        <f t="shared" si="681"/>
        <v>101</v>
      </c>
      <c r="K642" s="86">
        <f t="shared" si="681"/>
        <v>102</v>
      </c>
      <c r="L642" s="86">
        <f t="shared" si="681"/>
        <v>103</v>
      </c>
      <c r="M642" s="86">
        <f t="shared" si="681"/>
        <v>104</v>
      </c>
    </row>
    <row r="643" ht="15.75" customHeight="1">
      <c r="A643" s="69">
        <f>B643+8</f>
        <v>248</v>
      </c>
      <c r="B643" s="69">
        <f t="shared" si="675"/>
        <v>240</v>
      </c>
      <c r="C643" s="95"/>
      <c r="D643" s="91" t="str">
        <f>if(isblank(I643),"",vlookup(I643,Pacing!$A$1:$Z$213,8))</f>
        <v/>
      </c>
      <c r="E643" s="81" t="str">
        <f>if(isblank(J643),"",vlookup(J643,Pacing!$A$1:$Z$213,8))</f>
        <v>Practice Set</v>
      </c>
      <c r="F643" s="81" t="str">
        <f>if(isblank(K643),"",vlookup(K643,Pacing!$A$1:$Z$213,8))</f>
        <v>Practice Set</v>
      </c>
      <c r="G643" s="81" t="str">
        <f>if(isblank(L643),"",vlookup(L643,Pacing!$A$1:$Z$213,8))</f>
        <v>Practice Set</v>
      </c>
      <c r="H643" s="81" t="str">
        <f>if(isblank(M643),"",vlookup(M643,Pacing!$A$1:$Z$213,8))</f>
        <v>Practice Set</v>
      </c>
      <c r="I643" s="86">
        <f t="shared" ref="I643:M643" si="682">I642</f>
        <v>100</v>
      </c>
      <c r="J643" s="86">
        <f t="shared" si="682"/>
        <v>101</v>
      </c>
      <c r="K643" s="86">
        <f t="shared" si="682"/>
        <v>102</v>
      </c>
      <c r="L643" s="86">
        <f t="shared" si="682"/>
        <v>103</v>
      </c>
      <c r="M643" s="86">
        <f t="shared" si="682"/>
        <v>104</v>
      </c>
    </row>
    <row r="644" ht="15.75" customHeight="1">
      <c r="A644" s="69"/>
      <c r="B644" s="69"/>
      <c r="C644" s="71"/>
      <c r="D644" s="91" t="str">
        <f>if(isblank(I644),"",vlookup(I644,Pacing!$A$1:$Z$213,9))</f>
        <v/>
      </c>
      <c r="E644" s="81" t="str">
        <f>if(isblank(J644),"",vlookup(J644,Pacing!$A$1:$Z$213,9))</f>
        <v>Extra Practice</v>
      </c>
      <c r="F644" s="81" t="str">
        <f>if(isblank(K644),"",vlookup(K644,Pacing!$A$1:$Z$213,9))</f>
        <v>Extra Practice</v>
      </c>
      <c r="G644" s="81" t="str">
        <f>if(isblank(L644),"",vlookup(L644,Pacing!$A$1:$Z$213,9))</f>
        <v>Extra Practice</v>
      </c>
      <c r="H644" s="81" t="str">
        <f>if(isblank(M644),"",vlookup(M644,Pacing!$A$1:$Z$213,9))</f>
        <v>Extra Practice</v>
      </c>
      <c r="I644" s="86">
        <f t="shared" ref="I644:M644" si="683">I643</f>
        <v>100</v>
      </c>
      <c r="J644" s="86">
        <f t="shared" si="683"/>
        <v>101</v>
      </c>
      <c r="K644" s="86">
        <f t="shared" si="683"/>
        <v>102</v>
      </c>
      <c r="L644" s="86">
        <f t="shared" si="683"/>
        <v>103</v>
      </c>
      <c r="M644" s="86">
        <f t="shared" si="683"/>
        <v>104</v>
      </c>
    </row>
    <row r="645" ht="15.75" customHeight="1">
      <c r="A645" s="69"/>
      <c r="B645" s="69"/>
      <c r="C645" s="71"/>
      <c r="D645" s="91" t="str">
        <f>if(isblank(I645),"",vlookup(I645,Pacing!$A$1:$Z$213,10))</f>
        <v/>
      </c>
      <c r="E645" s="81" t="str">
        <f>if(isblank(J645),"",vlookup(J645,Pacing!$A$1:$Z$213,10))</f>
        <v>CYU</v>
      </c>
      <c r="F645" s="81" t="str">
        <f>if(isblank(K645),"",vlookup(K645,Pacing!$A$1:$Z$213,10))</f>
        <v>CYU</v>
      </c>
      <c r="G645" s="81" t="str">
        <f>if(isblank(L645),"",vlookup(L645,Pacing!$A$1:$Z$213,10))</f>
        <v>CYU</v>
      </c>
      <c r="H645" s="81" t="str">
        <f>if(isblank(M645),"",vlookup(M645,Pacing!$A$1:$Z$213,10))</f>
        <v>CYU</v>
      </c>
      <c r="I645" s="86">
        <f t="shared" ref="I645:M645" si="684">I644</f>
        <v>100</v>
      </c>
      <c r="J645" s="86">
        <f t="shared" si="684"/>
        <v>101</v>
      </c>
      <c r="K645" s="86">
        <f t="shared" si="684"/>
        <v>102</v>
      </c>
      <c r="L645" s="86">
        <f t="shared" si="684"/>
        <v>103</v>
      </c>
      <c r="M645" s="86">
        <f t="shared" si="684"/>
        <v>104</v>
      </c>
    </row>
    <row r="646" ht="15.75" customHeight="1">
      <c r="A646" s="69"/>
      <c r="B646" s="69"/>
      <c r="C646" s="71"/>
      <c r="D646" s="91" t="str">
        <f>if(isblank(I646),"",vlookup(I646,Pacing!$A$1:$Z$213,11))</f>
        <v/>
      </c>
      <c r="E646" s="81" t="str">
        <f>if(isblank(J646),"",vlookup(J646,Pacing!$A$1:$Z$213,11))</f>
        <v>Progress</v>
      </c>
      <c r="F646" s="81" t="str">
        <f>if(isblank(K646),"",vlookup(K646,Pacing!$A$1:$Z$213,11))</f>
        <v>Progress</v>
      </c>
      <c r="G646" s="81" t="str">
        <f>if(isblank(L646),"",vlookup(L646,Pacing!$A$1:$Z$213,11))</f>
        <v>Progress</v>
      </c>
      <c r="H646" s="81" t="str">
        <f>if(isblank(M646),"",vlookup(M646,Pacing!$A$1:$Z$213,11))</f>
        <v>Progress</v>
      </c>
      <c r="I646" s="86">
        <f t="shared" ref="I646:M646" si="685">I645</f>
        <v>100</v>
      </c>
      <c r="J646" s="86">
        <f t="shared" si="685"/>
        <v>101</v>
      </c>
      <c r="K646" s="86">
        <f t="shared" si="685"/>
        <v>102</v>
      </c>
      <c r="L646" s="86">
        <f t="shared" si="685"/>
        <v>103</v>
      </c>
      <c r="M646" s="86">
        <f t="shared" si="685"/>
        <v>104</v>
      </c>
    </row>
    <row r="647" ht="15.75" customHeight="1">
      <c r="A647" s="69"/>
      <c r="B647" s="69"/>
      <c r="C647" s="71"/>
      <c r="D647" s="91" t="str">
        <f>if(isblank(I647),"",vlookup(I647,Pacing!$A$1:$Z$213,12))</f>
        <v/>
      </c>
      <c r="E647" s="81" t="str">
        <f>if(isblank(J647),"",vlookup(J647,Pacing!$A$1:$Z$213,12))</f>
        <v>Review</v>
      </c>
      <c r="F647" s="81" t="str">
        <f>if(isblank(K647),"",vlookup(K647,Pacing!$A$1:$Z$213,12))</f>
        <v>Review</v>
      </c>
      <c r="G647" s="81" t="str">
        <f>if(isblank(L647),"",vlookup(L647,Pacing!$A$1:$Z$213,12))</f>
        <v>Review</v>
      </c>
      <c r="H647" s="81" t="str">
        <f>if(isblank(M647),"",vlookup(M647,Pacing!$A$1:$Z$213,12))</f>
        <v>Review</v>
      </c>
      <c r="I647" s="86">
        <f t="shared" ref="I647:M647" si="686">I646</f>
        <v>100</v>
      </c>
      <c r="J647" s="86">
        <f t="shared" si="686"/>
        <v>101</v>
      </c>
      <c r="K647" s="86">
        <f t="shared" si="686"/>
        <v>102</v>
      </c>
      <c r="L647" s="86">
        <f t="shared" si="686"/>
        <v>103</v>
      </c>
      <c r="M647" s="86">
        <f t="shared" si="686"/>
        <v>104</v>
      </c>
    </row>
    <row r="648" ht="15.75" customHeight="1">
      <c r="A648" s="69"/>
      <c r="B648" s="69"/>
      <c r="C648" s="71"/>
      <c r="D648" s="91" t="str">
        <f>if(isblank(I648),"",vlookup(I648,Pacing!$A$1:$Z$213,13))</f>
        <v/>
      </c>
      <c r="E648" s="91" t="str">
        <f>if(isblank(J648),"",vlookup(J648,Pacing!$A$1:$Z$213,13))</f>
        <v/>
      </c>
      <c r="F648" s="91" t="str">
        <f>if(isblank(K648),"",vlookup(K648,Pacing!$A$1:$Z$213,13))</f>
        <v/>
      </c>
      <c r="G648" s="91" t="str">
        <f>if(isblank(L648),"",vlookup(L648,Pacing!$A$1:$Z$213,13))</f>
        <v/>
      </c>
      <c r="H648" s="91" t="str">
        <f>if(isblank(M648),"",vlookup(M648,Pacing!$A$1:$Z$213,13))</f>
        <v/>
      </c>
      <c r="I648" s="86">
        <f t="shared" ref="I648:M648" si="687">I647</f>
        <v>100</v>
      </c>
      <c r="J648" s="86">
        <f t="shared" si="687"/>
        <v>101</v>
      </c>
      <c r="K648" s="86">
        <f t="shared" si="687"/>
        <v>102</v>
      </c>
      <c r="L648" s="86">
        <f t="shared" si="687"/>
        <v>103</v>
      </c>
      <c r="M648" s="86">
        <f t="shared" si="687"/>
        <v>104</v>
      </c>
    </row>
    <row r="649" ht="15.75" customHeight="1">
      <c r="A649" s="69"/>
      <c r="B649" s="69"/>
      <c r="C649" s="71"/>
      <c r="D649" s="79" t="str">
        <f>if(isblank(I649),"",vlookup(I649,Pacing!$A$1:$Z$213,14))</f>
        <v>Sum Assess</v>
      </c>
      <c r="E649" s="81" t="str">
        <f>if(isblank(J649),"",vlookup(J649,Pacing!$A$1:$Z$213,14))</f>
        <v>Notes Teacher</v>
      </c>
      <c r="F649" s="81" t="str">
        <f>if(isblank(K649),"",vlookup(K649,Pacing!$A$1:$Z$213,14))</f>
        <v>Notes Teacher</v>
      </c>
      <c r="G649" s="81" t="str">
        <f>if(isblank(L649),"",vlookup(L649,Pacing!$A$1:$Z$213,14))</f>
        <v>Notes Teacher</v>
      </c>
      <c r="H649" s="81" t="str">
        <f>if(isblank(M649),"",vlookup(M649,Pacing!$A$1:$Z$213,14))</f>
        <v>Notes Teacher</v>
      </c>
      <c r="I649" s="86">
        <f t="shared" ref="I649:M649" si="688">I648</f>
        <v>100</v>
      </c>
      <c r="J649" s="86">
        <f t="shared" si="688"/>
        <v>101</v>
      </c>
      <c r="K649" s="86">
        <f t="shared" si="688"/>
        <v>102</v>
      </c>
      <c r="L649" s="86">
        <f t="shared" si="688"/>
        <v>103</v>
      </c>
      <c r="M649" s="86">
        <f t="shared" si="688"/>
        <v>104</v>
      </c>
    </row>
    <row r="650" ht="15.75" customHeight="1">
      <c r="A650" s="69"/>
      <c r="B650" s="69"/>
      <c r="C650" s="71"/>
      <c r="D650" s="79" t="str">
        <f>if(isblank(I650),"",vlookup(I650,Pacing!$A$1:$Z$213,15))</f>
        <v>Bank</v>
      </c>
      <c r="E650" s="81" t="str">
        <f>if(isblank(J650),"",vlookup(J650,Pacing!$A$1:$Z$213,15))</f>
        <v>Demo Teacher</v>
      </c>
      <c r="F650" s="81" t="str">
        <f>if(isblank(K650),"",vlookup(K650,Pacing!$A$1:$Z$213,15))</f>
        <v>Demo Teacher</v>
      </c>
      <c r="G650" s="81" t="str">
        <f>if(isblank(L650),"",vlookup(L650,Pacing!$A$1:$Z$213,15))</f>
        <v>Demo Teacher</v>
      </c>
      <c r="H650" s="81" t="str">
        <f>if(isblank(M650),"",vlookup(M650,Pacing!$A$1:$Z$213,15))</f>
        <v>Demo Teacher</v>
      </c>
      <c r="I650" s="86">
        <f t="shared" ref="I650:M650" si="689">I649</f>
        <v>100</v>
      </c>
      <c r="J650" s="86">
        <f t="shared" si="689"/>
        <v>101</v>
      </c>
      <c r="K650" s="86">
        <f t="shared" si="689"/>
        <v>102</v>
      </c>
      <c r="L650" s="86">
        <f t="shared" si="689"/>
        <v>103</v>
      </c>
      <c r="M650" s="86">
        <f t="shared" si="689"/>
        <v>104</v>
      </c>
    </row>
    <row r="651" ht="15.75" customHeight="1">
      <c r="A651" s="69"/>
      <c r="B651" s="69"/>
      <c r="C651" s="71"/>
      <c r="D651" s="79" t="str">
        <f>if(isblank(I651),"",vlookup(I651,Pacing!$A$1:$Z$213,16))</f>
        <v>Assess Plan</v>
      </c>
      <c r="E651" s="81" t="str">
        <f>if(isblank(J651),"",vlookup(J651,Pacing!$A$1:$Z$213,16))</f>
        <v>Invest Teacher</v>
      </c>
      <c r="F651" s="81" t="str">
        <f>if(isblank(K651),"",vlookup(K651,Pacing!$A$1:$Z$213,16))</f>
        <v>Invest Teacher</v>
      </c>
      <c r="G651" s="81" t="str">
        <f>if(isblank(L651),"",vlookup(L651,Pacing!$A$1:$Z$213,16))</f>
        <v>Invest Teacher</v>
      </c>
      <c r="H651" s="81" t="str">
        <f>if(isblank(M651),"",vlookup(M651,Pacing!$A$1:$Z$213,16))</f>
        <v>Invest Teacher</v>
      </c>
      <c r="I651" s="86">
        <f t="shared" ref="I651:M651" si="690">I650</f>
        <v>100</v>
      </c>
      <c r="J651" s="86">
        <f t="shared" si="690"/>
        <v>101</v>
      </c>
      <c r="K651" s="86">
        <f t="shared" si="690"/>
        <v>102</v>
      </c>
      <c r="L651" s="86">
        <f t="shared" si="690"/>
        <v>103</v>
      </c>
      <c r="M651" s="86">
        <f t="shared" si="690"/>
        <v>104</v>
      </c>
    </row>
    <row r="652" ht="15.75" customHeight="1">
      <c r="A652" s="69"/>
      <c r="B652" s="69"/>
      <c r="C652" s="71"/>
      <c r="D652" s="91" t="str">
        <f>if(isblank(I652),"",vlookup(I652,Pacing!$A$1:$Z$213,17))</f>
        <v/>
      </c>
      <c r="E652" s="81" t="str">
        <f>if(isblank(J652),"",vlookup(J652,Pacing!$A$1:$Z$213,17))</f>
        <v>PT Teacher</v>
      </c>
      <c r="F652" s="81" t="str">
        <f>if(isblank(K652),"",vlookup(K652,Pacing!$A$1:$Z$213,17))</f>
        <v>PT Teacher</v>
      </c>
      <c r="G652" s="81" t="str">
        <f>if(isblank(L652),"",vlookup(L652,Pacing!$A$1:$Z$213,17))</f>
        <v>PT Teacher</v>
      </c>
      <c r="H652" s="81" t="str">
        <f>if(isblank(M652),"",vlookup(M652,Pacing!$A$1:$Z$213,17))</f>
        <v>PT Teacher</v>
      </c>
      <c r="I652" s="86">
        <f t="shared" ref="I652:M652" si="691">I651</f>
        <v>100</v>
      </c>
      <c r="J652" s="86">
        <f t="shared" si="691"/>
        <v>101</v>
      </c>
      <c r="K652" s="86">
        <f t="shared" si="691"/>
        <v>102</v>
      </c>
      <c r="L652" s="86">
        <f t="shared" si="691"/>
        <v>103</v>
      </c>
      <c r="M652" s="86">
        <f t="shared" si="691"/>
        <v>104</v>
      </c>
    </row>
    <row r="653" ht="15.75" customHeight="1">
      <c r="A653" s="69"/>
      <c r="B653" s="69"/>
      <c r="C653" s="71"/>
      <c r="D653" s="81" t="str">
        <f>if(isblank(I653),"",vlookup(I653,Pacing!$A$1:$Z$213,18))</f>
        <v/>
      </c>
      <c r="E653" s="81" t="str">
        <f>if(isblank(J653),"",vlookup(J653,Pacing!$A$1:$Z$213,18))</f>
        <v>Assess Plan</v>
      </c>
      <c r="F653" s="81" t="str">
        <f>if(isblank(K653),"",vlookup(K653,Pacing!$A$1:$Z$213,18))</f>
        <v>Assess Plan</v>
      </c>
      <c r="G653" s="81" t="str">
        <f>if(isblank(L653),"",vlookup(L653,Pacing!$A$1:$Z$213,18))</f>
        <v>Assess Plan</v>
      </c>
      <c r="H653" s="81" t="str">
        <f>if(isblank(M653),"",vlookup(M653,Pacing!$A$1:$Z$213,18))</f>
        <v>Assess Plan</v>
      </c>
      <c r="I653" s="86">
        <f t="shared" ref="I653:M653" si="692">I652</f>
        <v>100</v>
      </c>
      <c r="J653" s="86">
        <f t="shared" si="692"/>
        <v>101</v>
      </c>
      <c r="K653" s="86">
        <f t="shared" si="692"/>
        <v>102</v>
      </c>
      <c r="L653" s="86">
        <f t="shared" si="692"/>
        <v>103</v>
      </c>
      <c r="M653" s="86">
        <f t="shared" si="692"/>
        <v>104</v>
      </c>
    </row>
    <row r="654" ht="15.75" customHeight="1">
      <c r="A654" s="69"/>
      <c r="B654" s="69"/>
      <c r="C654" s="71"/>
      <c r="D654" s="91" t="str">
        <f>if(isblank(I654),"",vlookup(I654,Pacing!$A$1:$Z$213,19))</f>
        <v/>
      </c>
      <c r="E654" s="81" t="str">
        <f>if(isblank(J654),"",vlookup(J654,Pacing!$A$1:$Z$213,19))</f>
        <v>Perform Task</v>
      </c>
      <c r="F654" s="81" t="str">
        <f>if(isblank(K654),"",vlookup(K654,Pacing!$A$1:$Z$213,19))</f>
        <v>Perform Task</v>
      </c>
      <c r="G654" s="81" t="str">
        <f>if(isblank(L654),"",vlookup(L654,Pacing!$A$1:$Z$213,19))</f>
        <v>Perform Task</v>
      </c>
      <c r="H654" s="81" t="str">
        <f>if(isblank(M654),"",vlookup(M654,Pacing!$A$1:$Z$213,19))</f>
        <v>Perform Task</v>
      </c>
      <c r="I654" s="86">
        <f t="shared" ref="I654:M654" si="693">I653</f>
        <v>100</v>
      </c>
      <c r="J654" s="86">
        <f t="shared" si="693"/>
        <v>101</v>
      </c>
      <c r="K654" s="86">
        <f t="shared" si="693"/>
        <v>102</v>
      </c>
      <c r="L654" s="86">
        <f t="shared" si="693"/>
        <v>103</v>
      </c>
      <c r="M654" s="86">
        <f t="shared" si="693"/>
        <v>104</v>
      </c>
    </row>
    <row r="655" ht="15.75" customHeight="1">
      <c r="A655" s="69"/>
      <c r="B655" s="69"/>
      <c r="C655" s="71"/>
      <c r="D655" s="91" t="str">
        <f>if(isblank(I655),"",vlookup(I655,Pacing!$A$1:$Z$213,20))</f>
        <v/>
      </c>
      <c r="E655" s="81" t="str">
        <f>if(isblank(J655),"",vlookup(J655,Pacing!$A$1:$Z$213,20))</f>
        <v>Quick Check</v>
      </c>
      <c r="F655" s="81" t="str">
        <f>if(isblank(K655),"",vlookup(K655,Pacing!$A$1:$Z$213,20))</f>
        <v>Quick Check</v>
      </c>
      <c r="G655" s="81" t="str">
        <f>if(isblank(L655),"",vlookup(L655,Pacing!$A$1:$Z$213,20))</f>
        <v>Quick Check</v>
      </c>
      <c r="H655" s="81" t="str">
        <f>if(isblank(M655),"",vlookup(M655,Pacing!$A$1:$Z$213,20))</f>
        <v>Quick Check</v>
      </c>
      <c r="I655" s="86">
        <f t="shared" ref="I655:M655" si="694">I654</f>
        <v>100</v>
      </c>
      <c r="J655" s="86">
        <f t="shared" si="694"/>
        <v>101</v>
      </c>
      <c r="K655" s="86">
        <f t="shared" si="694"/>
        <v>102</v>
      </c>
      <c r="L655" s="86">
        <f t="shared" si="694"/>
        <v>103</v>
      </c>
      <c r="M655" s="86">
        <f t="shared" si="694"/>
        <v>104</v>
      </c>
    </row>
    <row r="656" ht="15.75" customHeight="1">
      <c r="A656" s="69"/>
      <c r="B656" s="69"/>
      <c r="C656" s="71"/>
      <c r="D656" s="81" t="str">
        <f>if(isblank(I656),"",vlookup(I656,Pacing!$A$1:$Z$213,21))</f>
        <v/>
      </c>
      <c r="E656" s="81" t="str">
        <f>if(isblank(J656),"",vlookup(J656,Pacing!$A$1:$Z$213,21))</f>
        <v>Exit Ticket</v>
      </c>
      <c r="F656" s="81" t="str">
        <f>if(isblank(K656),"",vlookup(K656,Pacing!$A$1:$Z$213,21))</f>
        <v>Exit Ticket</v>
      </c>
      <c r="G656" s="81" t="str">
        <f>if(isblank(L656),"",vlookup(L656,Pacing!$A$1:$Z$213,21))</f>
        <v>Exit Ticket</v>
      </c>
      <c r="H656" s="81" t="str">
        <f>if(isblank(M656),"",vlookup(M656,Pacing!$A$1:$Z$213,21))</f>
        <v>Exit Ticket</v>
      </c>
      <c r="I656" s="86">
        <f t="shared" ref="I656:M656" si="695">I655</f>
        <v>100</v>
      </c>
      <c r="J656" s="86">
        <f t="shared" si="695"/>
        <v>101</v>
      </c>
      <c r="K656" s="86">
        <f t="shared" si="695"/>
        <v>102</v>
      </c>
      <c r="L656" s="86">
        <f t="shared" si="695"/>
        <v>103</v>
      </c>
      <c r="M656" s="86">
        <f t="shared" si="695"/>
        <v>104</v>
      </c>
    </row>
    <row r="657" ht="15.75" customHeight="1">
      <c r="A657" s="69"/>
      <c r="B657" s="69"/>
      <c r="C657" s="71"/>
      <c r="D657" s="91" t="str">
        <f>if(isblank(I657),"",vlookup(I657,Pacing!$A$1:$Z$213,22))</f>
        <v/>
      </c>
      <c r="E657" s="81" t="str">
        <f>if(isblank(J657),"",vlookup(J657,Pacing!$A$1:$Z$213,22))</f>
        <v>Practice 2</v>
      </c>
      <c r="F657" s="81" t="str">
        <f>if(isblank(K657),"",vlookup(K657,Pacing!$A$1:$Z$213,22))</f>
        <v>Practice 2</v>
      </c>
      <c r="G657" s="81" t="str">
        <f>if(isblank(L657),"",vlookup(L657,Pacing!$A$1:$Z$213,22))</f>
        <v>Practice 2</v>
      </c>
      <c r="H657" s="81" t="str">
        <f>if(isblank(M657),"",vlookup(M657,Pacing!$A$1:$Z$213,22))</f>
        <v>Practice 2</v>
      </c>
      <c r="I657" s="86">
        <f t="shared" ref="I657:M657" si="696">I656</f>
        <v>100</v>
      </c>
      <c r="J657" s="86">
        <f t="shared" si="696"/>
        <v>101</v>
      </c>
      <c r="K657" s="86">
        <f t="shared" si="696"/>
        <v>102</v>
      </c>
      <c r="L657" s="86">
        <f t="shared" si="696"/>
        <v>103</v>
      </c>
      <c r="M657" s="86">
        <f t="shared" si="696"/>
        <v>104</v>
      </c>
    </row>
    <row r="658" ht="15.75" customHeight="1">
      <c r="A658" s="69"/>
      <c r="B658" s="69"/>
      <c r="C658" s="71"/>
      <c r="D658" s="91" t="str">
        <f>if(isblank(I658),"",vlookup(I658,Pacing!$A$1:$Z$213,23))</f>
        <v/>
      </c>
      <c r="E658" s="81" t="str">
        <f>if(isblank(J658),"",vlookup(J658,Pacing!$A$1:$Z$213,23))</f>
        <v>Practice 3</v>
      </c>
      <c r="F658" s="81" t="str">
        <f>if(isblank(K658),"",vlookup(K658,Pacing!$A$1:$Z$213,23))</f>
        <v>Practice 3</v>
      </c>
      <c r="G658" s="81" t="str">
        <f>if(isblank(L658),"",vlookup(L658,Pacing!$A$1:$Z$213,23))</f>
        <v>Practice 3</v>
      </c>
      <c r="H658" s="81" t="str">
        <f>if(isblank(M658),"",vlookup(M658,Pacing!$A$1:$Z$213,23))</f>
        <v>Practice 3</v>
      </c>
      <c r="I658" s="86">
        <f t="shared" ref="I658:M658" si="697">I657</f>
        <v>100</v>
      </c>
      <c r="J658" s="86">
        <f t="shared" si="697"/>
        <v>101</v>
      </c>
      <c r="K658" s="86">
        <f t="shared" si="697"/>
        <v>102</v>
      </c>
      <c r="L658" s="86">
        <f t="shared" si="697"/>
        <v>103</v>
      </c>
      <c r="M658" s="86">
        <f t="shared" si="697"/>
        <v>104</v>
      </c>
    </row>
    <row r="659" ht="15.75" customHeight="1">
      <c r="A659" s="69"/>
      <c r="B659" s="69"/>
      <c r="C659" s="71"/>
      <c r="D659" s="81" t="str">
        <f>if(isblank(I659),"",vlookup(I659,Pacing!$A$1:$Z$213,24))</f>
        <v/>
      </c>
      <c r="E659" s="81" t="str">
        <f>if(isblank(J659),"",vlookup(J659,Pacing!$A$1:$Z$213,24))</f>
        <v>Sum Assess</v>
      </c>
      <c r="F659" s="81" t="str">
        <f>if(isblank(K659),"",vlookup(K659,Pacing!$A$1:$Z$213,24))</f>
        <v>Sum Assess</v>
      </c>
      <c r="G659" s="81" t="str">
        <f>if(isblank(L659),"",vlookup(L659,Pacing!$A$1:$Z$213,24))</f>
        <v>Sum Assess</v>
      </c>
      <c r="H659" s="81" t="str">
        <f>if(isblank(M659),"",vlookup(M659,Pacing!$A$1:$Z$213,24))</f>
        <v>Sum Assess</v>
      </c>
      <c r="I659" s="86">
        <f t="shared" ref="I659:M659" si="698">I658</f>
        <v>100</v>
      </c>
      <c r="J659" s="86">
        <f t="shared" si="698"/>
        <v>101</v>
      </c>
      <c r="K659" s="86">
        <f t="shared" si="698"/>
        <v>102</v>
      </c>
      <c r="L659" s="86">
        <f t="shared" si="698"/>
        <v>103</v>
      </c>
      <c r="M659" s="86">
        <f t="shared" si="698"/>
        <v>104</v>
      </c>
    </row>
    <row r="660" ht="15.75" customHeight="1">
      <c r="A660" s="69"/>
      <c r="B660" s="69"/>
      <c r="C660" s="71"/>
      <c r="D660" s="81" t="str">
        <f>if(isblank(I660),"",vlookup(I660,Pacing!$A$1:$Z$213,25))</f>
        <v/>
      </c>
      <c r="E660" s="81" t="str">
        <f>if(isblank(J660),"",vlookup(J660,Pacing!$A$1:$Z$213,25))</f>
        <v>Bank</v>
      </c>
      <c r="F660" s="81" t="str">
        <f>if(isblank(K660),"",vlookup(K660,Pacing!$A$1:$Z$213,25))</f>
        <v>Bank</v>
      </c>
      <c r="G660" s="81" t="str">
        <f>if(isblank(L660),"",vlookup(L660,Pacing!$A$1:$Z$213,25))</f>
        <v>Bank</v>
      </c>
      <c r="H660" s="81" t="str">
        <f>if(isblank(M660),"",vlookup(M660,Pacing!$A$1:$Z$213,25))</f>
        <v>Bank</v>
      </c>
      <c r="I660" s="86">
        <f t="shared" ref="I660:M660" si="699">I659</f>
        <v>100</v>
      </c>
      <c r="J660" s="86">
        <f t="shared" si="699"/>
        <v>101</v>
      </c>
      <c r="K660" s="86">
        <f t="shared" si="699"/>
        <v>102</v>
      </c>
      <c r="L660" s="86">
        <f t="shared" si="699"/>
        <v>103</v>
      </c>
      <c r="M660" s="86">
        <f t="shared" si="699"/>
        <v>104</v>
      </c>
    </row>
    <row r="661" ht="15.75" customHeight="1">
      <c r="A661" s="69"/>
      <c r="B661" s="69"/>
      <c r="C661" s="71"/>
      <c r="D661" s="91" t="str">
        <f>if(isblank(I661),"",vlookup(I661,Pacing!$A$1:$Z$213,26))</f>
        <v/>
      </c>
      <c r="E661" s="89" t="str">
        <f>if(isblank(J661),"",vlookup(J661,Pacing!$A$1:$Z$213,26))</f>
        <v/>
      </c>
      <c r="F661" s="89" t="str">
        <f>if(isblank(K661),"",vlookup(K661,Pacing!$A$1:$Z$213,26))</f>
        <v/>
      </c>
      <c r="G661" s="89" t="str">
        <f>if(isblank(L661),"",vlookup(L661,Pacing!$A$1:$Z$213,26))</f>
        <v/>
      </c>
      <c r="H661" s="89" t="str">
        <f>if(isblank(M661),"",vlookup(M661,Pacing!$A$1:$Z$213,26))</f>
        <v/>
      </c>
      <c r="I661" s="86">
        <f t="shared" ref="I661:M661" si="700">I660</f>
        <v>100</v>
      </c>
      <c r="J661" s="86">
        <f t="shared" si="700"/>
        <v>101</v>
      </c>
      <c r="K661" s="86">
        <f t="shared" si="700"/>
        <v>102</v>
      </c>
      <c r="L661" s="86">
        <f t="shared" si="700"/>
        <v>103</v>
      </c>
      <c r="M661" s="86">
        <f t="shared" si="700"/>
        <v>104</v>
      </c>
    </row>
    <row r="662" ht="15.75" customHeight="1">
      <c r="A662" s="137"/>
      <c r="B662" s="137"/>
      <c r="C662" s="138"/>
      <c r="D662" s="139">
        <f>H635+1</f>
        <v>105</v>
      </c>
      <c r="E662" s="139">
        <f t="shared" ref="E662:G662" si="701">D662+1</f>
        <v>106</v>
      </c>
      <c r="F662" s="139">
        <f t="shared" si="701"/>
        <v>107</v>
      </c>
      <c r="G662" s="139">
        <f t="shared" si="701"/>
        <v>108</v>
      </c>
      <c r="H662" s="139"/>
      <c r="I662" s="55">
        <f t="shared" ref="I662:M662" si="702">D662</f>
        <v>105</v>
      </c>
      <c r="J662" s="55">
        <f t="shared" si="702"/>
        <v>106</v>
      </c>
      <c r="K662" s="55">
        <f t="shared" si="702"/>
        <v>107</v>
      </c>
      <c r="L662" s="55">
        <f t="shared" si="702"/>
        <v>108</v>
      </c>
      <c r="M662" s="55" t="str">
        <f t="shared" si="702"/>
        <v/>
      </c>
    </row>
    <row r="663" ht="15.75" customHeight="1">
      <c r="A663" s="69">
        <f>B663+1</f>
        <v>251</v>
      </c>
      <c r="B663" s="69">
        <f t="shared" ref="B663:B670" si="704">$C$663*10</f>
        <v>250</v>
      </c>
      <c r="C663" s="71">
        <f>C636+1</f>
        <v>25</v>
      </c>
      <c r="D663" s="72">
        <f>D636+7</f>
        <v>46433</v>
      </c>
      <c r="E663" s="72">
        <f t="shared" ref="E663:H663" si="703">D663+1</f>
        <v>46434</v>
      </c>
      <c r="F663" s="72">
        <f t="shared" si="703"/>
        <v>46435</v>
      </c>
      <c r="G663" s="72">
        <f t="shared" si="703"/>
        <v>46436</v>
      </c>
      <c r="H663" s="74">
        <f t="shared" si="703"/>
        <v>46437</v>
      </c>
      <c r="I663" s="62" t="s">
        <v>42</v>
      </c>
    </row>
    <row r="664" ht="15.75" customHeight="1">
      <c r="A664" s="75">
        <f>B664+2</f>
        <v>252</v>
      </c>
      <c r="B664" s="75">
        <f t="shared" si="704"/>
        <v>250</v>
      </c>
      <c r="C664" s="76"/>
      <c r="D664" s="131" t="str">
        <f>if(isblank(I664),"",vlookup(I664,Pacing!$A$1:$Z$213,2))</f>
        <v>7.2: Voltage &amp; Current</v>
      </c>
      <c r="E664" s="131" t="str">
        <f>if(isblank(J664),"",vlookup(J664,Pacing!$A$1:$Z$213,2))</f>
        <v>7.2: Voltage &amp; Current</v>
      </c>
      <c r="F664" s="131" t="str">
        <f>if(isblank(K664),"",vlookup(K664,Pacing!$A$1:$Z$213,2))</f>
        <v>7.3: R &amp; Ohm's Law</v>
      </c>
      <c r="G664" s="131" t="str">
        <f>if(isblank(L664),"",vlookup(L664,Pacing!$A$1:$Z$213,2))</f>
        <v>7.3: R &amp; Ohm's Law</v>
      </c>
      <c r="H664" s="77" t="str">
        <f>if(isblank(M664),"",vlookup(M664,Pacing!$A$1:$Z$213,2))</f>
        <v/>
      </c>
      <c r="I664" s="78">
        <f t="shared" ref="I664:M664" si="705">I662</f>
        <v>105</v>
      </c>
      <c r="J664" s="78">
        <f t="shared" si="705"/>
        <v>106</v>
      </c>
      <c r="K664" s="78">
        <f t="shared" si="705"/>
        <v>107</v>
      </c>
      <c r="L664" s="78">
        <f t="shared" si="705"/>
        <v>108</v>
      </c>
      <c r="M664" s="78" t="str">
        <f t="shared" si="705"/>
        <v/>
      </c>
    </row>
    <row r="665" ht="15.75" customHeight="1">
      <c r="A665" s="69">
        <f>B665+3</f>
        <v>253</v>
      </c>
      <c r="B665" s="69">
        <f t="shared" si="704"/>
        <v>250</v>
      </c>
      <c r="C665" s="76"/>
      <c r="D665" s="81" t="str">
        <f>if(isblank(I665),"",vlookup(I665,Pacing!$A$1:$Z$213,3))</f>
        <v>Warm Up</v>
      </c>
      <c r="E665" s="81" t="str">
        <f>if(isblank(J665),"",vlookup(J665,Pacing!$A$1:$Z$213,3))</f>
        <v>Warm Up</v>
      </c>
      <c r="F665" s="81" t="str">
        <f>if(isblank(K665),"",vlookup(K665,Pacing!$A$1:$Z$213,3))</f>
        <v>Warm Up</v>
      </c>
      <c r="G665" s="81" t="str">
        <f>if(isblank(L665),"",vlookup(L665,Pacing!$A$1:$Z$213,3))</f>
        <v>Warm Up</v>
      </c>
      <c r="H665" s="85" t="str">
        <f>if(isblank(M665),"",vlookup(M665,Pacing!$A$1:$Z$213,3))</f>
        <v/>
      </c>
      <c r="I665" s="86">
        <f t="shared" ref="I665:M665" si="706">I664</f>
        <v>105</v>
      </c>
      <c r="J665" s="86">
        <f t="shared" si="706"/>
        <v>106</v>
      </c>
      <c r="K665" s="86">
        <f t="shared" si="706"/>
        <v>107</v>
      </c>
      <c r="L665" s="86">
        <f t="shared" si="706"/>
        <v>108</v>
      </c>
      <c r="M665" s="86" t="str">
        <f t="shared" si="706"/>
        <v/>
      </c>
    </row>
    <row r="666" ht="15.75" customHeight="1">
      <c r="A666" s="69">
        <f>B666+4</f>
        <v>254</v>
      </c>
      <c r="B666" s="69">
        <f t="shared" si="704"/>
        <v>250</v>
      </c>
      <c r="C666" s="76"/>
      <c r="D666" s="81" t="str">
        <f>if(isblank(I666),"",vlookup(I666,Pacing!$A$1:$Z$213,4))</f>
        <v>Demo</v>
      </c>
      <c r="E666" s="81" t="str">
        <f>if(isblank(J666),"",vlookup(J666,Pacing!$A$1:$Z$213,4))</f>
        <v>Demo</v>
      </c>
      <c r="F666" s="81" t="str">
        <f>if(isblank(K666),"",vlookup(K666,Pacing!$A$1:$Z$213,4))</f>
        <v>Demo</v>
      </c>
      <c r="G666" s="81" t="str">
        <f>if(isblank(L666),"",vlookup(L666,Pacing!$A$1:$Z$213,4))</f>
        <v>Demo</v>
      </c>
      <c r="H666" s="85" t="str">
        <f>if(isblank(M666),"",vlookup(M666,Pacing!$A$1:$Z$213,4))</f>
        <v/>
      </c>
      <c r="I666" s="86">
        <f t="shared" ref="I666:M666" si="707">I665</f>
        <v>105</v>
      </c>
      <c r="J666" s="86">
        <f t="shared" si="707"/>
        <v>106</v>
      </c>
      <c r="K666" s="86">
        <f t="shared" si="707"/>
        <v>107</v>
      </c>
      <c r="L666" s="86">
        <f t="shared" si="707"/>
        <v>108</v>
      </c>
      <c r="M666" s="86" t="str">
        <f t="shared" si="707"/>
        <v/>
      </c>
    </row>
    <row r="667" ht="15.75" customHeight="1">
      <c r="A667" s="69">
        <f>B667+5</f>
        <v>255</v>
      </c>
      <c r="B667" s="69">
        <f t="shared" si="704"/>
        <v>250</v>
      </c>
      <c r="C667" s="76"/>
      <c r="D667" s="81" t="str">
        <f>if(isblank(I667),"",vlookup(I667,Pacing!$A$1:$Z$213,5))</f>
        <v>Notes</v>
      </c>
      <c r="E667" s="81" t="str">
        <f>if(isblank(J667),"",vlookup(J667,Pacing!$A$1:$Z$213,5))</f>
        <v>Notes</v>
      </c>
      <c r="F667" s="81" t="str">
        <f>if(isblank(K667),"",vlookup(K667,Pacing!$A$1:$Z$213,5))</f>
        <v>Notes</v>
      </c>
      <c r="G667" s="81" t="str">
        <f>if(isblank(L667),"",vlookup(L667,Pacing!$A$1:$Z$213,5))</f>
        <v>Notes</v>
      </c>
      <c r="H667" s="85" t="str">
        <f>if(isblank(M667),"",vlookup(M667,Pacing!$A$1:$Z$213,5))</f>
        <v/>
      </c>
      <c r="I667" s="86">
        <f t="shared" ref="I667:M667" si="708">I666</f>
        <v>105</v>
      </c>
      <c r="J667" s="86">
        <f t="shared" si="708"/>
        <v>106</v>
      </c>
      <c r="K667" s="86">
        <f t="shared" si="708"/>
        <v>107</v>
      </c>
      <c r="L667" s="86">
        <f t="shared" si="708"/>
        <v>108</v>
      </c>
      <c r="M667" s="86" t="str">
        <f t="shared" si="708"/>
        <v/>
      </c>
    </row>
    <row r="668" ht="15.75" customHeight="1">
      <c r="A668" s="69">
        <f>B668+6</f>
        <v>256</v>
      </c>
      <c r="B668" s="69">
        <f t="shared" si="704"/>
        <v>250</v>
      </c>
      <c r="C668" s="76"/>
      <c r="D668" s="81" t="str">
        <f>if(isblank(I668),"",vlookup(I668,Pacing!$A$1:$Z$213,6))</f>
        <v>Investigation</v>
      </c>
      <c r="E668" s="81" t="str">
        <f>if(isblank(J668),"",vlookup(J668,Pacing!$A$1:$Z$213,6))</f>
        <v>Investigation</v>
      </c>
      <c r="F668" s="81" t="str">
        <f>if(isblank(K668),"",vlookup(K668,Pacing!$A$1:$Z$213,6))</f>
        <v>Investigation</v>
      </c>
      <c r="G668" s="81" t="str">
        <f>if(isblank(L668),"",vlookup(L668,Pacing!$A$1:$Z$213,6))</f>
        <v>Investigation</v>
      </c>
      <c r="H668" s="85" t="str">
        <f>if(isblank(M668),"",vlookup(M668,Pacing!$A$1:$Z$213,6))</f>
        <v/>
      </c>
      <c r="I668" s="86">
        <f t="shared" ref="I668:M668" si="709">I667</f>
        <v>105</v>
      </c>
      <c r="J668" s="86">
        <f t="shared" si="709"/>
        <v>106</v>
      </c>
      <c r="K668" s="86">
        <f t="shared" si="709"/>
        <v>107</v>
      </c>
      <c r="L668" s="86">
        <f t="shared" si="709"/>
        <v>108</v>
      </c>
      <c r="M668" s="86" t="str">
        <f t="shared" si="709"/>
        <v/>
      </c>
    </row>
    <row r="669" ht="15.75" customHeight="1">
      <c r="A669" s="69">
        <f>B669+7</f>
        <v>257</v>
      </c>
      <c r="B669" s="69">
        <f t="shared" si="704"/>
        <v>250</v>
      </c>
      <c r="C669" s="76"/>
      <c r="D669" s="81" t="str">
        <f>if(isblank(I669),"",vlookup(I669,Pacing!$A$1:$Z$213,7))</f>
        <v>Activity</v>
      </c>
      <c r="E669" s="81" t="str">
        <f>if(isblank(J669),"",vlookup(J669,Pacing!$A$1:$Z$213,7))</f>
        <v>Activity</v>
      </c>
      <c r="F669" s="81" t="str">
        <f>if(isblank(K669),"",vlookup(K669,Pacing!$A$1:$Z$213,7))</f>
        <v>Activity</v>
      </c>
      <c r="G669" s="81" t="str">
        <f>if(isblank(L669),"",vlookup(L669,Pacing!$A$1:$Z$213,7))</f>
        <v>Activity</v>
      </c>
      <c r="H669" s="85" t="str">
        <f>if(isblank(M669),"",vlookup(M669,Pacing!$A$1:$Z$213,7))</f>
        <v/>
      </c>
      <c r="I669" s="86">
        <f t="shared" ref="I669:M669" si="710">I668</f>
        <v>105</v>
      </c>
      <c r="J669" s="86">
        <f t="shared" si="710"/>
        <v>106</v>
      </c>
      <c r="K669" s="86">
        <f t="shared" si="710"/>
        <v>107</v>
      </c>
      <c r="L669" s="86">
        <f t="shared" si="710"/>
        <v>108</v>
      </c>
      <c r="M669" s="86" t="str">
        <f t="shared" si="710"/>
        <v/>
      </c>
    </row>
    <row r="670" ht="15.75" customHeight="1">
      <c r="A670" s="69">
        <f>B670+8</f>
        <v>258</v>
      </c>
      <c r="B670" s="69">
        <f t="shared" si="704"/>
        <v>250</v>
      </c>
      <c r="C670" s="95"/>
      <c r="D670" s="81" t="str">
        <f>if(isblank(I670),"",vlookup(I670,Pacing!$A$1:$Z$213,8))</f>
        <v>Practice Set</v>
      </c>
      <c r="E670" s="81" t="str">
        <f>if(isblank(J670),"",vlookup(J670,Pacing!$A$1:$Z$213,8))</f>
        <v>Practice Set</v>
      </c>
      <c r="F670" s="81" t="str">
        <f>if(isblank(K670),"",vlookup(K670,Pacing!$A$1:$Z$213,8))</f>
        <v>Practice Set</v>
      </c>
      <c r="G670" s="81" t="str">
        <f>if(isblank(L670),"",vlookup(L670,Pacing!$A$1:$Z$213,8))</f>
        <v>Practice Set</v>
      </c>
      <c r="H670" s="85" t="str">
        <f>if(isblank(M670),"",vlookup(M670,Pacing!$A$1:$Z$213,8))</f>
        <v/>
      </c>
      <c r="I670" s="86">
        <f t="shared" ref="I670:M670" si="711">I669</f>
        <v>105</v>
      </c>
      <c r="J670" s="86">
        <f t="shared" si="711"/>
        <v>106</v>
      </c>
      <c r="K670" s="86">
        <f t="shared" si="711"/>
        <v>107</v>
      </c>
      <c r="L670" s="86">
        <f t="shared" si="711"/>
        <v>108</v>
      </c>
      <c r="M670" s="86" t="str">
        <f t="shared" si="711"/>
        <v/>
      </c>
    </row>
    <row r="671" ht="15.75" customHeight="1">
      <c r="A671" s="69"/>
      <c r="B671" s="69"/>
      <c r="C671" s="71"/>
      <c r="D671" s="81" t="str">
        <f>if(isblank(I671),"",vlookup(I671,Pacing!$A$1:$Z$213,9))</f>
        <v>Extra Practice</v>
      </c>
      <c r="E671" s="81" t="str">
        <f>if(isblank(J671),"",vlookup(J671,Pacing!$A$1:$Z$213,9))</f>
        <v>Extra Practice</v>
      </c>
      <c r="F671" s="81" t="str">
        <f>if(isblank(K671),"",vlookup(K671,Pacing!$A$1:$Z$213,9))</f>
        <v>Extra Practice</v>
      </c>
      <c r="G671" s="81" t="str">
        <f>if(isblank(L671),"",vlookup(L671,Pacing!$A$1:$Z$213,9))</f>
        <v>Extra Practice</v>
      </c>
      <c r="H671" s="85" t="str">
        <f>if(isblank(M671),"",vlookup(M671,Pacing!$A$1:$Z$213,9))</f>
        <v/>
      </c>
      <c r="I671" s="86">
        <f t="shared" ref="I671:M671" si="712">I670</f>
        <v>105</v>
      </c>
      <c r="J671" s="86">
        <f t="shared" si="712"/>
        <v>106</v>
      </c>
      <c r="K671" s="86">
        <f t="shared" si="712"/>
        <v>107</v>
      </c>
      <c r="L671" s="86">
        <f t="shared" si="712"/>
        <v>108</v>
      </c>
      <c r="M671" s="86" t="str">
        <f t="shared" si="712"/>
        <v/>
      </c>
    </row>
    <row r="672" ht="15.75" customHeight="1">
      <c r="A672" s="69"/>
      <c r="B672" s="69"/>
      <c r="C672" s="71"/>
      <c r="D672" s="81" t="str">
        <f>if(isblank(I672),"",vlookup(I672,Pacing!$A$1:$Z$213,10))</f>
        <v>CYU</v>
      </c>
      <c r="E672" s="81" t="str">
        <f>if(isblank(J672),"",vlookup(J672,Pacing!$A$1:$Z$213,10))</f>
        <v>CYU</v>
      </c>
      <c r="F672" s="81" t="str">
        <f>if(isblank(K672),"",vlookup(K672,Pacing!$A$1:$Z$213,10))</f>
        <v>CYU</v>
      </c>
      <c r="G672" s="81" t="str">
        <f>if(isblank(L672),"",vlookup(L672,Pacing!$A$1:$Z$213,10))</f>
        <v>CYU</v>
      </c>
      <c r="H672" s="85" t="str">
        <f>if(isblank(M672),"",vlookup(M672,Pacing!$A$1:$Z$213,10))</f>
        <v/>
      </c>
      <c r="I672" s="86">
        <f t="shared" ref="I672:M672" si="713">I671</f>
        <v>105</v>
      </c>
      <c r="J672" s="86">
        <f t="shared" si="713"/>
        <v>106</v>
      </c>
      <c r="K672" s="86">
        <f t="shared" si="713"/>
        <v>107</v>
      </c>
      <c r="L672" s="86">
        <f t="shared" si="713"/>
        <v>108</v>
      </c>
      <c r="M672" s="86" t="str">
        <f t="shared" si="713"/>
        <v/>
      </c>
    </row>
    <row r="673" ht="15.75" customHeight="1">
      <c r="A673" s="69"/>
      <c r="B673" s="69"/>
      <c r="C673" s="71"/>
      <c r="D673" s="81" t="str">
        <f>if(isblank(I673),"",vlookup(I673,Pacing!$A$1:$Z$213,11))</f>
        <v>Progress</v>
      </c>
      <c r="E673" s="81" t="str">
        <f>if(isblank(J673),"",vlookup(J673,Pacing!$A$1:$Z$213,11))</f>
        <v>Progress</v>
      </c>
      <c r="F673" s="81" t="str">
        <f>if(isblank(K673),"",vlookup(K673,Pacing!$A$1:$Z$213,11))</f>
        <v>Progress</v>
      </c>
      <c r="G673" s="81" t="str">
        <f>if(isblank(L673),"",vlookup(L673,Pacing!$A$1:$Z$213,11))</f>
        <v>Progress</v>
      </c>
      <c r="H673" s="85" t="str">
        <f>if(isblank(M673),"",vlookup(M673,Pacing!$A$1:$Z$213,11))</f>
        <v/>
      </c>
      <c r="I673" s="86">
        <f t="shared" ref="I673:M673" si="714">I672</f>
        <v>105</v>
      </c>
      <c r="J673" s="86">
        <f t="shared" si="714"/>
        <v>106</v>
      </c>
      <c r="K673" s="86">
        <f t="shared" si="714"/>
        <v>107</v>
      </c>
      <c r="L673" s="86">
        <f t="shared" si="714"/>
        <v>108</v>
      </c>
      <c r="M673" s="86" t="str">
        <f t="shared" si="714"/>
        <v/>
      </c>
    </row>
    <row r="674" ht="15.75" customHeight="1">
      <c r="A674" s="69"/>
      <c r="B674" s="69"/>
      <c r="C674" s="71"/>
      <c r="D674" s="81" t="str">
        <f>if(isblank(I674),"",vlookup(I674,Pacing!$A$1:$Z$213,12))</f>
        <v>Review</v>
      </c>
      <c r="E674" s="81" t="str">
        <f>if(isblank(J674),"",vlookup(J674,Pacing!$A$1:$Z$213,12))</f>
        <v>Review</v>
      </c>
      <c r="F674" s="81" t="str">
        <f>if(isblank(K674),"",vlookup(K674,Pacing!$A$1:$Z$213,12))</f>
        <v>Review</v>
      </c>
      <c r="G674" s="81" t="str">
        <f>if(isblank(L674),"",vlookup(L674,Pacing!$A$1:$Z$213,12))</f>
        <v>Review</v>
      </c>
      <c r="H674" s="129" t="str">
        <f>if(isblank(M674),"",vlookup(M674,Pacing!$A$1:$Z$213,12))</f>
        <v/>
      </c>
      <c r="I674" s="86">
        <f t="shared" ref="I674:M674" si="715">I673</f>
        <v>105</v>
      </c>
      <c r="J674" s="86">
        <f t="shared" si="715"/>
        <v>106</v>
      </c>
      <c r="K674" s="86">
        <f t="shared" si="715"/>
        <v>107</v>
      </c>
      <c r="L674" s="86">
        <f t="shared" si="715"/>
        <v>108</v>
      </c>
      <c r="M674" s="86" t="str">
        <f t="shared" si="715"/>
        <v/>
      </c>
    </row>
    <row r="675" ht="15.75" customHeight="1">
      <c r="A675" s="69"/>
      <c r="B675" s="69"/>
      <c r="C675" s="71"/>
      <c r="D675" s="91" t="str">
        <f>if(isblank(I675),"",vlookup(I675,Pacing!$A$1:$Z$213,13))</f>
        <v/>
      </c>
      <c r="E675" s="91" t="str">
        <f>if(isblank(J675),"",vlookup(J675,Pacing!$A$1:$Z$213,13))</f>
        <v/>
      </c>
      <c r="F675" s="91" t="str">
        <f>if(isblank(K675),"",vlookup(K675,Pacing!$A$1:$Z$213,13))</f>
        <v/>
      </c>
      <c r="G675" s="91" t="str">
        <f>if(isblank(L675),"",vlookup(L675,Pacing!$A$1:$Z$213,13))</f>
        <v/>
      </c>
      <c r="H675" s="129" t="str">
        <f>if(isblank(M675),"",vlookup(M675,Pacing!$A$1:$Z$213,13))</f>
        <v/>
      </c>
      <c r="I675" s="86">
        <f t="shared" ref="I675:M675" si="716">I674</f>
        <v>105</v>
      </c>
      <c r="J675" s="86">
        <f t="shared" si="716"/>
        <v>106</v>
      </c>
      <c r="K675" s="86">
        <f t="shared" si="716"/>
        <v>107</v>
      </c>
      <c r="L675" s="86">
        <f t="shared" si="716"/>
        <v>108</v>
      </c>
      <c r="M675" s="86" t="str">
        <f t="shared" si="716"/>
        <v/>
      </c>
    </row>
    <row r="676" ht="15.75" customHeight="1">
      <c r="A676" s="69"/>
      <c r="B676" s="69"/>
      <c r="C676" s="71"/>
      <c r="D676" s="81" t="str">
        <f>if(isblank(I676),"",vlookup(I676,Pacing!$A$1:$Z$213,14))</f>
        <v>Notes Teacher</v>
      </c>
      <c r="E676" s="81" t="str">
        <f>if(isblank(J676),"",vlookup(J676,Pacing!$A$1:$Z$213,14))</f>
        <v>Notes Teacher</v>
      </c>
      <c r="F676" s="81" t="str">
        <f>if(isblank(K676),"",vlookup(K676,Pacing!$A$1:$Z$213,14))</f>
        <v>Notes Teacher</v>
      </c>
      <c r="G676" s="81" t="str">
        <f>if(isblank(L676),"",vlookup(L676,Pacing!$A$1:$Z$213,14))</f>
        <v>Notes Teacher</v>
      </c>
      <c r="H676" s="85" t="str">
        <f>if(isblank(M676),"",vlookup(M676,Pacing!$A$1:$Z$213,14))</f>
        <v/>
      </c>
      <c r="I676" s="86">
        <f t="shared" ref="I676:M676" si="717">I675</f>
        <v>105</v>
      </c>
      <c r="J676" s="86">
        <f t="shared" si="717"/>
        <v>106</v>
      </c>
      <c r="K676" s="86">
        <f t="shared" si="717"/>
        <v>107</v>
      </c>
      <c r="L676" s="86">
        <f t="shared" si="717"/>
        <v>108</v>
      </c>
      <c r="M676" s="86" t="str">
        <f t="shared" si="717"/>
        <v/>
      </c>
    </row>
    <row r="677" ht="15.75" customHeight="1">
      <c r="A677" s="69"/>
      <c r="B677" s="69"/>
      <c r="C677" s="71"/>
      <c r="D677" s="81" t="str">
        <f>if(isblank(I677),"",vlookup(I677,Pacing!$A$1:$Z$213,15))</f>
        <v>Demo Teacher</v>
      </c>
      <c r="E677" s="81" t="str">
        <f>if(isblank(J677),"",vlookup(J677,Pacing!$A$1:$Z$213,15))</f>
        <v>Demo Teacher</v>
      </c>
      <c r="F677" s="81" t="str">
        <f>if(isblank(K677),"",vlookup(K677,Pacing!$A$1:$Z$213,15))</f>
        <v>Demo Teacher</v>
      </c>
      <c r="G677" s="81" t="str">
        <f>if(isblank(L677),"",vlookup(L677,Pacing!$A$1:$Z$213,15))</f>
        <v>Demo Teacher</v>
      </c>
      <c r="H677" s="85" t="str">
        <f>if(isblank(M677),"",vlookup(M677,Pacing!$A$1:$Z$213,15))</f>
        <v/>
      </c>
      <c r="I677" s="86">
        <f t="shared" ref="I677:M677" si="718">I676</f>
        <v>105</v>
      </c>
      <c r="J677" s="86">
        <f t="shared" si="718"/>
        <v>106</v>
      </c>
      <c r="K677" s="86">
        <f t="shared" si="718"/>
        <v>107</v>
      </c>
      <c r="L677" s="86">
        <f t="shared" si="718"/>
        <v>108</v>
      </c>
      <c r="M677" s="86" t="str">
        <f t="shared" si="718"/>
        <v/>
      </c>
    </row>
    <row r="678" ht="15.75" customHeight="1">
      <c r="A678" s="69"/>
      <c r="B678" s="69"/>
      <c r="C678" s="71"/>
      <c r="D678" s="81" t="str">
        <f>if(isblank(I678),"",vlookup(I678,Pacing!$A$1:$Z$213,16))</f>
        <v>Invest Teacher</v>
      </c>
      <c r="E678" s="81" t="str">
        <f>if(isblank(J678),"",vlookup(J678,Pacing!$A$1:$Z$213,16))</f>
        <v>Invest Teacher</v>
      </c>
      <c r="F678" s="81" t="str">
        <f>if(isblank(K678),"",vlookup(K678,Pacing!$A$1:$Z$213,16))</f>
        <v>Invest Teacher</v>
      </c>
      <c r="G678" s="81" t="str">
        <f>if(isblank(L678),"",vlookup(L678,Pacing!$A$1:$Z$213,16))</f>
        <v>Invest Teacher</v>
      </c>
      <c r="H678" s="85" t="str">
        <f>if(isblank(M678),"",vlookup(M678,Pacing!$A$1:$Z$213,16))</f>
        <v/>
      </c>
      <c r="I678" s="86">
        <f t="shared" ref="I678:M678" si="719">I677</f>
        <v>105</v>
      </c>
      <c r="J678" s="86">
        <f t="shared" si="719"/>
        <v>106</v>
      </c>
      <c r="K678" s="86">
        <f t="shared" si="719"/>
        <v>107</v>
      </c>
      <c r="L678" s="86">
        <f t="shared" si="719"/>
        <v>108</v>
      </c>
      <c r="M678" s="86" t="str">
        <f t="shared" si="719"/>
        <v/>
      </c>
    </row>
    <row r="679" ht="15.75" customHeight="1">
      <c r="A679" s="69"/>
      <c r="B679" s="69"/>
      <c r="C679" s="71"/>
      <c r="D679" s="81" t="str">
        <f>if(isblank(I679),"",vlookup(I679,Pacing!$A$1:$Z$213,17))</f>
        <v>PT Teacher</v>
      </c>
      <c r="E679" s="81" t="str">
        <f>if(isblank(J679),"",vlookup(J679,Pacing!$A$1:$Z$213,17))</f>
        <v>PT Teacher</v>
      </c>
      <c r="F679" s="81" t="str">
        <f>if(isblank(K679),"",vlookup(K679,Pacing!$A$1:$Z$213,17))</f>
        <v>PT Teacher</v>
      </c>
      <c r="G679" s="81" t="str">
        <f>if(isblank(L679),"",vlookup(L679,Pacing!$A$1:$Z$213,17))</f>
        <v>PT Teacher</v>
      </c>
      <c r="H679" s="85" t="str">
        <f>if(isblank(M679),"",vlookup(M679,Pacing!$A$1:$Z$213,17))</f>
        <v/>
      </c>
      <c r="I679" s="86">
        <f t="shared" ref="I679:M679" si="720">I678</f>
        <v>105</v>
      </c>
      <c r="J679" s="86">
        <f t="shared" si="720"/>
        <v>106</v>
      </c>
      <c r="K679" s="86">
        <f t="shared" si="720"/>
        <v>107</v>
      </c>
      <c r="L679" s="86">
        <f t="shared" si="720"/>
        <v>108</v>
      </c>
      <c r="M679" s="86" t="str">
        <f t="shared" si="720"/>
        <v/>
      </c>
    </row>
    <row r="680" ht="15.75" customHeight="1">
      <c r="A680" s="69"/>
      <c r="B680" s="69"/>
      <c r="C680" s="71"/>
      <c r="D680" s="81" t="str">
        <f>if(isblank(I680),"",vlookup(I680,Pacing!$A$1:$Z$213,18))</f>
        <v>Assess Plan</v>
      </c>
      <c r="E680" s="81" t="str">
        <f>if(isblank(J680),"",vlookup(J680,Pacing!$A$1:$Z$213,18))</f>
        <v>Assess Plan</v>
      </c>
      <c r="F680" s="81" t="str">
        <f>if(isblank(K680),"",vlookup(K680,Pacing!$A$1:$Z$213,18))</f>
        <v>Assess Plan</v>
      </c>
      <c r="G680" s="81" t="str">
        <f>if(isblank(L680),"",vlookup(L680,Pacing!$A$1:$Z$213,18))</f>
        <v>Assess Plan</v>
      </c>
      <c r="H680" s="129" t="str">
        <f>if(isblank(M680),"",vlookup(M680,Pacing!$A$1:$Z$213,18))</f>
        <v/>
      </c>
      <c r="I680" s="86">
        <f t="shared" ref="I680:M680" si="721">I679</f>
        <v>105</v>
      </c>
      <c r="J680" s="86">
        <f t="shared" si="721"/>
        <v>106</v>
      </c>
      <c r="K680" s="86">
        <f t="shared" si="721"/>
        <v>107</v>
      </c>
      <c r="L680" s="86">
        <f t="shared" si="721"/>
        <v>108</v>
      </c>
      <c r="M680" s="86" t="str">
        <f t="shared" si="721"/>
        <v/>
      </c>
    </row>
    <row r="681" ht="15.75" customHeight="1">
      <c r="A681" s="69"/>
      <c r="B681" s="69"/>
      <c r="C681" s="71"/>
      <c r="D681" s="81" t="str">
        <f>if(isblank(I681),"",vlookup(I681,Pacing!$A$1:$Z$213,19))</f>
        <v>Perform Task</v>
      </c>
      <c r="E681" s="81" t="str">
        <f>if(isblank(J681),"",vlookup(J681,Pacing!$A$1:$Z$213,19))</f>
        <v>Perform Task</v>
      </c>
      <c r="F681" s="81" t="str">
        <f>if(isblank(K681),"",vlookup(K681,Pacing!$A$1:$Z$213,19))</f>
        <v>Perform Task</v>
      </c>
      <c r="G681" s="81" t="str">
        <f>if(isblank(L681),"",vlookup(L681,Pacing!$A$1:$Z$213,19))</f>
        <v>Perform Task</v>
      </c>
      <c r="H681" s="85" t="str">
        <f>if(isblank(M681),"",vlookup(M681,Pacing!$A$1:$Z$213,19))</f>
        <v/>
      </c>
      <c r="I681" s="86">
        <f t="shared" ref="I681:M681" si="722">I680</f>
        <v>105</v>
      </c>
      <c r="J681" s="86">
        <f t="shared" si="722"/>
        <v>106</v>
      </c>
      <c r="K681" s="86">
        <f t="shared" si="722"/>
        <v>107</v>
      </c>
      <c r="L681" s="86">
        <f t="shared" si="722"/>
        <v>108</v>
      </c>
      <c r="M681" s="86" t="str">
        <f t="shared" si="722"/>
        <v/>
      </c>
    </row>
    <row r="682" ht="15.75" customHeight="1">
      <c r="A682" s="69"/>
      <c r="B682" s="69"/>
      <c r="C682" s="71"/>
      <c r="D682" s="81" t="str">
        <f>if(isblank(I682),"",vlookup(I682,Pacing!$A$1:$Z$213,20))</f>
        <v>Quick Check</v>
      </c>
      <c r="E682" s="81" t="str">
        <f>if(isblank(J682),"",vlookup(J682,Pacing!$A$1:$Z$213,20))</f>
        <v>Quick Check</v>
      </c>
      <c r="F682" s="81" t="str">
        <f>if(isblank(K682),"",vlookup(K682,Pacing!$A$1:$Z$213,20))</f>
        <v>Quick Check</v>
      </c>
      <c r="G682" s="81" t="str">
        <f>if(isblank(L682),"",vlookup(L682,Pacing!$A$1:$Z$213,20))</f>
        <v>Quick Check</v>
      </c>
      <c r="H682" s="85" t="str">
        <f>if(isblank(M682),"",vlookup(M682,Pacing!$A$1:$Z$213,20))</f>
        <v/>
      </c>
      <c r="I682" s="86">
        <f t="shared" ref="I682:M682" si="723">I681</f>
        <v>105</v>
      </c>
      <c r="J682" s="86">
        <f t="shared" si="723"/>
        <v>106</v>
      </c>
      <c r="K682" s="86">
        <f t="shared" si="723"/>
        <v>107</v>
      </c>
      <c r="L682" s="86">
        <f t="shared" si="723"/>
        <v>108</v>
      </c>
      <c r="M682" s="86" t="str">
        <f t="shared" si="723"/>
        <v/>
      </c>
    </row>
    <row r="683" ht="15.75" customHeight="1">
      <c r="A683" s="69"/>
      <c r="B683" s="69"/>
      <c r="C683" s="71"/>
      <c r="D683" s="81" t="str">
        <f>if(isblank(I683),"",vlookup(I683,Pacing!$A$1:$Z$213,21))</f>
        <v>Exit Ticket</v>
      </c>
      <c r="E683" s="81" t="str">
        <f>if(isblank(J683),"",vlookup(J683,Pacing!$A$1:$Z$213,21))</f>
        <v>Exit Ticket</v>
      </c>
      <c r="F683" s="81" t="str">
        <f>if(isblank(K683),"",vlookup(K683,Pacing!$A$1:$Z$213,21))</f>
        <v>Exit Ticket</v>
      </c>
      <c r="G683" s="81" t="str">
        <f>if(isblank(L683),"",vlookup(L683,Pacing!$A$1:$Z$213,21))</f>
        <v>Exit Ticket</v>
      </c>
      <c r="H683" s="85" t="str">
        <f>if(isblank(M683),"",vlookup(M683,Pacing!$A$1:$Z$213,21))</f>
        <v/>
      </c>
      <c r="I683" s="86">
        <f t="shared" ref="I683:M683" si="724">I682</f>
        <v>105</v>
      </c>
      <c r="J683" s="86">
        <f t="shared" si="724"/>
        <v>106</v>
      </c>
      <c r="K683" s="86">
        <f t="shared" si="724"/>
        <v>107</v>
      </c>
      <c r="L683" s="86">
        <f t="shared" si="724"/>
        <v>108</v>
      </c>
      <c r="M683" s="86" t="str">
        <f t="shared" si="724"/>
        <v/>
      </c>
    </row>
    <row r="684" ht="15.75" customHeight="1">
      <c r="A684" s="69"/>
      <c r="B684" s="69"/>
      <c r="C684" s="71"/>
      <c r="D684" s="81" t="str">
        <f>if(isblank(I684),"",vlookup(I684,Pacing!$A$1:$Z$213,22))</f>
        <v>Practice 2</v>
      </c>
      <c r="E684" s="81" t="str">
        <f>if(isblank(J684),"",vlookup(J684,Pacing!$A$1:$Z$213,22))</f>
        <v>Practice 2</v>
      </c>
      <c r="F684" s="81" t="str">
        <f>if(isblank(K684),"",vlookup(K684,Pacing!$A$1:$Z$213,22))</f>
        <v>Practice 2</v>
      </c>
      <c r="G684" s="81" t="str">
        <f>if(isblank(L684),"",vlookup(L684,Pacing!$A$1:$Z$213,22))</f>
        <v>Practice 2</v>
      </c>
      <c r="H684" s="129" t="str">
        <f>if(isblank(M684),"",vlookup(M684,Pacing!$A$1:$Z$213,22))</f>
        <v/>
      </c>
      <c r="I684" s="86">
        <f t="shared" ref="I684:M684" si="725">I683</f>
        <v>105</v>
      </c>
      <c r="J684" s="86">
        <f t="shared" si="725"/>
        <v>106</v>
      </c>
      <c r="K684" s="86">
        <f t="shared" si="725"/>
        <v>107</v>
      </c>
      <c r="L684" s="86">
        <f t="shared" si="725"/>
        <v>108</v>
      </c>
      <c r="M684" s="86" t="str">
        <f t="shared" si="725"/>
        <v/>
      </c>
    </row>
    <row r="685" ht="15.75" customHeight="1">
      <c r="A685" s="69"/>
      <c r="B685" s="69"/>
      <c r="C685" s="71"/>
      <c r="D685" s="81" t="str">
        <f>if(isblank(I685),"",vlookup(I685,Pacing!$A$1:$Z$213,23))</f>
        <v>Practice 3</v>
      </c>
      <c r="E685" s="81" t="str">
        <f>if(isblank(J685),"",vlookup(J685,Pacing!$A$1:$Z$213,23))</f>
        <v>Practice 3</v>
      </c>
      <c r="F685" s="81" t="str">
        <f>if(isblank(K685),"",vlookup(K685,Pacing!$A$1:$Z$213,23))</f>
        <v>Practice 3</v>
      </c>
      <c r="G685" s="81" t="str">
        <f>if(isblank(L685),"",vlookup(L685,Pacing!$A$1:$Z$213,23))</f>
        <v>Practice 3</v>
      </c>
      <c r="H685" s="85" t="str">
        <f>if(isblank(M685),"",vlookup(M685,Pacing!$A$1:$Z$213,23))</f>
        <v/>
      </c>
      <c r="I685" s="86">
        <f t="shared" ref="I685:M685" si="726">I684</f>
        <v>105</v>
      </c>
      <c r="J685" s="86">
        <f t="shared" si="726"/>
        <v>106</v>
      </c>
      <c r="K685" s="86">
        <f t="shared" si="726"/>
        <v>107</v>
      </c>
      <c r="L685" s="86">
        <f t="shared" si="726"/>
        <v>108</v>
      </c>
      <c r="M685" s="86" t="str">
        <f t="shared" si="726"/>
        <v/>
      </c>
    </row>
    <row r="686" ht="15.75" customHeight="1">
      <c r="A686" s="69"/>
      <c r="B686" s="69"/>
      <c r="C686" s="71"/>
      <c r="D686" s="81" t="str">
        <f>if(isblank(I686),"",vlookup(I686,Pacing!$A$1:$Z$213,24))</f>
        <v>Sum Assess</v>
      </c>
      <c r="E686" s="81" t="str">
        <f>if(isblank(J686),"",vlookup(J686,Pacing!$A$1:$Z$213,24))</f>
        <v>Sum Assess</v>
      </c>
      <c r="F686" s="81" t="str">
        <f>if(isblank(K686),"",vlookup(K686,Pacing!$A$1:$Z$213,24))</f>
        <v>Sum Assess</v>
      </c>
      <c r="G686" s="81" t="str">
        <f>if(isblank(L686),"",vlookup(L686,Pacing!$A$1:$Z$213,24))</f>
        <v>Sum Assess</v>
      </c>
      <c r="H686" s="85" t="str">
        <f>if(isblank(M686),"",vlookup(M686,Pacing!$A$1:$Z$213,24))</f>
        <v/>
      </c>
      <c r="I686" s="86">
        <f t="shared" ref="I686:M686" si="727">I685</f>
        <v>105</v>
      </c>
      <c r="J686" s="86">
        <f t="shared" si="727"/>
        <v>106</v>
      </c>
      <c r="K686" s="86">
        <f t="shared" si="727"/>
        <v>107</v>
      </c>
      <c r="L686" s="86">
        <f t="shared" si="727"/>
        <v>108</v>
      </c>
      <c r="M686" s="86" t="str">
        <f t="shared" si="727"/>
        <v/>
      </c>
    </row>
    <row r="687" ht="15.75" customHeight="1">
      <c r="A687" s="69"/>
      <c r="B687" s="69"/>
      <c r="C687" s="71"/>
      <c r="D687" s="81" t="str">
        <f>if(isblank(I687),"",vlookup(I687,Pacing!$A$1:$Z$213,25))</f>
        <v>Bank</v>
      </c>
      <c r="E687" s="81" t="str">
        <f>if(isblank(J687),"",vlookup(J687,Pacing!$A$1:$Z$213,25))</f>
        <v>Bank</v>
      </c>
      <c r="F687" s="81" t="str">
        <f>if(isblank(K687),"",vlookup(K687,Pacing!$A$1:$Z$213,25))</f>
        <v>Bank</v>
      </c>
      <c r="G687" s="81" t="str">
        <f>if(isblank(L687),"",vlookup(L687,Pacing!$A$1:$Z$213,25))</f>
        <v>Bank</v>
      </c>
      <c r="H687" s="85" t="str">
        <f>if(isblank(M687),"",vlookup(M687,Pacing!$A$1:$Z$213,25))</f>
        <v/>
      </c>
      <c r="I687" s="86">
        <f t="shared" ref="I687:M687" si="728">I686</f>
        <v>105</v>
      </c>
      <c r="J687" s="86">
        <f t="shared" si="728"/>
        <v>106</v>
      </c>
      <c r="K687" s="86">
        <f t="shared" si="728"/>
        <v>107</v>
      </c>
      <c r="L687" s="86">
        <f t="shared" si="728"/>
        <v>108</v>
      </c>
      <c r="M687" s="86" t="str">
        <f t="shared" si="728"/>
        <v/>
      </c>
    </row>
    <row r="688" ht="15.75" customHeight="1">
      <c r="A688" s="69"/>
      <c r="B688" s="69"/>
      <c r="C688" s="71"/>
      <c r="D688" s="91" t="str">
        <f>if(isblank(I688),"",vlookup(I688,Pacing!$A$1:$Z$213,26))</f>
        <v/>
      </c>
      <c r="E688" s="89" t="str">
        <f>if(isblank(J688),"",vlookup(J688,Pacing!$A$1:$Z$213,26))</f>
        <v/>
      </c>
      <c r="F688" s="89" t="str">
        <f>if(isblank(K688),"",vlookup(K688,Pacing!$A$1:$Z$213,26))</f>
        <v/>
      </c>
      <c r="G688" s="89" t="str">
        <f>if(isblank(L688),"",vlookup(L688,Pacing!$A$1:$Z$213,26))</f>
        <v/>
      </c>
      <c r="H688" s="85" t="str">
        <f>if(isblank(M688),"",vlookup(M688,Pacing!$A$1:$Z$213,26))</f>
        <v/>
      </c>
      <c r="I688" s="86">
        <f t="shared" ref="I688:M688" si="729">I687</f>
        <v>105</v>
      </c>
      <c r="J688" s="86">
        <f t="shared" si="729"/>
        <v>106</v>
      </c>
      <c r="K688" s="86">
        <f t="shared" si="729"/>
        <v>107</v>
      </c>
      <c r="L688" s="86">
        <f t="shared" si="729"/>
        <v>108</v>
      </c>
      <c r="M688" s="86" t="str">
        <f t="shared" si="729"/>
        <v/>
      </c>
    </row>
    <row r="689" ht="15.75" customHeight="1">
      <c r="A689" s="137"/>
      <c r="B689" s="137"/>
      <c r="C689" s="138"/>
      <c r="D689" s="139"/>
      <c r="E689" s="139">
        <f>G662+1</f>
        <v>109</v>
      </c>
      <c r="F689" s="139">
        <f t="shared" ref="F689:H689" si="730">E689+1</f>
        <v>110</v>
      </c>
      <c r="G689" s="139">
        <f t="shared" si="730"/>
        <v>111</v>
      </c>
      <c r="H689" s="139">
        <f t="shared" si="730"/>
        <v>112</v>
      </c>
      <c r="I689" s="55" t="str">
        <f t="shared" ref="I689:M689" si="731">D689</f>
        <v/>
      </c>
      <c r="J689" s="55">
        <f t="shared" si="731"/>
        <v>109</v>
      </c>
      <c r="K689" s="55">
        <f t="shared" si="731"/>
        <v>110</v>
      </c>
      <c r="L689" s="55">
        <f t="shared" si="731"/>
        <v>111</v>
      </c>
      <c r="M689" s="55">
        <f t="shared" si="731"/>
        <v>112</v>
      </c>
    </row>
    <row r="690" ht="15.75" customHeight="1">
      <c r="A690" s="69">
        <f>B690+1</f>
        <v>261</v>
      </c>
      <c r="B690" s="69">
        <f t="shared" ref="B690:B697" si="733">$C$690*10</f>
        <v>260</v>
      </c>
      <c r="C690" s="71">
        <f>C663+1</f>
        <v>26</v>
      </c>
      <c r="D690" s="74">
        <f>D663+7</f>
        <v>46440</v>
      </c>
      <c r="E690" s="72">
        <f t="shared" ref="E690:H690" si="732">D690+1</f>
        <v>46441</v>
      </c>
      <c r="F690" s="72">
        <f t="shared" si="732"/>
        <v>46442</v>
      </c>
      <c r="G690" s="72">
        <f t="shared" si="732"/>
        <v>46443</v>
      </c>
      <c r="H690" s="72">
        <f t="shared" si="732"/>
        <v>46444</v>
      </c>
      <c r="I690" s="62" t="s">
        <v>42</v>
      </c>
    </row>
    <row r="691" ht="15.75" customHeight="1">
      <c r="A691" s="75">
        <f>B691+2</f>
        <v>262</v>
      </c>
      <c r="B691" s="75">
        <f t="shared" si="733"/>
        <v>260</v>
      </c>
      <c r="C691" s="76"/>
      <c r="D691" s="77" t="str">
        <f>if(isblank(I691),"",vlookup(I691,Pacing!$A$1:$Z$213,2))</f>
        <v/>
      </c>
      <c r="E691" s="131" t="str">
        <f>if(isblank(J691),"",vlookup(J691,Pacing!$A$1:$Z$213,2))</f>
        <v>7.3: R &amp; Ohm's Law</v>
      </c>
      <c r="F691" s="131" t="str">
        <f>if(isblank(K691),"",vlookup(K691,Pacing!$A$1:$Z$213,2))</f>
        <v>7.4: Power &amp; Energy</v>
      </c>
      <c r="G691" s="131" t="str">
        <f>if(isblank(L691),"",vlookup(L691,Pacing!$A$1:$Z$213,2))</f>
        <v>7.4: Power &amp; Energy</v>
      </c>
      <c r="H691" s="131" t="str">
        <f>if(isblank(M691),"",vlookup(M691,Pacing!$A$1:$Z$213,2))</f>
        <v>7.4: Power &amp; Energy</v>
      </c>
      <c r="I691" s="78" t="str">
        <f t="shared" ref="I691:M691" si="734">I689</f>
        <v/>
      </c>
      <c r="J691" s="78">
        <f t="shared" si="734"/>
        <v>109</v>
      </c>
      <c r="K691" s="78">
        <f t="shared" si="734"/>
        <v>110</v>
      </c>
      <c r="L691" s="78">
        <f t="shared" si="734"/>
        <v>111</v>
      </c>
      <c r="M691" s="78">
        <f t="shared" si="734"/>
        <v>112</v>
      </c>
    </row>
    <row r="692" ht="15.75" customHeight="1">
      <c r="A692" s="69">
        <f>B692+3</f>
        <v>263</v>
      </c>
      <c r="B692" s="69">
        <f t="shared" si="733"/>
        <v>260</v>
      </c>
      <c r="C692" s="76"/>
      <c r="D692" s="129" t="str">
        <f>if(isblank(I692),"",vlookup(I692,Pacing!$A$1:$Z$213,3))</f>
        <v/>
      </c>
      <c r="E692" s="81" t="str">
        <f>if(isblank(J692),"",vlookup(J692,Pacing!$A$1:$Z$213,3))</f>
        <v>Warm Up</v>
      </c>
      <c r="F692" s="81" t="str">
        <f>if(isblank(K692),"",vlookup(K692,Pacing!$A$1:$Z$213,3))</f>
        <v>Warm Up</v>
      </c>
      <c r="G692" s="81" t="str">
        <f>if(isblank(L692),"",vlookup(L692,Pacing!$A$1:$Z$213,3))</f>
        <v>Warm Up</v>
      </c>
      <c r="H692" s="81" t="str">
        <f>if(isblank(M692),"",vlookup(M692,Pacing!$A$1:$Z$213,3))</f>
        <v>Warm Up</v>
      </c>
      <c r="I692" s="86" t="str">
        <f t="shared" ref="I692:M692" si="735">I691</f>
        <v/>
      </c>
      <c r="J692" s="86">
        <f t="shared" si="735"/>
        <v>109</v>
      </c>
      <c r="K692" s="86">
        <f t="shared" si="735"/>
        <v>110</v>
      </c>
      <c r="L692" s="86">
        <f t="shared" si="735"/>
        <v>111</v>
      </c>
      <c r="M692" s="86">
        <f t="shared" si="735"/>
        <v>112</v>
      </c>
    </row>
    <row r="693" ht="15.75" customHeight="1">
      <c r="A693" s="69">
        <f>B693+4</f>
        <v>264</v>
      </c>
      <c r="B693" s="69">
        <f t="shared" si="733"/>
        <v>260</v>
      </c>
      <c r="C693" s="76"/>
      <c r="D693" s="129" t="str">
        <f>if(isblank(I693),"",vlookup(I693,Pacing!$A$1:$Z$213,4))</f>
        <v/>
      </c>
      <c r="E693" s="81" t="str">
        <f>if(isblank(J693),"",vlookup(J693,Pacing!$A$1:$Z$213,4))</f>
        <v>Demo</v>
      </c>
      <c r="F693" s="81" t="str">
        <f>if(isblank(K693),"",vlookup(K693,Pacing!$A$1:$Z$213,4))</f>
        <v>Demo</v>
      </c>
      <c r="G693" s="81" t="str">
        <f>if(isblank(L693),"",vlookup(L693,Pacing!$A$1:$Z$213,4))</f>
        <v>Demo</v>
      </c>
      <c r="H693" s="81" t="str">
        <f>if(isblank(M693),"",vlookup(M693,Pacing!$A$1:$Z$213,4))</f>
        <v>Demo</v>
      </c>
      <c r="I693" s="86" t="str">
        <f t="shared" ref="I693:M693" si="736">I692</f>
        <v/>
      </c>
      <c r="J693" s="86">
        <f t="shared" si="736"/>
        <v>109</v>
      </c>
      <c r="K693" s="86">
        <f t="shared" si="736"/>
        <v>110</v>
      </c>
      <c r="L693" s="86">
        <f t="shared" si="736"/>
        <v>111</v>
      </c>
      <c r="M693" s="86">
        <f t="shared" si="736"/>
        <v>112</v>
      </c>
    </row>
    <row r="694" ht="15.75" customHeight="1">
      <c r="A694" s="69">
        <f>B694+5</f>
        <v>265</v>
      </c>
      <c r="B694" s="69">
        <f t="shared" si="733"/>
        <v>260</v>
      </c>
      <c r="C694" s="76"/>
      <c r="D694" s="129" t="str">
        <f>if(isblank(I694),"",vlookup(I694,Pacing!$A$1:$Z$213,5))</f>
        <v/>
      </c>
      <c r="E694" s="81" t="str">
        <f>if(isblank(J694),"",vlookup(J694,Pacing!$A$1:$Z$213,5))</f>
        <v>Notes</v>
      </c>
      <c r="F694" s="81" t="str">
        <f>if(isblank(K694),"",vlookup(K694,Pacing!$A$1:$Z$213,5))</f>
        <v>Notes</v>
      </c>
      <c r="G694" s="81" t="str">
        <f>if(isblank(L694),"",vlookup(L694,Pacing!$A$1:$Z$213,5))</f>
        <v>Notes</v>
      </c>
      <c r="H694" s="81" t="str">
        <f>if(isblank(M694),"",vlookup(M694,Pacing!$A$1:$Z$213,5))</f>
        <v>Notes</v>
      </c>
      <c r="I694" s="86" t="str">
        <f t="shared" ref="I694:M694" si="737">I693</f>
        <v/>
      </c>
      <c r="J694" s="86">
        <f t="shared" si="737"/>
        <v>109</v>
      </c>
      <c r="K694" s="86">
        <f t="shared" si="737"/>
        <v>110</v>
      </c>
      <c r="L694" s="86">
        <f t="shared" si="737"/>
        <v>111</v>
      </c>
      <c r="M694" s="86">
        <f t="shared" si="737"/>
        <v>112</v>
      </c>
    </row>
    <row r="695" ht="15.75" customHeight="1">
      <c r="A695" s="69">
        <f>B695+6</f>
        <v>266</v>
      </c>
      <c r="B695" s="69">
        <f t="shared" si="733"/>
        <v>260</v>
      </c>
      <c r="C695" s="76"/>
      <c r="D695" s="129" t="str">
        <f>if(isblank(I695),"",vlookup(I695,Pacing!$A$1:$Z$213,6))</f>
        <v/>
      </c>
      <c r="E695" s="81" t="str">
        <f>if(isblank(J695),"",vlookup(J695,Pacing!$A$1:$Z$213,6))</f>
        <v>Investigation</v>
      </c>
      <c r="F695" s="81" t="str">
        <f>if(isblank(K695),"",vlookup(K695,Pacing!$A$1:$Z$213,6))</f>
        <v>Investigation</v>
      </c>
      <c r="G695" s="81" t="str">
        <f>if(isblank(L695),"",vlookup(L695,Pacing!$A$1:$Z$213,6))</f>
        <v>Investigation</v>
      </c>
      <c r="H695" s="81" t="str">
        <f>if(isblank(M695),"",vlookup(M695,Pacing!$A$1:$Z$213,6))</f>
        <v>Investigation</v>
      </c>
      <c r="I695" s="86" t="str">
        <f t="shared" ref="I695:M695" si="738">I694</f>
        <v/>
      </c>
      <c r="J695" s="86">
        <f t="shared" si="738"/>
        <v>109</v>
      </c>
      <c r="K695" s="86">
        <f t="shared" si="738"/>
        <v>110</v>
      </c>
      <c r="L695" s="86">
        <f t="shared" si="738"/>
        <v>111</v>
      </c>
      <c r="M695" s="86">
        <f t="shared" si="738"/>
        <v>112</v>
      </c>
    </row>
    <row r="696" ht="15.75" customHeight="1">
      <c r="A696" s="69">
        <f>B696+7</f>
        <v>267</v>
      </c>
      <c r="B696" s="69">
        <f t="shared" si="733"/>
        <v>260</v>
      </c>
      <c r="C696" s="76"/>
      <c r="D696" s="129" t="str">
        <f>if(isblank(I696),"",vlookup(I696,Pacing!$A$1:$Z$213,7))</f>
        <v/>
      </c>
      <c r="E696" s="81" t="str">
        <f>if(isblank(J696),"",vlookup(J696,Pacing!$A$1:$Z$213,7))</f>
        <v>Activity</v>
      </c>
      <c r="F696" s="81" t="str">
        <f>if(isblank(K696),"",vlookup(K696,Pacing!$A$1:$Z$213,7))</f>
        <v>Activity</v>
      </c>
      <c r="G696" s="81" t="str">
        <f>if(isblank(L696),"",vlookup(L696,Pacing!$A$1:$Z$213,7))</f>
        <v>Activity</v>
      </c>
      <c r="H696" s="81" t="str">
        <f>if(isblank(M696),"",vlookup(M696,Pacing!$A$1:$Z$213,7))</f>
        <v>Activity</v>
      </c>
      <c r="I696" s="86" t="str">
        <f t="shared" ref="I696:M696" si="739">I695</f>
        <v/>
      </c>
      <c r="J696" s="86">
        <f t="shared" si="739"/>
        <v>109</v>
      </c>
      <c r="K696" s="86">
        <f t="shared" si="739"/>
        <v>110</v>
      </c>
      <c r="L696" s="86">
        <f t="shared" si="739"/>
        <v>111</v>
      </c>
      <c r="M696" s="86">
        <f t="shared" si="739"/>
        <v>112</v>
      </c>
    </row>
    <row r="697" ht="15.75" customHeight="1">
      <c r="A697" s="69">
        <f>B697+8</f>
        <v>268</v>
      </c>
      <c r="B697" s="69">
        <f t="shared" si="733"/>
        <v>260</v>
      </c>
      <c r="C697" s="95"/>
      <c r="D697" s="129" t="str">
        <f>if(isblank(I697),"",vlookup(I697,Pacing!$A$1:$Z$213,8))</f>
        <v/>
      </c>
      <c r="E697" s="81" t="str">
        <f>if(isblank(J697),"",vlookup(J697,Pacing!$A$1:$Z$213,8))</f>
        <v>Practice Set</v>
      </c>
      <c r="F697" s="81" t="str">
        <f>if(isblank(K697),"",vlookup(K697,Pacing!$A$1:$Z$213,8))</f>
        <v>Practice Set</v>
      </c>
      <c r="G697" s="81" t="str">
        <f>if(isblank(L697),"",vlookup(L697,Pacing!$A$1:$Z$213,8))</f>
        <v>Practice Set</v>
      </c>
      <c r="H697" s="81" t="str">
        <f>if(isblank(M697),"",vlookup(M697,Pacing!$A$1:$Z$213,8))</f>
        <v>Practice Set</v>
      </c>
      <c r="I697" s="86" t="str">
        <f t="shared" ref="I697:M697" si="740">I696</f>
        <v/>
      </c>
      <c r="J697" s="86">
        <f t="shared" si="740"/>
        <v>109</v>
      </c>
      <c r="K697" s="86">
        <f t="shared" si="740"/>
        <v>110</v>
      </c>
      <c r="L697" s="86">
        <f t="shared" si="740"/>
        <v>111</v>
      </c>
      <c r="M697" s="86">
        <f t="shared" si="740"/>
        <v>112</v>
      </c>
    </row>
    <row r="698" ht="15.75" customHeight="1">
      <c r="A698" s="69"/>
      <c r="B698" s="69"/>
      <c r="C698" s="71"/>
      <c r="D698" s="129" t="str">
        <f>if(isblank(I698),"",vlookup(I698,Pacing!$A$1:$Z$213,9))</f>
        <v/>
      </c>
      <c r="E698" s="81" t="str">
        <f>if(isblank(J698),"",vlookup(J698,Pacing!$A$1:$Z$213,9))</f>
        <v>Extra Practice</v>
      </c>
      <c r="F698" s="81" t="str">
        <f>if(isblank(K698),"",vlookup(K698,Pacing!$A$1:$Z$213,9))</f>
        <v>Extra Practice</v>
      </c>
      <c r="G698" s="81" t="str">
        <f>if(isblank(L698),"",vlookup(L698,Pacing!$A$1:$Z$213,9))</f>
        <v>Extra Practice</v>
      </c>
      <c r="H698" s="81" t="str">
        <f>if(isblank(M698),"",vlookup(M698,Pacing!$A$1:$Z$213,9))</f>
        <v>Extra Practice</v>
      </c>
      <c r="I698" s="86" t="str">
        <f t="shared" ref="I698:M698" si="741">I697</f>
        <v/>
      </c>
      <c r="J698" s="86">
        <f t="shared" si="741"/>
        <v>109</v>
      </c>
      <c r="K698" s="86">
        <f t="shared" si="741"/>
        <v>110</v>
      </c>
      <c r="L698" s="86">
        <f t="shared" si="741"/>
        <v>111</v>
      </c>
      <c r="M698" s="86">
        <f t="shared" si="741"/>
        <v>112</v>
      </c>
    </row>
    <row r="699" ht="15.75" customHeight="1">
      <c r="A699" s="69"/>
      <c r="B699" s="69"/>
      <c r="C699" s="71"/>
      <c r="D699" s="129" t="str">
        <f>if(isblank(I699),"",vlookup(I699,Pacing!$A$1:$Z$213,10))</f>
        <v/>
      </c>
      <c r="E699" s="81" t="str">
        <f>if(isblank(J699),"",vlookup(J699,Pacing!$A$1:$Z$213,10))</f>
        <v>CYU</v>
      </c>
      <c r="F699" s="81" t="str">
        <f>if(isblank(K699),"",vlookup(K699,Pacing!$A$1:$Z$213,10))</f>
        <v>CYU</v>
      </c>
      <c r="G699" s="81" t="str">
        <f>if(isblank(L699),"",vlookup(L699,Pacing!$A$1:$Z$213,10))</f>
        <v>CYU</v>
      </c>
      <c r="H699" s="81" t="str">
        <f>if(isblank(M699),"",vlookup(M699,Pacing!$A$1:$Z$213,10))</f>
        <v>CYU</v>
      </c>
      <c r="I699" s="86" t="str">
        <f t="shared" ref="I699:M699" si="742">I698</f>
        <v/>
      </c>
      <c r="J699" s="86">
        <f t="shared" si="742"/>
        <v>109</v>
      </c>
      <c r="K699" s="86">
        <f t="shared" si="742"/>
        <v>110</v>
      </c>
      <c r="L699" s="86">
        <f t="shared" si="742"/>
        <v>111</v>
      </c>
      <c r="M699" s="86">
        <f t="shared" si="742"/>
        <v>112</v>
      </c>
    </row>
    <row r="700" ht="15.75" customHeight="1">
      <c r="A700" s="69"/>
      <c r="B700" s="69"/>
      <c r="C700" s="71"/>
      <c r="D700" s="129" t="str">
        <f>if(isblank(I700),"",vlookup(I700,Pacing!$A$1:$Z$213,11))</f>
        <v/>
      </c>
      <c r="E700" s="81" t="str">
        <f>if(isblank(J700),"",vlookup(J700,Pacing!$A$1:$Z$213,11))</f>
        <v>Progress</v>
      </c>
      <c r="F700" s="81" t="str">
        <f>if(isblank(K700),"",vlookup(K700,Pacing!$A$1:$Z$213,11))</f>
        <v>Progress</v>
      </c>
      <c r="G700" s="81" t="str">
        <f>if(isblank(L700),"",vlookup(L700,Pacing!$A$1:$Z$213,11))</f>
        <v>Progress</v>
      </c>
      <c r="H700" s="81" t="str">
        <f>if(isblank(M700),"",vlookup(M700,Pacing!$A$1:$Z$213,11))</f>
        <v>Progress</v>
      </c>
      <c r="I700" s="86" t="str">
        <f t="shared" ref="I700:M700" si="743">I699</f>
        <v/>
      </c>
      <c r="J700" s="86">
        <f t="shared" si="743"/>
        <v>109</v>
      </c>
      <c r="K700" s="86">
        <f t="shared" si="743"/>
        <v>110</v>
      </c>
      <c r="L700" s="86">
        <f t="shared" si="743"/>
        <v>111</v>
      </c>
      <c r="M700" s="86">
        <f t="shared" si="743"/>
        <v>112</v>
      </c>
    </row>
    <row r="701" ht="15.75" customHeight="1">
      <c r="A701" s="69"/>
      <c r="B701" s="69"/>
      <c r="C701" s="71"/>
      <c r="D701" s="129" t="str">
        <f>if(isblank(I701),"",vlookup(I701,Pacing!$A$1:$Z$213,12))</f>
        <v/>
      </c>
      <c r="E701" s="81" t="str">
        <f>if(isblank(J701),"",vlookup(J701,Pacing!$A$1:$Z$213,12))</f>
        <v>Review</v>
      </c>
      <c r="F701" s="81" t="str">
        <f>if(isblank(K701),"",vlookup(K701,Pacing!$A$1:$Z$213,12))</f>
        <v>Review</v>
      </c>
      <c r="G701" s="81" t="str">
        <f>if(isblank(L701),"",vlookup(L701,Pacing!$A$1:$Z$213,12))</f>
        <v>Review</v>
      </c>
      <c r="H701" s="81" t="str">
        <f>if(isblank(M701),"",vlookup(M701,Pacing!$A$1:$Z$213,12))</f>
        <v>Review</v>
      </c>
      <c r="I701" s="86" t="str">
        <f t="shared" ref="I701:M701" si="744">I700</f>
        <v/>
      </c>
      <c r="J701" s="86">
        <f t="shared" si="744"/>
        <v>109</v>
      </c>
      <c r="K701" s="86">
        <f t="shared" si="744"/>
        <v>110</v>
      </c>
      <c r="L701" s="86">
        <f t="shared" si="744"/>
        <v>111</v>
      </c>
      <c r="M701" s="86">
        <f t="shared" si="744"/>
        <v>112</v>
      </c>
    </row>
    <row r="702" ht="15.75" customHeight="1">
      <c r="A702" s="69"/>
      <c r="B702" s="69"/>
      <c r="C702" s="71"/>
      <c r="D702" s="129" t="str">
        <f>if(isblank(I702),"",vlookup(I702,Pacing!$A$1:$Z$213,13))</f>
        <v/>
      </c>
      <c r="E702" s="91" t="str">
        <f>if(isblank(J702),"",vlookup(J702,Pacing!$A$1:$Z$213,13))</f>
        <v/>
      </c>
      <c r="F702" s="91" t="str">
        <f>if(isblank(K702),"",vlookup(K702,Pacing!$A$1:$Z$213,13))</f>
        <v/>
      </c>
      <c r="G702" s="91" t="str">
        <f>if(isblank(L702),"",vlookup(L702,Pacing!$A$1:$Z$213,13))</f>
        <v/>
      </c>
      <c r="H702" s="91" t="str">
        <f>if(isblank(M702),"",vlookup(M702,Pacing!$A$1:$Z$213,13))</f>
        <v/>
      </c>
      <c r="I702" s="86" t="str">
        <f t="shared" ref="I702:M702" si="745">I701</f>
        <v/>
      </c>
      <c r="J702" s="86">
        <f t="shared" si="745"/>
        <v>109</v>
      </c>
      <c r="K702" s="86">
        <f t="shared" si="745"/>
        <v>110</v>
      </c>
      <c r="L702" s="86">
        <f t="shared" si="745"/>
        <v>111</v>
      </c>
      <c r="M702" s="86">
        <f t="shared" si="745"/>
        <v>112</v>
      </c>
    </row>
    <row r="703" ht="15.75" customHeight="1">
      <c r="A703" s="69"/>
      <c r="B703" s="69"/>
      <c r="C703" s="71"/>
      <c r="D703" s="129" t="str">
        <f>if(isblank(I703),"",vlookup(I703,Pacing!$A$1:$Z$213,14))</f>
        <v/>
      </c>
      <c r="E703" s="81" t="str">
        <f>if(isblank(J703),"",vlookup(J703,Pacing!$A$1:$Z$213,14))</f>
        <v>Notes Teacher</v>
      </c>
      <c r="F703" s="81" t="str">
        <f>if(isblank(K703),"",vlookup(K703,Pacing!$A$1:$Z$213,14))</f>
        <v>Notes Teacher</v>
      </c>
      <c r="G703" s="81" t="str">
        <f>if(isblank(L703),"",vlookup(L703,Pacing!$A$1:$Z$213,14))</f>
        <v>Notes Teacher</v>
      </c>
      <c r="H703" s="81" t="str">
        <f>if(isblank(M703),"",vlookup(M703,Pacing!$A$1:$Z$213,14))</f>
        <v>Notes Teacher</v>
      </c>
      <c r="I703" s="86" t="str">
        <f t="shared" ref="I703:M703" si="746">I702</f>
        <v/>
      </c>
      <c r="J703" s="86">
        <f t="shared" si="746"/>
        <v>109</v>
      </c>
      <c r="K703" s="86">
        <f t="shared" si="746"/>
        <v>110</v>
      </c>
      <c r="L703" s="86">
        <f t="shared" si="746"/>
        <v>111</v>
      </c>
      <c r="M703" s="86">
        <f t="shared" si="746"/>
        <v>112</v>
      </c>
    </row>
    <row r="704" ht="15.75" customHeight="1">
      <c r="A704" s="69"/>
      <c r="B704" s="69"/>
      <c r="C704" s="71"/>
      <c r="D704" s="129" t="str">
        <f>if(isblank(I704),"",vlookup(I704,Pacing!$A$1:$Z$213,15))</f>
        <v/>
      </c>
      <c r="E704" s="81" t="str">
        <f>if(isblank(J704),"",vlookup(J704,Pacing!$A$1:$Z$213,15))</f>
        <v>Demo Teacher</v>
      </c>
      <c r="F704" s="81" t="str">
        <f>if(isblank(K704),"",vlookup(K704,Pacing!$A$1:$Z$213,15))</f>
        <v>Demo Teacher</v>
      </c>
      <c r="G704" s="81" t="str">
        <f>if(isblank(L704),"",vlookup(L704,Pacing!$A$1:$Z$213,15))</f>
        <v>Demo Teacher</v>
      </c>
      <c r="H704" s="81" t="str">
        <f>if(isblank(M704),"",vlookup(M704,Pacing!$A$1:$Z$213,15))</f>
        <v>Demo Teacher</v>
      </c>
      <c r="I704" s="86" t="str">
        <f t="shared" ref="I704:M704" si="747">I703</f>
        <v/>
      </c>
      <c r="J704" s="86">
        <f t="shared" si="747"/>
        <v>109</v>
      </c>
      <c r="K704" s="86">
        <f t="shared" si="747"/>
        <v>110</v>
      </c>
      <c r="L704" s="86">
        <f t="shared" si="747"/>
        <v>111</v>
      </c>
      <c r="M704" s="86">
        <f t="shared" si="747"/>
        <v>112</v>
      </c>
    </row>
    <row r="705" ht="15.75" customHeight="1">
      <c r="A705" s="69"/>
      <c r="B705" s="69"/>
      <c r="C705" s="71"/>
      <c r="D705" s="129" t="str">
        <f>if(isblank(I705),"",vlookup(I705,Pacing!$A$1:$Z$213,16))</f>
        <v/>
      </c>
      <c r="E705" s="81" t="str">
        <f>if(isblank(J705),"",vlookup(J705,Pacing!$A$1:$Z$213,16))</f>
        <v>Invest Teacher</v>
      </c>
      <c r="F705" s="81" t="str">
        <f>if(isblank(K705),"",vlookup(K705,Pacing!$A$1:$Z$213,16))</f>
        <v>Invest Teacher</v>
      </c>
      <c r="G705" s="81" t="str">
        <f>if(isblank(L705),"",vlookup(L705,Pacing!$A$1:$Z$213,16))</f>
        <v>Invest Teacher</v>
      </c>
      <c r="H705" s="81" t="str">
        <f>if(isblank(M705),"",vlookup(M705,Pacing!$A$1:$Z$213,16))</f>
        <v>Invest Teacher</v>
      </c>
      <c r="I705" s="86" t="str">
        <f t="shared" ref="I705:M705" si="748">I704</f>
        <v/>
      </c>
      <c r="J705" s="86">
        <f t="shared" si="748"/>
        <v>109</v>
      </c>
      <c r="K705" s="86">
        <f t="shared" si="748"/>
        <v>110</v>
      </c>
      <c r="L705" s="86">
        <f t="shared" si="748"/>
        <v>111</v>
      </c>
      <c r="M705" s="86">
        <f t="shared" si="748"/>
        <v>112</v>
      </c>
    </row>
    <row r="706" ht="15.75" customHeight="1">
      <c r="A706" s="69"/>
      <c r="B706" s="69"/>
      <c r="C706" s="71"/>
      <c r="D706" s="129" t="str">
        <f>if(isblank(I706),"",vlookup(I706,Pacing!$A$1:$Z$213,17))</f>
        <v/>
      </c>
      <c r="E706" s="81" t="str">
        <f>if(isblank(J706),"",vlookup(J706,Pacing!$A$1:$Z$213,17))</f>
        <v>PT Teacher</v>
      </c>
      <c r="F706" s="81" t="str">
        <f>if(isblank(K706),"",vlookup(K706,Pacing!$A$1:$Z$213,17))</f>
        <v>PT Teacher</v>
      </c>
      <c r="G706" s="81" t="str">
        <f>if(isblank(L706),"",vlookup(L706,Pacing!$A$1:$Z$213,17))</f>
        <v>PT Teacher</v>
      </c>
      <c r="H706" s="81" t="str">
        <f>if(isblank(M706),"",vlookup(M706,Pacing!$A$1:$Z$213,17))</f>
        <v>PT Teacher</v>
      </c>
      <c r="I706" s="86" t="str">
        <f t="shared" ref="I706:M706" si="749">I705</f>
        <v/>
      </c>
      <c r="J706" s="86">
        <f t="shared" si="749"/>
        <v>109</v>
      </c>
      <c r="K706" s="86">
        <f t="shared" si="749"/>
        <v>110</v>
      </c>
      <c r="L706" s="86">
        <f t="shared" si="749"/>
        <v>111</v>
      </c>
      <c r="M706" s="86">
        <f t="shared" si="749"/>
        <v>112</v>
      </c>
    </row>
    <row r="707" ht="15.75" customHeight="1">
      <c r="A707" s="69"/>
      <c r="B707" s="69"/>
      <c r="C707" s="71"/>
      <c r="D707" s="129" t="str">
        <f>if(isblank(I707),"",vlookup(I707,Pacing!$A$1:$Z$213,18))</f>
        <v/>
      </c>
      <c r="E707" s="81" t="str">
        <f>if(isblank(J707),"",vlookup(J707,Pacing!$A$1:$Z$213,18))</f>
        <v>Assess Plan</v>
      </c>
      <c r="F707" s="81" t="str">
        <f>if(isblank(K707),"",vlookup(K707,Pacing!$A$1:$Z$213,18))</f>
        <v>Assess Plan</v>
      </c>
      <c r="G707" s="81" t="str">
        <f>if(isblank(L707),"",vlookup(L707,Pacing!$A$1:$Z$213,18))</f>
        <v>Assess Plan</v>
      </c>
      <c r="H707" s="81" t="str">
        <f>if(isblank(M707),"",vlookup(M707,Pacing!$A$1:$Z$213,18))</f>
        <v>Assess Plan</v>
      </c>
      <c r="I707" s="86" t="str">
        <f t="shared" ref="I707:M707" si="750">I706</f>
        <v/>
      </c>
      <c r="J707" s="86">
        <f t="shared" si="750"/>
        <v>109</v>
      </c>
      <c r="K707" s="86">
        <f t="shared" si="750"/>
        <v>110</v>
      </c>
      <c r="L707" s="86">
        <f t="shared" si="750"/>
        <v>111</v>
      </c>
      <c r="M707" s="86">
        <f t="shared" si="750"/>
        <v>112</v>
      </c>
    </row>
    <row r="708" ht="15.75" customHeight="1">
      <c r="A708" s="69"/>
      <c r="B708" s="69"/>
      <c r="C708" s="71"/>
      <c r="D708" s="129" t="str">
        <f>if(isblank(I708),"",vlookup(I708,Pacing!$A$1:$Z$213,19))</f>
        <v/>
      </c>
      <c r="E708" s="81" t="str">
        <f>if(isblank(J708),"",vlookup(J708,Pacing!$A$1:$Z$213,19))</f>
        <v>Perform Task</v>
      </c>
      <c r="F708" s="81" t="str">
        <f>if(isblank(K708),"",vlookup(K708,Pacing!$A$1:$Z$213,19))</f>
        <v>Perform Task</v>
      </c>
      <c r="G708" s="81" t="str">
        <f>if(isblank(L708),"",vlookup(L708,Pacing!$A$1:$Z$213,19))</f>
        <v>Perform Task</v>
      </c>
      <c r="H708" s="81" t="str">
        <f>if(isblank(M708),"",vlookup(M708,Pacing!$A$1:$Z$213,19))</f>
        <v>Perform Task</v>
      </c>
      <c r="I708" s="86" t="str">
        <f t="shared" ref="I708:M708" si="751">I707</f>
        <v/>
      </c>
      <c r="J708" s="86">
        <f t="shared" si="751"/>
        <v>109</v>
      </c>
      <c r="K708" s="86">
        <f t="shared" si="751"/>
        <v>110</v>
      </c>
      <c r="L708" s="86">
        <f t="shared" si="751"/>
        <v>111</v>
      </c>
      <c r="M708" s="86">
        <f t="shared" si="751"/>
        <v>112</v>
      </c>
    </row>
    <row r="709" ht="15.75" customHeight="1">
      <c r="A709" s="69"/>
      <c r="B709" s="69"/>
      <c r="C709" s="71"/>
      <c r="D709" s="129" t="str">
        <f>if(isblank(I709),"",vlookup(I709,Pacing!$A$1:$Z$213,20))</f>
        <v/>
      </c>
      <c r="E709" s="81" t="str">
        <f>if(isblank(J709),"",vlookup(J709,Pacing!$A$1:$Z$213,20))</f>
        <v>Quick Check</v>
      </c>
      <c r="F709" s="81" t="str">
        <f>if(isblank(K709),"",vlookup(K709,Pacing!$A$1:$Z$213,20))</f>
        <v>Quick Check</v>
      </c>
      <c r="G709" s="81" t="str">
        <f>if(isblank(L709),"",vlookup(L709,Pacing!$A$1:$Z$213,20))</f>
        <v>Quick Check</v>
      </c>
      <c r="H709" s="81" t="str">
        <f>if(isblank(M709),"",vlookup(M709,Pacing!$A$1:$Z$213,20))</f>
        <v>Quick Check</v>
      </c>
      <c r="I709" s="86" t="str">
        <f t="shared" ref="I709:M709" si="752">I708</f>
        <v/>
      </c>
      <c r="J709" s="86">
        <f t="shared" si="752"/>
        <v>109</v>
      </c>
      <c r="K709" s="86">
        <f t="shared" si="752"/>
        <v>110</v>
      </c>
      <c r="L709" s="86">
        <f t="shared" si="752"/>
        <v>111</v>
      </c>
      <c r="M709" s="86">
        <f t="shared" si="752"/>
        <v>112</v>
      </c>
    </row>
    <row r="710" ht="15.75" customHeight="1">
      <c r="A710" s="69"/>
      <c r="B710" s="69"/>
      <c r="C710" s="71"/>
      <c r="D710" s="129" t="str">
        <f>if(isblank(I710),"",vlookup(I710,Pacing!$A$1:$Z$213,21))</f>
        <v/>
      </c>
      <c r="E710" s="81" t="str">
        <f>if(isblank(J710),"",vlookup(J710,Pacing!$A$1:$Z$213,21))</f>
        <v>Exit Ticket</v>
      </c>
      <c r="F710" s="81" t="str">
        <f>if(isblank(K710),"",vlookup(K710,Pacing!$A$1:$Z$213,21))</f>
        <v>Exit Ticket</v>
      </c>
      <c r="G710" s="81" t="str">
        <f>if(isblank(L710),"",vlookup(L710,Pacing!$A$1:$Z$213,21))</f>
        <v>Exit Ticket</v>
      </c>
      <c r="H710" s="81" t="str">
        <f>if(isblank(M710),"",vlookup(M710,Pacing!$A$1:$Z$213,21))</f>
        <v>Exit Ticket</v>
      </c>
      <c r="I710" s="86" t="str">
        <f t="shared" ref="I710:M710" si="753">I709</f>
        <v/>
      </c>
      <c r="J710" s="86">
        <f t="shared" si="753"/>
        <v>109</v>
      </c>
      <c r="K710" s="86">
        <f t="shared" si="753"/>
        <v>110</v>
      </c>
      <c r="L710" s="86">
        <f t="shared" si="753"/>
        <v>111</v>
      </c>
      <c r="M710" s="86">
        <f t="shared" si="753"/>
        <v>112</v>
      </c>
    </row>
    <row r="711" ht="15.75" customHeight="1">
      <c r="A711" s="69"/>
      <c r="B711" s="69"/>
      <c r="C711" s="71"/>
      <c r="D711" s="129" t="str">
        <f>if(isblank(I711),"",vlookup(I711,Pacing!$A$1:$Z$213,22))</f>
        <v/>
      </c>
      <c r="E711" s="81" t="str">
        <f>if(isblank(J711),"",vlookup(J711,Pacing!$A$1:$Z$213,22))</f>
        <v>Practice 2</v>
      </c>
      <c r="F711" s="81" t="str">
        <f>if(isblank(K711),"",vlookup(K711,Pacing!$A$1:$Z$213,22))</f>
        <v>Practice 2</v>
      </c>
      <c r="G711" s="81" t="str">
        <f>if(isblank(L711),"",vlookup(L711,Pacing!$A$1:$Z$213,22))</f>
        <v>Practice 2</v>
      </c>
      <c r="H711" s="81" t="str">
        <f>if(isblank(M711),"",vlookup(M711,Pacing!$A$1:$Z$213,22))</f>
        <v>Practice 2</v>
      </c>
      <c r="I711" s="86" t="str">
        <f t="shared" ref="I711:M711" si="754">I710</f>
        <v/>
      </c>
      <c r="J711" s="86">
        <f t="shared" si="754"/>
        <v>109</v>
      </c>
      <c r="K711" s="86">
        <f t="shared" si="754"/>
        <v>110</v>
      </c>
      <c r="L711" s="86">
        <f t="shared" si="754"/>
        <v>111</v>
      </c>
      <c r="M711" s="86">
        <f t="shared" si="754"/>
        <v>112</v>
      </c>
    </row>
    <row r="712" ht="15.75" customHeight="1">
      <c r="A712" s="69"/>
      <c r="B712" s="69"/>
      <c r="C712" s="71"/>
      <c r="D712" s="129" t="str">
        <f>if(isblank(I712),"",vlookup(I712,Pacing!$A$1:$Z$213,23))</f>
        <v/>
      </c>
      <c r="E712" s="81" t="str">
        <f>if(isblank(J712),"",vlookup(J712,Pacing!$A$1:$Z$213,23))</f>
        <v>Practice 3</v>
      </c>
      <c r="F712" s="81" t="str">
        <f>if(isblank(K712),"",vlookup(K712,Pacing!$A$1:$Z$213,23))</f>
        <v>Practice 3</v>
      </c>
      <c r="G712" s="81" t="str">
        <f>if(isblank(L712),"",vlookup(L712,Pacing!$A$1:$Z$213,23))</f>
        <v>Practice 3</v>
      </c>
      <c r="H712" s="81" t="str">
        <f>if(isblank(M712),"",vlookup(M712,Pacing!$A$1:$Z$213,23))</f>
        <v>Practice 3</v>
      </c>
      <c r="I712" s="86" t="str">
        <f t="shared" ref="I712:M712" si="755">I711</f>
        <v/>
      </c>
      <c r="J712" s="86">
        <f t="shared" si="755"/>
        <v>109</v>
      </c>
      <c r="K712" s="86">
        <f t="shared" si="755"/>
        <v>110</v>
      </c>
      <c r="L712" s="86">
        <f t="shared" si="755"/>
        <v>111</v>
      </c>
      <c r="M712" s="86">
        <f t="shared" si="755"/>
        <v>112</v>
      </c>
    </row>
    <row r="713" ht="15.75" customHeight="1">
      <c r="A713" s="69"/>
      <c r="B713" s="69"/>
      <c r="C713" s="71"/>
      <c r="D713" s="129" t="str">
        <f>if(isblank(I713),"",vlookup(I713,Pacing!$A$1:$Z$213,24))</f>
        <v/>
      </c>
      <c r="E713" s="81" t="str">
        <f>if(isblank(J713),"",vlookup(J713,Pacing!$A$1:$Z$213,24))</f>
        <v>Sum Assess</v>
      </c>
      <c r="F713" s="81" t="str">
        <f>if(isblank(K713),"",vlookup(K713,Pacing!$A$1:$Z$213,24))</f>
        <v>Sum Assess</v>
      </c>
      <c r="G713" s="81" t="str">
        <f>if(isblank(L713),"",vlookup(L713,Pacing!$A$1:$Z$213,24))</f>
        <v>Sum Assess</v>
      </c>
      <c r="H713" s="81" t="str">
        <f>if(isblank(M713),"",vlookup(M713,Pacing!$A$1:$Z$213,24))</f>
        <v>Sum Assess</v>
      </c>
      <c r="I713" s="86" t="str">
        <f t="shared" ref="I713:M713" si="756">I712</f>
        <v/>
      </c>
      <c r="J713" s="86">
        <f t="shared" si="756"/>
        <v>109</v>
      </c>
      <c r="K713" s="86">
        <f t="shared" si="756"/>
        <v>110</v>
      </c>
      <c r="L713" s="86">
        <f t="shared" si="756"/>
        <v>111</v>
      </c>
      <c r="M713" s="86">
        <f t="shared" si="756"/>
        <v>112</v>
      </c>
    </row>
    <row r="714" ht="15.75" customHeight="1">
      <c r="A714" s="69"/>
      <c r="B714" s="69"/>
      <c r="C714" s="71"/>
      <c r="D714" s="129" t="str">
        <f>if(isblank(I714),"",vlookup(I714,Pacing!$A$1:$Z$213,25))</f>
        <v/>
      </c>
      <c r="E714" s="81" t="str">
        <f>if(isblank(J714),"",vlookup(J714,Pacing!$A$1:$Z$213,25))</f>
        <v>Bank</v>
      </c>
      <c r="F714" s="81" t="str">
        <f>if(isblank(K714),"",vlookup(K714,Pacing!$A$1:$Z$213,25))</f>
        <v>Bank</v>
      </c>
      <c r="G714" s="81" t="str">
        <f>if(isblank(L714),"",vlookup(L714,Pacing!$A$1:$Z$213,25))</f>
        <v>Bank</v>
      </c>
      <c r="H714" s="81" t="str">
        <f>if(isblank(M714),"",vlookup(M714,Pacing!$A$1:$Z$213,25))</f>
        <v>Bank</v>
      </c>
      <c r="I714" s="86" t="str">
        <f t="shared" ref="I714:M714" si="757">I713</f>
        <v/>
      </c>
      <c r="J714" s="86">
        <f t="shared" si="757"/>
        <v>109</v>
      </c>
      <c r="K714" s="86">
        <f t="shared" si="757"/>
        <v>110</v>
      </c>
      <c r="L714" s="86">
        <f t="shared" si="757"/>
        <v>111</v>
      </c>
      <c r="M714" s="86">
        <f t="shared" si="757"/>
        <v>112</v>
      </c>
    </row>
    <row r="715" ht="15.75" customHeight="1">
      <c r="A715" s="69"/>
      <c r="B715" s="69"/>
      <c r="C715" s="71"/>
      <c r="D715" s="129" t="str">
        <f>if(isblank(I715),"",vlookup(I715,Pacing!$A$1:$Z$213,26))</f>
        <v/>
      </c>
      <c r="E715" s="89" t="str">
        <f>if(isblank(J715),"",vlookup(J715,Pacing!$A$1:$Z$213,26))</f>
        <v/>
      </c>
      <c r="F715" s="89" t="str">
        <f>if(isblank(K715),"",vlookup(K715,Pacing!$A$1:$Z$213,26))</f>
        <v/>
      </c>
      <c r="G715" s="89" t="str">
        <f>if(isblank(L715),"",vlookup(L715,Pacing!$A$1:$Z$213,26))</f>
        <v/>
      </c>
      <c r="H715" s="89" t="str">
        <f>if(isblank(M715),"",vlookup(M715,Pacing!$A$1:$Z$213,26))</f>
        <v/>
      </c>
      <c r="I715" s="86" t="str">
        <f t="shared" ref="I715:M715" si="758">I714</f>
        <v/>
      </c>
      <c r="J715" s="86">
        <f t="shared" si="758"/>
        <v>109</v>
      </c>
      <c r="K715" s="86">
        <f t="shared" si="758"/>
        <v>110</v>
      </c>
      <c r="L715" s="86">
        <f t="shared" si="758"/>
        <v>111</v>
      </c>
      <c r="M715" s="86">
        <f t="shared" si="758"/>
        <v>112</v>
      </c>
    </row>
    <row r="716" ht="15.75" customHeight="1">
      <c r="A716" s="137"/>
      <c r="B716" s="137"/>
      <c r="C716" s="138"/>
      <c r="D716" s="139">
        <f>H689+1</f>
        <v>113</v>
      </c>
      <c r="E716" s="139">
        <f t="shared" ref="E716:H716" si="759">D716+1</f>
        <v>114</v>
      </c>
      <c r="F716" s="139">
        <f t="shared" si="759"/>
        <v>115</v>
      </c>
      <c r="G716" s="139">
        <f t="shared" si="759"/>
        <v>116</v>
      </c>
      <c r="H716" s="139">
        <f t="shared" si="759"/>
        <v>117</v>
      </c>
      <c r="I716" s="55">
        <f t="shared" ref="I716:M716" si="760">D716</f>
        <v>113</v>
      </c>
      <c r="J716" s="55">
        <f t="shared" si="760"/>
        <v>114</v>
      </c>
      <c r="K716" s="55">
        <f t="shared" si="760"/>
        <v>115</v>
      </c>
      <c r="L716" s="55">
        <f t="shared" si="760"/>
        <v>116</v>
      </c>
      <c r="M716" s="55">
        <f t="shared" si="760"/>
        <v>117</v>
      </c>
    </row>
    <row r="717" ht="15.75" customHeight="1">
      <c r="A717" s="69">
        <f>B717+1</f>
        <v>271</v>
      </c>
      <c r="B717" s="69">
        <f t="shared" ref="B717:B724" si="762">$C$717*10</f>
        <v>270</v>
      </c>
      <c r="C717" s="71">
        <f>C690+1</f>
        <v>27</v>
      </c>
      <c r="D717" s="72">
        <f>D690+7</f>
        <v>46447</v>
      </c>
      <c r="E717" s="72">
        <f t="shared" ref="E717:H717" si="761">D717+1</f>
        <v>46448</v>
      </c>
      <c r="F717" s="72">
        <f t="shared" si="761"/>
        <v>46449</v>
      </c>
      <c r="G717" s="72">
        <f t="shared" si="761"/>
        <v>46450</v>
      </c>
      <c r="H717" s="72">
        <f t="shared" si="761"/>
        <v>46451</v>
      </c>
      <c r="I717" s="62" t="s">
        <v>42</v>
      </c>
    </row>
    <row r="718" ht="15.75" customHeight="1">
      <c r="A718" s="75">
        <f>B718+2</f>
        <v>272</v>
      </c>
      <c r="B718" s="75">
        <f t="shared" si="762"/>
        <v>270</v>
      </c>
      <c r="C718" s="76"/>
      <c r="D718" s="131" t="str">
        <f>if(isblank(I718),"",vlookup(I718,Pacing!$A$1:$Z$213,2))</f>
        <v>7.5: Complex Circuits</v>
      </c>
      <c r="E718" s="131" t="str">
        <f>if(isblank(J718),"",vlookup(J718,Pacing!$A$1:$Z$213,2))</f>
        <v>7.5: Complex Circuits</v>
      </c>
      <c r="F718" s="131" t="str">
        <f>if(isblank(K718),"",vlookup(K718,Pacing!$A$1:$Z$213,2))</f>
        <v>7.5: Complex Circuits</v>
      </c>
      <c r="G718" s="131" t="str">
        <f>if(isblank(L718),"",vlookup(L718,Pacing!$A$1:$Z$213,2))</f>
        <v>Unit 7 Sum Assess</v>
      </c>
      <c r="H718" s="131" t="str">
        <f>if(isblank(M718),"",vlookup(M718,Pacing!$A$1:$Z$213,2))</f>
        <v>8.1: Magnetic Fields</v>
      </c>
      <c r="I718" s="78">
        <f t="shared" ref="I718:M718" si="763">I716</f>
        <v>113</v>
      </c>
      <c r="J718" s="78">
        <f t="shared" si="763"/>
        <v>114</v>
      </c>
      <c r="K718" s="78">
        <f t="shared" si="763"/>
        <v>115</v>
      </c>
      <c r="L718" s="78">
        <f t="shared" si="763"/>
        <v>116</v>
      </c>
      <c r="M718" s="78">
        <f t="shared" si="763"/>
        <v>117</v>
      </c>
    </row>
    <row r="719" ht="15.75" customHeight="1">
      <c r="A719" s="69">
        <f>B719+3</f>
        <v>273</v>
      </c>
      <c r="B719" s="69">
        <f t="shared" si="762"/>
        <v>270</v>
      </c>
      <c r="C719" s="76"/>
      <c r="D719" s="81" t="str">
        <f>if(isblank(I719),"",vlookup(I719,Pacing!$A$1:$Z$213,3))</f>
        <v>Warm Up</v>
      </c>
      <c r="E719" s="81" t="str">
        <f>if(isblank(J719),"",vlookup(J719,Pacing!$A$1:$Z$213,3))</f>
        <v>Warm Up</v>
      </c>
      <c r="F719" s="81" t="str">
        <f>if(isblank(K719),"",vlookup(K719,Pacing!$A$1:$Z$213,3))</f>
        <v>Warm Up</v>
      </c>
      <c r="G719" s="89" t="str">
        <f>if(isblank(L719),"",vlookup(L719,Pacing!$A$1:$Z$213,3))</f>
        <v/>
      </c>
      <c r="H719" s="81" t="str">
        <f>if(isblank(M719),"",vlookup(M719,Pacing!$A$1:$Z$213,3))</f>
        <v>Warm Up</v>
      </c>
      <c r="I719" s="86">
        <f t="shared" ref="I719:M719" si="764">I718</f>
        <v>113</v>
      </c>
      <c r="J719" s="86">
        <f t="shared" si="764"/>
        <v>114</v>
      </c>
      <c r="K719" s="86">
        <f t="shared" si="764"/>
        <v>115</v>
      </c>
      <c r="L719" s="86">
        <f t="shared" si="764"/>
        <v>116</v>
      </c>
      <c r="M719" s="86">
        <f t="shared" si="764"/>
        <v>117</v>
      </c>
    </row>
    <row r="720" ht="15.75" customHeight="1">
      <c r="A720" s="69">
        <f>B720+4</f>
        <v>274</v>
      </c>
      <c r="B720" s="69">
        <f t="shared" si="762"/>
        <v>270</v>
      </c>
      <c r="C720" s="76"/>
      <c r="D720" s="81" t="str">
        <f>if(isblank(I720),"",vlookup(I720,Pacing!$A$1:$Z$213,4))</f>
        <v>Demo</v>
      </c>
      <c r="E720" s="81" t="str">
        <f>if(isblank(J720),"",vlookup(J720,Pacing!$A$1:$Z$213,4))</f>
        <v>Demo</v>
      </c>
      <c r="F720" s="81" t="str">
        <f>if(isblank(K720),"",vlookup(K720,Pacing!$A$1:$Z$213,4))</f>
        <v>Demo</v>
      </c>
      <c r="G720" s="89" t="str">
        <f>if(isblank(L720),"",vlookup(L720,Pacing!$A$1:$Z$213,4))</f>
        <v/>
      </c>
      <c r="H720" s="81" t="str">
        <f>if(isblank(M720),"",vlookup(M720,Pacing!$A$1:$Z$213,4))</f>
        <v>Demo</v>
      </c>
      <c r="I720" s="86">
        <f t="shared" ref="I720:M720" si="765">I719</f>
        <v>113</v>
      </c>
      <c r="J720" s="86">
        <f t="shared" si="765"/>
        <v>114</v>
      </c>
      <c r="K720" s="86">
        <f t="shared" si="765"/>
        <v>115</v>
      </c>
      <c r="L720" s="86">
        <f t="shared" si="765"/>
        <v>116</v>
      </c>
      <c r="M720" s="86">
        <f t="shared" si="765"/>
        <v>117</v>
      </c>
    </row>
    <row r="721" ht="15.75" customHeight="1">
      <c r="A721" s="69">
        <f>B721+5</f>
        <v>275</v>
      </c>
      <c r="B721" s="69">
        <f t="shared" si="762"/>
        <v>270</v>
      </c>
      <c r="C721" s="76"/>
      <c r="D721" s="81" t="str">
        <f>if(isblank(I721),"",vlookup(I721,Pacing!$A$1:$Z$213,5))</f>
        <v>Notes</v>
      </c>
      <c r="E721" s="81" t="str">
        <f>if(isblank(J721),"",vlookup(J721,Pacing!$A$1:$Z$213,5))</f>
        <v>Notes</v>
      </c>
      <c r="F721" s="81" t="str">
        <f>if(isblank(K721),"",vlookup(K721,Pacing!$A$1:$Z$213,5))</f>
        <v>Notes</v>
      </c>
      <c r="G721" s="89" t="str">
        <f>if(isblank(L721),"",vlookup(L721,Pacing!$A$1:$Z$213,5))</f>
        <v/>
      </c>
      <c r="H721" s="81" t="str">
        <f>if(isblank(M721),"",vlookup(M721,Pacing!$A$1:$Z$213,5))</f>
        <v>Notes</v>
      </c>
      <c r="I721" s="86">
        <f t="shared" ref="I721:M721" si="766">I720</f>
        <v>113</v>
      </c>
      <c r="J721" s="86">
        <f t="shared" si="766"/>
        <v>114</v>
      </c>
      <c r="K721" s="86">
        <f t="shared" si="766"/>
        <v>115</v>
      </c>
      <c r="L721" s="86">
        <f t="shared" si="766"/>
        <v>116</v>
      </c>
      <c r="M721" s="86">
        <f t="shared" si="766"/>
        <v>117</v>
      </c>
    </row>
    <row r="722" ht="15.75" customHeight="1">
      <c r="A722" s="69">
        <f>B722+6</f>
        <v>276</v>
      </c>
      <c r="B722" s="69">
        <f t="shared" si="762"/>
        <v>270</v>
      </c>
      <c r="C722" s="76"/>
      <c r="D722" s="81" t="str">
        <f>if(isblank(I722),"",vlookup(I722,Pacing!$A$1:$Z$213,6))</f>
        <v>Investigation</v>
      </c>
      <c r="E722" s="81" t="str">
        <f>if(isblank(J722),"",vlookup(J722,Pacing!$A$1:$Z$213,6))</f>
        <v>Investigation</v>
      </c>
      <c r="F722" s="81" t="str">
        <f>if(isblank(K722),"",vlookup(K722,Pacing!$A$1:$Z$213,6))</f>
        <v>Investigation</v>
      </c>
      <c r="G722" s="89" t="str">
        <f>if(isblank(L722),"",vlookup(L722,Pacing!$A$1:$Z$213,6))</f>
        <v/>
      </c>
      <c r="H722" s="81" t="str">
        <f>if(isblank(M722),"",vlookup(M722,Pacing!$A$1:$Z$213,6))</f>
        <v>Investigation</v>
      </c>
      <c r="I722" s="86">
        <f t="shared" ref="I722:M722" si="767">I721</f>
        <v>113</v>
      </c>
      <c r="J722" s="86">
        <f t="shared" si="767"/>
        <v>114</v>
      </c>
      <c r="K722" s="86">
        <f t="shared" si="767"/>
        <v>115</v>
      </c>
      <c r="L722" s="86">
        <f t="shared" si="767"/>
        <v>116</v>
      </c>
      <c r="M722" s="86">
        <f t="shared" si="767"/>
        <v>117</v>
      </c>
    </row>
    <row r="723" ht="15.75" customHeight="1">
      <c r="A723" s="69">
        <f>B723+7</f>
        <v>277</v>
      </c>
      <c r="B723" s="69">
        <f t="shared" si="762"/>
        <v>270</v>
      </c>
      <c r="C723" s="76"/>
      <c r="D723" s="81" t="str">
        <f>if(isblank(I723),"",vlookup(I723,Pacing!$A$1:$Z$213,7))</f>
        <v>Activity</v>
      </c>
      <c r="E723" s="81" t="str">
        <f>if(isblank(J723),"",vlookup(J723,Pacing!$A$1:$Z$213,7))</f>
        <v>Activity</v>
      </c>
      <c r="F723" s="81" t="str">
        <f>if(isblank(K723),"",vlookup(K723,Pacing!$A$1:$Z$213,7))</f>
        <v>Activity</v>
      </c>
      <c r="G723" s="89" t="str">
        <f>if(isblank(L723),"",vlookup(L723,Pacing!$A$1:$Z$213,7))</f>
        <v/>
      </c>
      <c r="H723" s="81" t="str">
        <f>if(isblank(M723),"",vlookup(M723,Pacing!$A$1:$Z$213,7))</f>
        <v>Activity</v>
      </c>
      <c r="I723" s="86">
        <f t="shared" ref="I723:M723" si="768">I722</f>
        <v>113</v>
      </c>
      <c r="J723" s="86">
        <f t="shared" si="768"/>
        <v>114</v>
      </c>
      <c r="K723" s="86">
        <f t="shared" si="768"/>
        <v>115</v>
      </c>
      <c r="L723" s="86">
        <f t="shared" si="768"/>
        <v>116</v>
      </c>
      <c r="M723" s="86">
        <f t="shared" si="768"/>
        <v>117</v>
      </c>
    </row>
    <row r="724" ht="15.75" customHeight="1">
      <c r="A724" s="69">
        <f>B724+8</f>
        <v>278</v>
      </c>
      <c r="B724" s="69">
        <f t="shared" si="762"/>
        <v>270</v>
      </c>
      <c r="C724" s="95"/>
      <c r="D724" s="81" t="str">
        <f>if(isblank(I724),"",vlookup(I724,Pacing!$A$1:$Z$213,8))</f>
        <v>Practice Set</v>
      </c>
      <c r="E724" s="81" t="str">
        <f>if(isblank(J724),"",vlookup(J724,Pacing!$A$1:$Z$213,8))</f>
        <v>Practice Set</v>
      </c>
      <c r="F724" s="81" t="str">
        <f>if(isblank(K724),"",vlookup(K724,Pacing!$A$1:$Z$213,8))</f>
        <v>Practice Set</v>
      </c>
      <c r="G724" s="89" t="str">
        <f>if(isblank(L724),"",vlookup(L724,Pacing!$A$1:$Z$213,8))</f>
        <v/>
      </c>
      <c r="H724" s="81" t="str">
        <f>if(isblank(M724),"",vlookup(M724,Pacing!$A$1:$Z$213,8))</f>
        <v>Practice Set</v>
      </c>
      <c r="I724" s="86">
        <f t="shared" ref="I724:M724" si="769">I723</f>
        <v>113</v>
      </c>
      <c r="J724" s="86">
        <f t="shared" si="769"/>
        <v>114</v>
      </c>
      <c r="K724" s="86">
        <f t="shared" si="769"/>
        <v>115</v>
      </c>
      <c r="L724" s="86">
        <f t="shared" si="769"/>
        <v>116</v>
      </c>
      <c r="M724" s="86">
        <f t="shared" si="769"/>
        <v>117</v>
      </c>
    </row>
    <row r="725" ht="15.75" customHeight="1">
      <c r="A725" s="69"/>
      <c r="B725" s="69"/>
      <c r="C725" s="71"/>
      <c r="D725" s="81" t="str">
        <f>if(isblank(I725),"",vlookup(I725,Pacing!$A$1:$Z$213,9))</f>
        <v>Extra Practice</v>
      </c>
      <c r="E725" s="81" t="str">
        <f>if(isblank(J725),"",vlookup(J725,Pacing!$A$1:$Z$213,9))</f>
        <v>Extra Practice</v>
      </c>
      <c r="F725" s="81" t="str">
        <f>if(isblank(K725),"",vlookup(K725,Pacing!$A$1:$Z$213,9))</f>
        <v>Extra Practice</v>
      </c>
      <c r="G725" s="89" t="str">
        <f>if(isblank(L725),"",vlookup(L725,Pacing!$A$1:$Z$213,9))</f>
        <v/>
      </c>
      <c r="H725" s="81" t="str">
        <f>if(isblank(M725),"",vlookup(M725,Pacing!$A$1:$Z$213,9))</f>
        <v>Extra Practice</v>
      </c>
      <c r="I725" s="86">
        <f t="shared" ref="I725:M725" si="770">I724</f>
        <v>113</v>
      </c>
      <c r="J725" s="86">
        <f t="shared" si="770"/>
        <v>114</v>
      </c>
      <c r="K725" s="86">
        <f t="shared" si="770"/>
        <v>115</v>
      </c>
      <c r="L725" s="86">
        <f t="shared" si="770"/>
        <v>116</v>
      </c>
      <c r="M725" s="86">
        <f t="shared" si="770"/>
        <v>117</v>
      </c>
    </row>
    <row r="726" ht="15.75" customHeight="1">
      <c r="A726" s="69"/>
      <c r="B726" s="69"/>
      <c r="C726" s="71"/>
      <c r="D726" s="81" t="str">
        <f>if(isblank(I726),"",vlookup(I726,Pacing!$A$1:$Z$213,10))</f>
        <v>CYU</v>
      </c>
      <c r="E726" s="81" t="str">
        <f>if(isblank(J726),"",vlookup(J726,Pacing!$A$1:$Z$213,10))</f>
        <v>CYU</v>
      </c>
      <c r="F726" s="81" t="str">
        <f>if(isblank(K726),"",vlookup(K726,Pacing!$A$1:$Z$213,10))</f>
        <v>CYU</v>
      </c>
      <c r="G726" s="89" t="str">
        <f>if(isblank(L726),"",vlookup(L726,Pacing!$A$1:$Z$213,10))</f>
        <v/>
      </c>
      <c r="H726" s="81" t="str">
        <f>if(isblank(M726),"",vlookup(M726,Pacing!$A$1:$Z$213,10))</f>
        <v>CYU</v>
      </c>
      <c r="I726" s="86">
        <f t="shared" ref="I726:M726" si="771">I725</f>
        <v>113</v>
      </c>
      <c r="J726" s="86">
        <f t="shared" si="771"/>
        <v>114</v>
      </c>
      <c r="K726" s="86">
        <f t="shared" si="771"/>
        <v>115</v>
      </c>
      <c r="L726" s="86">
        <f t="shared" si="771"/>
        <v>116</v>
      </c>
      <c r="M726" s="86">
        <f t="shared" si="771"/>
        <v>117</v>
      </c>
    </row>
    <row r="727" ht="15.75" customHeight="1">
      <c r="A727" s="69"/>
      <c r="B727" s="69"/>
      <c r="C727" s="71"/>
      <c r="D727" s="81" t="str">
        <f>if(isblank(I727),"",vlookup(I727,Pacing!$A$1:$Z$213,11))</f>
        <v>Progress</v>
      </c>
      <c r="E727" s="81" t="str">
        <f>if(isblank(J727),"",vlookup(J727,Pacing!$A$1:$Z$213,11))</f>
        <v>Progress</v>
      </c>
      <c r="F727" s="81" t="str">
        <f>if(isblank(K727),"",vlookup(K727,Pacing!$A$1:$Z$213,11))</f>
        <v>Progress</v>
      </c>
      <c r="G727" s="89" t="str">
        <f>if(isblank(L727),"",vlookup(L727,Pacing!$A$1:$Z$213,11))</f>
        <v/>
      </c>
      <c r="H727" s="81" t="str">
        <f>if(isblank(M727),"",vlookup(M727,Pacing!$A$1:$Z$213,11))</f>
        <v>Progress</v>
      </c>
      <c r="I727" s="86">
        <f t="shared" ref="I727:M727" si="772">I726</f>
        <v>113</v>
      </c>
      <c r="J727" s="86">
        <f t="shared" si="772"/>
        <v>114</v>
      </c>
      <c r="K727" s="86">
        <f t="shared" si="772"/>
        <v>115</v>
      </c>
      <c r="L727" s="86">
        <f t="shared" si="772"/>
        <v>116</v>
      </c>
      <c r="M727" s="86">
        <f t="shared" si="772"/>
        <v>117</v>
      </c>
    </row>
    <row r="728" ht="15.75" customHeight="1">
      <c r="A728" s="69"/>
      <c r="B728" s="69"/>
      <c r="C728" s="71"/>
      <c r="D728" s="81" t="str">
        <f>if(isblank(I728),"",vlookup(I728,Pacing!$A$1:$Z$213,12))</f>
        <v>Review</v>
      </c>
      <c r="E728" s="81" t="str">
        <f>if(isblank(J728),"",vlookup(J728,Pacing!$A$1:$Z$213,12))</f>
        <v>Review</v>
      </c>
      <c r="F728" s="81" t="str">
        <f>if(isblank(K728),"",vlookup(K728,Pacing!$A$1:$Z$213,12))</f>
        <v>Review</v>
      </c>
      <c r="G728" s="91" t="str">
        <f>if(isblank(L728),"",vlookup(L728,Pacing!$A$1:$Z$213,12))</f>
        <v/>
      </c>
      <c r="H728" s="81" t="str">
        <f>if(isblank(M728),"",vlookup(M728,Pacing!$A$1:$Z$213,12))</f>
        <v>Review</v>
      </c>
      <c r="I728" s="86">
        <f t="shared" ref="I728:M728" si="773">I727</f>
        <v>113</v>
      </c>
      <c r="J728" s="86">
        <f t="shared" si="773"/>
        <v>114</v>
      </c>
      <c r="K728" s="86">
        <f t="shared" si="773"/>
        <v>115</v>
      </c>
      <c r="L728" s="86">
        <f t="shared" si="773"/>
        <v>116</v>
      </c>
      <c r="M728" s="86">
        <f t="shared" si="773"/>
        <v>117</v>
      </c>
    </row>
    <row r="729" ht="15.75" customHeight="1">
      <c r="A729" s="69"/>
      <c r="B729" s="69"/>
      <c r="C729" s="71"/>
      <c r="D729" s="91" t="str">
        <f>if(isblank(I729),"",vlookup(I729,Pacing!$A$1:$Z$213,13))</f>
        <v/>
      </c>
      <c r="E729" s="91" t="str">
        <f>if(isblank(J729),"",vlookup(J729,Pacing!$A$1:$Z$213,13))</f>
        <v/>
      </c>
      <c r="F729" s="91" t="str">
        <f>if(isblank(K729),"",vlookup(K729,Pacing!$A$1:$Z$213,13))</f>
        <v/>
      </c>
      <c r="G729" s="91" t="str">
        <f>if(isblank(L729),"",vlookup(L729,Pacing!$A$1:$Z$213,13))</f>
        <v/>
      </c>
      <c r="H729" s="91" t="str">
        <f>if(isblank(M729),"",vlookup(M729,Pacing!$A$1:$Z$213,13))</f>
        <v/>
      </c>
      <c r="I729" s="86">
        <f t="shared" ref="I729:M729" si="774">I728</f>
        <v>113</v>
      </c>
      <c r="J729" s="86">
        <f t="shared" si="774"/>
        <v>114</v>
      </c>
      <c r="K729" s="86">
        <f t="shared" si="774"/>
        <v>115</v>
      </c>
      <c r="L729" s="86">
        <f t="shared" si="774"/>
        <v>116</v>
      </c>
      <c r="M729" s="86">
        <f t="shared" si="774"/>
        <v>117</v>
      </c>
    </row>
    <row r="730" ht="15.75" customHeight="1">
      <c r="A730" s="69"/>
      <c r="B730" s="69"/>
      <c r="C730" s="71"/>
      <c r="D730" s="81" t="str">
        <f>if(isblank(I730),"",vlookup(I730,Pacing!$A$1:$Z$213,14))</f>
        <v>Notes Teacher</v>
      </c>
      <c r="E730" s="81" t="str">
        <f>if(isblank(J730),"",vlookup(J730,Pacing!$A$1:$Z$213,14))</f>
        <v>Notes Teacher</v>
      </c>
      <c r="F730" s="81" t="str">
        <f>if(isblank(K730),"",vlookup(K730,Pacing!$A$1:$Z$213,14))</f>
        <v>Notes Teacher</v>
      </c>
      <c r="G730" s="81" t="str">
        <f>if(isblank(L730),"",vlookup(L730,Pacing!$A$1:$Z$213,14))</f>
        <v>Sum Assess</v>
      </c>
      <c r="H730" s="81" t="str">
        <f>if(isblank(M730),"",vlookup(M730,Pacing!$A$1:$Z$213,14))</f>
        <v>Notes Teacher</v>
      </c>
      <c r="I730" s="86">
        <f t="shared" ref="I730:M730" si="775">I729</f>
        <v>113</v>
      </c>
      <c r="J730" s="86">
        <f t="shared" si="775"/>
        <v>114</v>
      </c>
      <c r="K730" s="86">
        <f t="shared" si="775"/>
        <v>115</v>
      </c>
      <c r="L730" s="86">
        <f t="shared" si="775"/>
        <v>116</v>
      </c>
      <c r="M730" s="86">
        <f t="shared" si="775"/>
        <v>117</v>
      </c>
    </row>
    <row r="731" ht="15.75" customHeight="1">
      <c r="A731" s="69"/>
      <c r="B731" s="69"/>
      <c r="C731" s="71"/>
      <c r="D731" s="81" t="str">
        <f>if(isblank(I731),"",vlookup(I731,Pacing!$A$1:$Z$213,15))</f>
        <v>Demo Teacher</v>
      </c>
      <c r="E731" s="81" t="str">
        <f>if(isblank(J731),"",vlookup(J731,Pacing!$A$1:$Z$213,15))</f>
        <v>Demo Teacher</v>
      </c>
      <c r="F731" s="81" t="str">
        <f>if(isblank(K731),"",vlookup(K731,Pacing!$A$1:$Z$213,15))</f>
        <v>Demo Teacher</v>
      </c>
      <c r="G731" s="81" t="str">
        <f>if(isblank(L731),"",vlookup(L731,Pacing!$A$1:$Z$213,15))</f>
        <v>Bank</v>
      </c>
      <c r="H731" s="81" t="str">
        <f>if(isblank(M731),"",vlookup(M731,Pacing!$A$1:$Z$213,15))</f>
        <v>Demo Teacher</v>
      </c>
      <c r="I731" s="86">
        <f t="shared" ref="I731:M731" si="776">I730</f>
        <v>113</v>
      </c>
      <c r="J731" s="86">
        <f t="shared" si="776"/>
        <v>114</v>
      </c>
      <c r="K731" s="86">
        <f t="shared" si="776"/>
        <v>115</v>
      </c>
      <c r="L731" s="86">
        <f t="shared" si="776"/>
        <v>116</v>
      </c>
      <c r="M731" s="86">
        <f t="shared" si="776"/>
        <v>117</v>
      </c>
    </row>
    <row r="732" ht="15.75" customHeight="1">
      <c r="A732" s="69"/>
      <c r="B732" s="69"/>
      <c r="C732" s="71"/>
      <c r="D732" s="81" t="str">
        <f>if(isblank(I732),"",vlookup(I732,Pacing!$A$1:$Z$213,16))</f>
        <v>Invest Teacher</v>
      </c>
      <c r="E732" s="81" t="str">
        <f>if(isblank(J732),"",vlookup(J732,Pacing!$A$1:$Z$213,16))</f>
        <v>Invest Teacher</v>
      </c>
      <c r="F732" s="81" t="str">
        <f>if(isblank(K732),"",vlookup(K732,Pacing!$A$1:$Z$213,16))</f>
        <v>Invest Teacher</v>
      </c>
      <c r="G732" s="81" t="str">
        <f>if(isblank(L732),"",vlookup(L732,Pacing!$A$1:$Z$213,16))</f>
        <v>Assess Plan</v>
      </c>
      <c r="H732" s="81" t="str">
        <f>if(isblank(M732),"",vlookup(M732,Pacing!$A$1:$Z$213,16))</f>
        <v>Invest Teacher</v>
      </c>
      <c r="I732" s="86">
        <f t="shared" ref="I732:M732" si="777">I731</f>
        <v>113</v>
      </c>
      <c r="J732" s="86">
        <f t="shared" si="777"/>
        <v>114</v>
      </c>
      <c r="K732" s="86">
        <f t="shared" si="777"/>
        <v>115</v>
      </c>
      <c r="L732" s="86">
        <f t="shared" si="777"/>
        <v>116</v>
      </c>
      <c r="M732" s="86">
        <f t="shared" si="777"/>
        <v>117</v>
      </c>
    </row>
    <row r="733" ht="15.75" customHeight="1">
      <c r="A733" s="69"/>
      <c r="B733" s="69"/>
      <c r="C733" s="71"/>
      <c r="D733" s="81" t="str">
        <f>if(isblank(I733),"",vlookup(I733,Pacing!$A$1:$Z$213,17))</f>
        <v>PT Teacher</v>
      </c>
      <c r="E733" s="81" t="str">
        <f>if(isblank(J733),"",vlookup(J733,Pacing!$A$1:$Z$213,17))</f>
        <v>PT Teacher</v>
      </c>
      <c r="F733" s="81" t="str">
        <f>if(isblank(K733),"",vlookup(K733,Pacing!$A$1:$Z$213,17))</f>
        <v>PT Teacher</v>
      </c>
      <c r="G733" s="89" t="str">
        <f>if(isblank(L733),"",vlookup(L733,Pacing!$A$1:$Z$213,17))</f>
        <v/>
      </c>
      <c r="H733" s="81" t="str">
        <f>if(isblank(M733),"",vlookup(M733,Pacing!$A$1:$Z$213,17))</f>
        <v>PT Teacher</v>
      </c>
      <c r="I733" s="86">
        <f t="shared" ref="I733:M733" si="778">I732</f>
        <v>113</v>
      </c>
      <c r="J733" s="86">
        <f t="shared" si="778"/>
        <v>114</v>
      </c>
      <c r="K733" s="86">
        <f t="shared" si="778"/>
        <v>115</v>
      </c>
      <c r="L733" s="86">
        <f t="shared" si="778"/>
        <v>116</v>
      </c>
      <c r="M733" s="86">
        <f t="shared" si="778"/>
        <v>117</v>
      </c>
    </row>
    <row r="734" ht="15.75" customHeight="1">
      <c r="A734" s="69"/>
      <c r="B734" s="69"/>
      <c r="C734" s="71"/>
      <c r="D734" s="81" t="str">
        <f>if(isblank(I734),"",vlookup(I734,Pacing!$A$1:$Z$213,18))</f>
        <v>Assess Plan</v>
      </c>
      <c r="E734" s="81" t="str">
        <f>if(isblank(J734),"",vlookup(J734,Pacing!$A$1:$Z$213,18))</f>
        <v>Assess Plan</v>
      </c>
      <c r="F734" s="81" t="str">
        <f>if(isblank(K734),"",vlookup(K734,Pacing!$A$1:$Z$213,18))</f>
        <v>Assess Plan</v>
      </c>
      <c r="G734" s="81" t="str">
        <f>if(isblank(L734),"",vlookup(L734,Pacing!$A$1:$Z$213,18))</f>
        <v/>
      </c>
      <c r="H734" s="81" t="str">
        <f>if(isblank(M734),"",vlookup(M734,Pacing!$A$1:$Z$213,18))</f>
        <v>Assess Plan</v>
      </c>
      <c r="I734" s="86">
        <f t="shared" ref="I734:M734" si="779">I733</f>
        <v>113</v>
      </c>
      <c r="J734" s="86">
        <f t="shared" si="779"/>
        <v>114</v>
      </c>
      <c r="K734" s="86">
        <f t="shared" si="779"/>
        <v>115</v>
      </c>
      <c r="L734" s="86">
        <f t="shared" si="779"/>
        <v>116</v>
      </c>
      <c r="M734" s="86">
        <f t="shared" si="779"/>
        <v>117</v>
      </c>
    </row>
    <row r="735" ht="15.75" customHeight="1">
      <c r="A735" s="69"/>
      <c r="B735" s="69"/>
      <c r="C735" s="71"/>
      <c r="D735" s="81" t="str">
        <f>if(isblank(I735),"",vlookup(I735,Pacing!$A$1:$Z$213,19))</f>
        <v>Perform Task</v>
      </c>
      <c r="E735" s="81" t="str">
        <f>if(isblank(J735),"",vlookup(J735,Pacing!$A$1:$Z$213,19))</f>
        <v>Perform Task</v>
      </c>
      <c r="F735" s="81" t="str">
        <f>if(isblank(K735),"",vlookup(K735,Pacing!$A$1:$Z$213,19))</f>
        <v>Perform Task</v>
      </c>
      <c r="G735" s="89" t="str">
        <f>if(isblank(L735),"",vlookup(L735,Pacing!$A$1:$Z$213,19))</f>
        <v/>
      </c>
      <c r="H735" s="81" t="str">
        <f>if(isblank(M735),"",vlookup(M735,Pacing!$A$1:$Z$213,19))</f>
        <v>Perform Task</v>
      </c>
      <c r="I735" s="86">
        <f t="shared" ref="I735:M735" si="780">I734</f>
        <v>113</v>
      </c>
      <c r="J735" s="86">
        <f t="shared" si="780"/>
        <v>114</v>
      </c>
      <c r="K735" s="86">
        <f t="shared" si="780"/>
        <v>115</v>
      </c>
      <c r="L735" s="86">
        <f t="shared" si="780"/>
        <v>116</v>
      </c>
      <c r="M735" s="86">
        <f t="shared" si="780"/>
        <v>117</v>
      </c>
    </row>
    <row r="736" ht="15.75" customHeight="1">
      <c r="A736" s="69"/>
      <c r="B736" s="69"/>
      <c r="C736" s="71"/>
      <c r="D736" s="81" t="str">
        <f>if(isblank(I736),"",vlookup(I736,Pacing!$A$1:$Z$213,20))</f>
        <v>Quick Check</v>
      </c>
      <c r="E736" s="81" t="str">
        <f>if(isblank(J736),"",vlookup(J736,Pacing!$A$1:$Z$213,20))</f>
        <v>Quick Check</v>
      </c>
      <c r="F736" s="81" t="str">
        <f>if(isblank(K736),"",vlookup(K736,Pacing!$A$1:$Z$213,20))</f>
        <v>Quick Check</v>
      </c>
      <c r="G736" s="89" t="str">
        <f>if(isblank(L736),"",vlookup(L736,Pacing!$A$1:$Z$213,20))</f>
        <v/>
      </c>
      <c r="H736" s="81" t="str">
        <f>if(isblank(M736),"",vlookup(M736,Pacing!$A$1:$Z$213,20))</f>
        <v>Quick Check</v>
      </c>
      <c r="I736" s="86">
        <f t="shared" ref="I736:M736" si="781">I735</f>
        <v>113</v>
      </c>
      <c r="J736" s="86">
        <f t="shared" si="781"/>
        <v>114</v>
      </c>
      <c r="K736" s="86">
        <f t="shared" si="781"/>
        <v>115</v>
      </c>
      <c r="L736" s="86">
        <f t="shared" si="781"/>
        <v>116</v>
      </c>
      <c r="M736" s="86">
        <f t="shared" si="781"/>
        <v>117</v>
      </c>
    </row>
    <row r="737" ht="15.75" customHeight="1">
      <c r="A737" s="69"/>
      <c r="B737" s="69"/>
      <c r="C737" s="71"/>
      <c r="D737" s="81" t="str">
        <f>if(isblank(I737),"",vlookup(I737,Pacing!$A$1:$Z$213,21))</f>
        <v>Exit Ticket</v>
      </c>
      <c r="E737" s="81" t="str">
        <f>if(isblank(J737),"",vlookup(J737,Pacing!$A$1:$Z$213,21))</f>
        <v>Exit Ticket</v>
      </c>
      <c r="F737" s="81" t="str">
        <f>if(isblank(K737),"",vlookup(K737,Pacing!$A$1:$Z$213,21))</f>
        <v>Exit Ticket</v>
      </c>
      <c r="G737" s="81" t="str">
        <f>if(isblank(L737),"",vlookup(L737,Pacing!$A$1:$Z$213,21))</f>
        <v/>
      </c>
      <c r="H737" s="81" t="str">
        <f>if(isblank(M737),"",vlookup(M737,Pacing!$A$1:$Z$213,21))</f>
        <v>Exit Ticket</v>
      </c>
      <c r="I737" s="86">
        <f t="shared" ref="I737:M737" si="782">I736</f>
        <v>113</v>
      </c>
      <c r="J737" s="86">
        <f t="shared" si="782"/>
        <v>114</v>
      </c>
      <c r="K737" s="86">
        <f t="shared" si="782"/>
        <v>115</v>
      </c>
      <c r="L737" s="86">
        <f t="shared" si="782"/>
        <v>116</v>
      </c>
      <c r="M737" s="86">
        <f t="shared" si="782"/>
        <v>117</v>
      </c>
    </row>
    <row r="738" ht="15.75" customHeight="1">
      <c r="A738" s="69"/>
      <c r="B738" s="69"/>
      <c r="C738" s="71"/>
      <c r="D738" s="81" t="str">
        <f>if(isblank(I738),"",vlookup(I738,Pacing!$A$1:$Z$213,22))</f>
        <v>Practice 2</v>
      </c>
      <c r="E738" s="81" t="str">
        <f>if(isblank(J738),"",vlookup(J738,Pacing!$A$1:$Z$213,22))</f>
        <v>Practice 2</v>
      </c>
      <c r="F738" s="81" t="str">
        <f>if(isblank(K738),"",vlookup(K738,Pacing!$A$1:$Z$213,22))</f>
        <v>Practice 2</v>
      </c>
      <c r="G738" s="91" t="str">
        <f>if(isblank(L738),"",vlookup(L738,Pacing!$A$1:$Z$213,22))</f>
        <v/>
      </c>
      <c r="H738" s="81" t="str">
        <f>if(isblank(M738),"",vlookup(M738,Pacing!$A$1:$Z$213,22))</f>
        <v>Practice 2</v>
      </c>
      <c r="I738" s="86">
        <f t="shared" ref="I738:M738" si="783">I737</f>
        <v>113</v>
      </c>
      <c r="J738" s="86">
        <f t="shared" si="783"/>
        <v>114</v>
      </c>
      <c r="K738" s="86">
        <f t="shared" si="783"/>
        <v>115</v>
      </c>
      <c r="L738" s="86">
        <f t="shared" si="783"/>
        <v>116</v>
      </c>
      <c r="M738" s="86">
        <f t="shared" si="783"/>
        <v>117</v>
      </c>
    </row>
    <row r="739" ht="15.75" customHeight="1">
      <c r="A739" s="69"/>
      <c r="B739" s="69"/>
      <c r="C739" s="71"/>
      <c r="D739" s="81" t="str">
        <f>if(isblank(I739),"",vlookup(I739,Pacing!$A$1:$Z$213,23))</f>
        <v>Practice 3</v>
      </c>
      <c r="E739" s="81" t="str">
        <f>if(isblank(J739),"",vlookup(J739,Pacing!$A$1:$Z$213,23))</f>
        <v>Practice 3</v>
      </c>
      <c r="F739" s="81" t="str">
        <f>if(isblank(K739),"",vlookup(K739,Pacing!$A$1:$Z$213,23))</f>
        <v>Practice 3</v>
      </c>
      <c r="G739" s="89" t="str">
        <f>if(isblank(L739),"",vlookup(L739,Pacing!$A$1:$Z$213,23))</f>
        <v/>
      </c>
      <c r="H739" s="81" t="str">
        <f>if(isblank(M739),"",vlookup(M739,Pacing!$A$1:$Z$213,23))</f>
        <v>Practice 3</v>
      </c>
      <c r="I739" s="86">
        <f t="shared" ref="I739:M739" si="784">I738</f>
        <v>113</v>
      </c>
      <c r="J739" s="86">
        <f t="shared" si="784"/>
        <v>114</v>
      </c>
      <c r="K739" s="86">
        <f t="shared" si="784"/>
        <v>115</v>
      </c>
      <c r="L739" s="86">
        <f t="shared" si="784"/>
        <v>116</v>
      </c>
      <c r="M739" s="86">
        <f t="shared" si="784"/>
        <v>117</v>
      </c>
    </row>
    <row r="740" ht="15.75" customHeight="1">
      <c r="A740" s="69"/>
      <c r="B740" s="69"/>
      <c r="C740" s="71"/>
      <c r="D740" s="81" t="str">
        <f>if(isblank(I740),"",vlookup(I740,Pacing!$A$1:$Z$213,24))</f>
        <v>Sum Assess</v>
      </c>
      <c r="E740" s="81" t="str">
        <f>if(isblank(J740),"",vlookup(J740,Pacing!$A$1:$Z$213,24))</f>
        <v>Sum Assess</v>
      </c>
      <c r="F740" s="81" t="str">
        <f>if(isblank(K740),"",vlookup(K740,Pacing!$A$1:$Z$213,24))</f>
        <v>Sum Assess</v>
      </c>
      <c r="G740" s="81" t="str">
        <f>if(isblank(L740),"",vlookup(L740,Pacing!$A$1:$Z$213,24))</f>
        <v/>
      </c>
      <c r="H740" s="81" t="str">
        <f>if(isblank(M740),"",vlookup(M740,Pacing!$A$1:$Z$213,24))</f>
        <v>Sum Assess</v>
      </c>
      <c r="I740" s="86">
        <f t="shared" ref="I740:M740" si="785">I739</f>
        <v>113</v>
      </c>
      <c r="J740" s="86">
        <f t="shared" si="785"/>
        <v>114</v>
      </c>
      <c r="K740" s="86">
        <f t="shared" si="785"/>
        <v>115</v>
      </c>
      <c r="L740" s="86">
        <f t="shared" si="785"/>
        <v>116</v>
      </c>
      <c r="M740" s="86">
        <f t="shared" si="785"/>
        <v>117</v>
      </c>
    </row>
    <row r="741" ht="15.75" customHeight="1">
      <c r="A741" s="69"/>
      <c r="B741" s="69"/>
      <c r="C741" s="71"/>
      <c r="D741" s="81" t="str">
        <f>if(isblank(I741),"",vlookup(I741,Pacing!$A$1:$Z$213,25))</f>
        <v>Bank</v>
      </c>
      <c r="E741" s="81" t="str">
        <f>if(isblank(J741),"",vlookup(J741,Pacing!$A$1:$Z$213,25))</f>
        <v>Bank</v>
      </c>
      <c r="F741" s="81" t="str">
        <f>if(isblank(K741),"",vlookup(K741,Pacing!$A$1:$Z$213,25))</f>
        <v>Bank</v>
      </c>
      <c r="G741" s="81" t="str">
        <f>if(isblank(L741),"",vlookup(L741,Pacing!$A$1:$Z$213,25))</f>
        <v/>
      </c>
      <c r="H741" s="81" t="str">
        <f>if(isblank(M741),"",vlookup(M741,Pacing!$A$1:$Z$213,25))</f>
        <v>Bank</v>
      </c>
      <c r="I741" s="86">
        <f t="shared" ref="I741:M741" si="786">I740</f>
        <v>113</v>
      </c>
      <c r="J741" s="86">
        <f t="shared" si="786"/>
        <v>114</v>
      </c>
      <c r="K741" s="86">
        <f t="shared" si="786"/>
        <v>115</v>
      </c>
      <c r="L741" s="86">
        <f t="shared" si="786"/>
        <v>116</v>
      </c>
      <c r="M741" s="86">
        <f t="shared" si="786"/>
        <v>117</v>
      </c>
    </row>
    <row r="742" ht="15.75" customHeight="1">
      <c r="A742" s="69"/>
      <c r="B742" s="69"/>
      <c r="C742" s="71"/>
      <c r="D742" s="91" t="str">
        <f>if(isblank(I742),"",vlookup(I742,Pacing!$A$1:$Z$213,26))</f>
        <v/>
      </c>
      <c r="E742" s="89" t="str">
        <f>if(isblank(J742),"",vlookup(J742,Pacing!$A$1:$Z$213,26))</f>
        <v/>
      </c>
      <c r="F742" s="89" t="str">
        <f>if(isblank(K742),"",vlookup(K742,Pacing!$A$1:$Z$213,26))</f>
        <v/>
      </c>
      <c r="G742" s="89" t="str">
        <f>if(isblank(L742),"",vlookup(L742,Pacing!$A$1:$Z$213,26))</f>
        <v/>
      </c>
      <c r="H742" s="89" t="str">
        <f>if(isblank(M742),"",vlookup(M742,Pacing!$A$1:$Z$213,26))</f>
        <v/>
      </c>
      <c r="I742" s="86">
        <f t="shared" ref="I742:M742" si="787">I741</f>
        <v>113</v>
      </c>
      <c r="J742" s="86">
        <f t="shared" si="787"/>
        <v>114</v>
      </c>
      <c r="K742" s="86">
        <f t="shared" si="787"/>
        <v>115</v>
      </c>
      <c r="L742" s="86">
        <f t="shared" si="787"/>
        <v>116</v>
      </c>
      <c r="M742" s="86">
        <f t="shared" si="787"/>
        <v>117</v>
      </c>
    </row>
    <row r="743" ht="15.75" customHeight="1">
      <c r="A743" s="137"/>
      <c r="B743" s="137"/>
      <c r="C743" s="138"/>
      <c r="D743" s="139">
        <f>H716+1</f>
        <v>118</v>
      </c>
      <c r="E743" s="139">
        <f t="shared" ref="E743:H743" si="788">D743+1</f>
        <v>119</v>
      </c>
      <c r="F743" s="139">
        <f t="shared" si="788"/>
        <v>120</v>
      </c>
      <c r="G743" s="139">
        <f t="shared" si="788"/>
        <v>121</v>
      </c>
      <c r="H743" s="139">
        <f t="shared" si="788"/>
        <v>122</v>
      </c>
      <c r="I743" s="55">
        <f t="shared" ref="I743:M743" si="789">D743</f>
        <v>118</v>
      </c>
      <c r="J743" s="55">
        <f t="shared" si="789"/>
        <v>119</v>
      </c>
      <c r="K743" s="55">
        <f t="shared" si="789"/>
        <v>120</v>
      </c>
      <c r="L743" s="55">
        <f t="shared" si="789"/>
        <v>121</v>
      </c>
      <c r="M743" s="55">
        <f t="shared" si="789"/>
        <v>122</v>
      </c>
    </row>
    <row r="744" ht="15.75" customHeight="1">
      <c r="A744" s="69">
        <f>B744+1</f>
        <v>281</v>
      </c>
      <c r="B744" s="69">
        <f t="shared" ref="B744:B751" si="791">$C$744*10</f>
        <v>280</v>
      </c>
      <c r="C744" s="71">
        <f>C717+1</f>
        <v>28</v>
      </c>
      <c r="D744" s="72">
        <f>D717+7</f>
        <v>46454</v>
      </c>
      <c r="E744" s="72">
        <f t="shared" ref="E744:H744" si="790">D744+1</f>
        <v>46455</v>
      </c>
      <c r="F744" s="72">
        <f t="shared" si="790"/>
        <v>46456</v>
      </c>
      <c r="G744" s="72">
        <f t="shared" si="790"/>
        <v>46457</v>
      </c>
      <c r="H744" s="72">
        <f t="shared" si="790"/>
        <v>46458</v>
      </c>
      <c r="I744" s="62" t="s">
        <v>42</v>
      </c>
    </row>
    <row r="745" ht="15.75" customHeight="1">
      <c r="A745" s="75">
        <f>B745+2</f>
        <v>282</v>
      </c>
      <c r="B745" s="75">
        <f t="shared" si="791"/>
        <v>280</v>
      </c>
      <c r="C745" s="76"/>
      <c r="D745" s="131" t="str">
        <f>if(isblank(I745),"",vlookup(I745,Pacing!$A$1:$Z$213,2))</f>
        <v>8.1: Magnetic Fields</v>
      </c>
      <c r="E745" s="131" t="str">
        <f>if(isblank(J745),"",vlookup(J745,Pacing!$A$1:$Z$213,2))</f>
        <v>8.1: Magnetic Fields</v>
      </c>
      <c r="F745" s="131" t="str">
        <f>if(isblank(K745),"",vlookup(K745,Pacing!$A$1:$Z$213,2))</f>
        <v>8.2: E &amp; Magnetism</v>
      </c>
      <c r="G745" s="131" t="str">
        <f>if(isblank(L745),"",vlookup(L745,Pacing!$A$1:$Z$213,2))</f>
        <v>8.2: E &amp; Magnetism</v>
      </c>
      <c r="H745" s="131" t="str">
        <f>if(isblank(M745),"",vlookup(M745,Pacing!$A$1:$Z$213,2))</f>
        <v>8.2: E &amp; Magnetism</v>
      </c>
      <c r="I745" s="78">
        <f t="shared" ref="I745:M745" si="792">I743</f>
        <v>118</v>
      </c>
      <c r="J745" s="78">
        <f t="shared" si="792"/>
        <v>119</v>
      </c>
      <c r="K745" s="78">
        <f t="shared" si="792"/>
        <v>120</v>
      </c>
      <c r="L745" s="78">
        <f t="shared" si="792"/>
        <v>121</v>
      </c>
      <c r="M745" s="78">
        <f t="shared" si="792"/>
        <v>122</v>
      </c>
    </row>
    <row r="746" ht="15.75" customHeight="1">
      <c r="A746" s="69">
        <f>B746+3</f>
        <v>283</v>
      </c>
      <c r="B746" s="69">
        <f t="shared" si="791"/>
        <v>280</v>
      </c>
      <c r="C746" s="76"/>
      <c r="D746" s="81" t="str">
        <f>if(isblank(I746),"",vlookup(I746,Pacing!$A$1:$Z$213,3))</f>
        <v>Warm Up</v>
      </c>
      <c r="E746" s="81" t="str">
        <f>if(isblank(J746),"",vlookup(J746,Pacing!$A$1:$Z$213,3))</f>
        <v>Warm Up</v>
      </c>
      <c r="F746" s="81" t="str">
        <f>if(isblank(K746),"",vlookup(K746,Pacing!$A$1:$Z$213,3))</f>
        <v>Warm Up</v>
      </c>
      <c r="G746" s="81" t="str">
        <f>if(isblank(L746),"",vlookup(L746,Pacing!$A$1:$Z$213,3))</f>
        <v>Warm Up</v>
      </c>
      <c r="H746" s="81" t="str">
        <f>if(isblank(M746),"",vlookup(M746,Pacing!$A$1:$Z$213,3))</f>
        <v>Warm Up</v>
      </c>
      <c r="I746" s="86">
        <f t="shared" ref="I746:M746" si="793">I745</f>
        <v>118</v>
      </c>
      <c r="J746" s="86">
        <f t="shared" si="793"/>
        <v>119</v>
      </c>
      <c r="K746" s="86">
        <f t="shared" si="793"/>
        <v>120</v>
      </c>
      <c r="L746" s="86">
        <f t="shared" si="793"/>
        <v>121</v>
      </c>
      <c r="M746" s="86">
        <f t="shared" si="793"/>
        <v>122</v>
      </c>
    </row>
    <row r="747" ht="15.75" customHeight="1">
      <c r="A747" s="69">
        <f>B747+4</f>
        <v>284</v>
      </c>
      <c r="B747" s="69">
        <f t="shared" si="791"/>
        <v>280</v>
      </c>
      <c r="C747" s="76"/>
      <c r="D747" s="81" t="str">
        <f>if(isblank(I747),"",vlookup(I747,Pacing!$A$1:$Z$213,4))</f>
        <v>Demo</v>
      </c>
      <c r="E747" s="81" t="str">
        <f>if(isblank(J747),"",vlookup(J747,Pacing!$A$1:$Z$213,4))</f>
        <v>Demo</v>
      </c>
      <c r="F747" s="81" t="str">
        <f>if(isblank(K747),"",vlookup(K747,Pacing!$A$1:$Z$213,4))</f>
        <v>Demo</v>
      </c>
      <c r="G747" s="81" t="str">
        <f>if(isblank(L747),"",vlookup(L747,Pacing!$A$1:$Z$213,4))</f>
        <v>Demo</v>
      </c>
      <c r="H747" s="81" t="str">
        <f>if(isblank(M747),"",vlookup(M747,Pacing!$A$1:$Z$213,4))</f>
        <v>Demo</v>
      </c>
      <c r="I747" s="86">
        <f t="shared" ref="I747:M747" si="794">I746</f>
        <v>118</v>
      </c>
      <c r="J747" s="86">
        <f t="shared" si="794"/>
        <v>119</v>
      </c>
      <c r="K747" s="86">
        <f t="shared" si="794"/>
        <v>120</v>
      </c>
      <c r="L747" s="86">
        <f t="shared" si="794"/>
        <v>121</v>
      </c>
      <c r="M747" s="86">
        <f t="shared" si="794"/>
        <v>122</v>
      </c>
    </row>
    <row r="748" ht="15.75" customHeight="1">
      <c r="A748" s="69">
        <f>B748+5</f>
        <v>285</v>
      </c>
      <c r="B748" s="69">
        <f t="shared" si="791"/>
        <v>280</v>
      </c>
      <c r="C748" s="76"/>
      <c r="D748" s="81" t="str">
        <f>if(isblank(I748),"",vlookup(I748,Pacing!$A$1:$Z$213,5))</f>
        <v>Notes</v>
      </c>
      <c r="E748" s="81" t="str">
        <f>if(isblank(J748),"",vlookup(J748,Pacing!$A$1:$Z$213,5))</f>
        <v>Notes</v>
      </c>
      <c r="F748" s="81" t="str">
        <f>if(isblank(K748),"",vlookup(K748,Pacing!$A$1:$Z$213,5))</f>
        <v>Notes</v>
      </c>
      <c r="G748" s="81" t="str">
        <f>if(isblank(L748),"",vlookup(L748,Pacing!$A$1:$Z$213,5))</f>
        <v>Notes</v>
      </c>
      <c r="H748" s="81" t="str">
        <f>if(isblank(M748),"",vlookup(M748,Pacing!$A$1:$Z$213,5))</f>
        <v>Notes</v>
      </c>
      <c r="I748" s="86">
        <f t="shared" ref="I748:M748" si="795">I747</f>
        <v>118</v>
      </c>
      <c r="J748" s="86">
        <f t="shared" si="795"/>
        <v>119</v>
      </c>
      <c r="K748" s="86">
        <f t="shared" si="795"/>
        <v>120</v>
      </c>
      <c r="L748" s="86">
        <f t="shared" si="795"/>
        <v>121</v>
      </c>
      <c r="M748" s="86">
        <f t="shared" si="795"/>
        <v>122</v>
      </c>
    </row>
    <row r="749" ht="15.75" customHeight="1">
      <c r="A749" s="69">
        <f>B749+6</f>
        <v>286</v>
      </c>
      <c r="B749" s="69">
        <f t="shared" si="791"/>
        <v>280</v>
      </c>
      <c r="C749" s="76"/>
      <c r="D749" s="81" t="str">
        <f>if(isblank(I749),"",vlookup(I749,Pacing!$A$1:$Z$213,6))</f>
        <v>Investigation</v>
      </c>
      <c r="E749" s="81" t="str">
        <f>if(isblank(J749),"",vlookup(J749,Pacing!$A$1:$Z$213,6))</f>
        <v>Investigation</v>
      </c>
      <c r="F749" s="81" t="str">
        <f>if(isblank(K749),"",vlookup(K749,Pacing!$A$1:$Z$213,6))</f>
        <v>Investigation</v>
      </c>
      <c r="G749" s="81" t="str">
        <f>if(isblank(L749),"",vlookup(L749,Pacing!$A$1:$Z$213,6))</f>
        <v>Investigation</v>
      </c>
      <c r="H749" s="81" t="str">
        <f>if(isblank(M749),"",vlookup(M749,Pacing!$A$1:$Z$213,6))</f>
        <v>Investigation</v>
      </c>
      <c r="I749" s="86">
        <f t="shared" ref="I749:M749" si="796">I748</f>
        <v>118</v>
      </c>
      <c r="J749" s="86">
        <f t="shared" si="796"/>
        <v>119</v>
      </c>
      <c r="K749" s="86">
        <f t="shared" si="796"/>
        <v>120</v>
      </c>
      <c r="L749" s="86">
        <f t="shared" si="796"/>
        <v>121</v>
      </c>
      <c r="M749" s="86">
        <f t="shared" si="796"/>
        <v>122</v>
      </c>
    </row>
    <row r="750" ht="15.75" customHeight="1">
      <c r="A750" s="69">
        <f>B750+7</f>
        <v>287</v>
      </c>
      <c r="B750" s="69">
        <f t="shared" si="791"/>
        <v>280</v>
      </c>
      <c r="C750" s="76"/>
      <c r="D750" s="81" t="str">
        <f>if(isblank(I750),"",vlookup(I750,Pacing!$A$1:$Z$213,7))</f>
        <v>Activity</v>
      </c>
      <c r="E750" s="81" t="str">
        <f>if(isblank(J750),"",vlookup(J750,Pacing!$A$1:$Z$213,7))</f>
        <v>Activity</v>
      </c>
      <c r="F750" s="81" t="str">
        <f>if(isblank(K750),"",vlookup(K750,Pacing!$A$1:$Z$213,7))</f>
        <v>Activity</v>
      </c>
      <c r="G750" s="81" t="str">
        <f>if(isblank(L750),"",vlookup(L750,Pacing!$A$1:$Z$213,7))</f>
        <v>Activity</v>
      </c>
      <c r="H750" s="81" t="str">
        <f>if(isblank(M750),"",vlookup(M750,Pacing!$A$1:$Z$213,7))</f>
        <v>Activity</v>
      </c>
      <c r="I750" s="86">
        <f t="shared" ref="I750:M750" si="797">I749</f>
        <v>118</v>
      </c>
      <c r="J750" s="86">
        <f t="shared" si="797"/>
        <v>119</v>
      </c>
      <c r="K750" s="86">
        <f t="shared" si="797"/>
        <v>120</v>
      </c>
      <c r="L750" s="86">
        <f t="shared" si="797"/>
        <v>121</v>
      </c>
      <c r="M750" s="86">
        <f t="shared" si="797"/>
        <v>122</v>
      </c>
    </row>
    <row r="751" ht="15.75" customHeight="1">
      <c r="A751" s="69">
        <f>B751+8</f>
        <v>288</v>
      </c>
      <c r="B751" s="69">
        <f t="shared" si="791"/>
        <v>280</v>
      </c>
      <c r="C751" s="95"/>
      <c r="D751" s="81" t="str">
        <f>if(isblank(I751),"",vlookup(I751,Pacing!$A$1:$Z$213,8))</f>
        <v>Practice Set</v>
      </c>
      <c r="E751" s="81" t="str">
        <f>if(isblank(J751),"",vlookup(J751,Pacing!$A$1:$Z$213,8))</f>
        <v>Practice Set</v>
      </c>
      <c r="F751" s="81" t="str">
        <f>if(isblank(K751),"",vlookup(K751,Pacing!$A$1:$Z$213,8))</f>
        <v>Practice Set</v>
      </c>
      <c r="G751" s="81" t="str">
        <f>if(isblank(L751),"",vlookup(L751,Pacing!$A$1:$Z$213,8))</f>
        <v>Practice Set</v>
      </c>
      <c r="H751" s="81" t="str">
        <f>if(isblank(M751),"",vlookup(M751,Pacing!$A$1:$Z$213,8))</f>
        <v>Practice Set</v>
      </c>
      <c r="I751" s="86">
        <f t="shared" ref="I751:M751" si="798">I750</f>
        <v>118</v>
      </c>
      <c r="J751" s="86">
        <f t="shared" si="798"/>
        <v>119</v>
      </c>
      <c r="K751" s="86">
        <f t="shared" si="798"/>
        <v>120</v>
      </c>
      <c r="L751" s="86">
        <f t="shared" si="798"/>
        <v>121</v>
      </c>
      <c r="M751" s="86">
        <f t="shared" si="798"/>
        <v>122</v>
      </c>
    </row>
    <row r="752" ht="15.75" customHeight="1">
      <c r="A752" s="69"/>
      <c r="B752" s="69"/>
      <c r="C752" s="71"/>
      <c r="D752" s="81" t="str">
        <f>if(isblank(I752),"",vlookup(I752,Pacing!$A$1:$Z$213,9))</f>
        <v>Extra Practice</v>
      </c>
      <c r="E752" s="81" t="str">
        <f>if(isblank(J752),"",vlookup(J752,Pacing!$A$1:$Z$213,9))</f>
        <v>Extra Practice</v>
      </c>
      <c r="F752" s="81" t="str">
        <f>if(isblank(K752),"",vlookup(K752,Pacing!$A$1:$Z$213,9))</f>
        <v>Extra Practice</v>
      </c>
      <c r="G752" s="81" t="str">
        <f>if(isblank(L752),"",vlookup(L752,Pacing!$A$1:$Z$213,9))</f>
        <v>Extra Practice</v>
      </c>
      <c r="H752" s="81" t="str">
        <f>if(isblank(M752),"",vlookup(M752,Pacing!$A$1:$Z$213,9))</f>
        <v>Extra Practice</v>
      </c>
      <c r="I752" s="86">
        <f t="shared" ref="I752:M752" si="799">I751</f>
        <v>118</v>
      </c>
      <c r="J752" s="86">
        <f t="shared" si="799"/>
        <v>119</v>
      </c>
      <c r="K752" s="86">
        <f t="shared" si="799"/>
        <v>120</v>
      </c>
      <c r="L752" s="86">
        <f t="shared" si="799"/>
        <v>121</v>
      </c>
      <c r="M752" s="86">
        <f t="shared" si="799"/>
        <v>122</v>
      </c>
    </row>
    <row r="753" ht="15.75" customHeight="1">
      <c r="A753" s="69"/>
      <c r="B753" s="69"/>
      <c r="C753" s="71"/>
      <c r="D753" s="81" t="str">
        <f>if(isblank(I753),"",vlookup(I753,Pacing!$A$1:$Z$213,10))</f>
        <v>CYU</v>
      </c>
      <c r="E753" s="81" t="str">
        <f>if(isblank(J753),"",vlookup(J753,Pacing!$A$1:$Z$213,10))</f>
        <v>CYU</v>
      </c>
      <c r="F753" s="81" t="str">
        <f>if(isblank(K753),"",vlookup(K753,Pacing!$A$1:$Z$213,10))</f>
        <v>CYU</v>
      </c>
      <c r="G753" s="81" t="str">
        <f>if(isblank(L753),"",vlookup(L753,Pacing!$A$1:$Z$213,10))</f>
        <v>CYU</v>
      </c>
      <c r="H753" s="81" t="str">
        <f>if(isblank(M753),"",vlookup(M753,Pacing!$A$1:$Z$213,10))</f>
        <v>CYU</v>
      </c>
      <c r="I753" s="86">
        <f t="shared" ref="I753:M753" si="800">I752</f>
        <v>118</v>
      </c>
      <c r="J753" s="86">
        <f t="shared" si="800"/>
        <v>119</v>
      </c>
      <c r="K753" s="86">
        <f t="shared" si="800"/>
        <v>120</v>
      </c>
      <c r="L753" s="86">
        <f t="shared" si="800"/>
        <v>121</v>
      </c>
      <c r="M753" s="86">
        <f t="shared" si="800"/>
        <v>122</v>
      </c>
    </row>
    <row r="754" ht="15.75" customHeight="1">
      <c r="A754" s="69"/>
      <c r="B754" s="69"/>
      <c r="C754" s="71"/>
      <c r="D754" s="81" t="str">
        <f>if(isblank(I754),"",vlookup(I754,Pacing!$A$1:$Z$213,11))</f>
        <v>Progress</v>
      </c>
      <c r="E754" s="81" t="str">
        <f>if(isblank(J754),"",vlookup(J754,Pacing!$A$1:$Z$213,11))</f>
        <v>Progress</v>
      </c>
      <c r="F754" s="81" t="str">
        <f>if(isblank(K754),"",vlookup(K754,Pacing!$A$1:$Z$213,11))</f>
        <v>Progress</v>
      </c>
      <c r="G754" s="81" t="str">
        <f>if(isblank(L754),"",vlookup(L754,Pacing!$A$1:$Z$213,11))</f>
        <v>Progress</v>
      </c>
      <c r="H754" s="81" t="str">
        <f>if(isblank(M754),"",vlookup(M754,Pacing!$A$1:$Z$213,11))</f>
        <v>Progress</v>
      </c>
      <c r="I754" s="86">
        <f t="shared" ref="I754:M754" si="801">I753</f>
        <v>118</v>
      </c>
      <c r="J754" s="86">
        <f t="shared" si="801"/>
        <v>119</v>
      </c>
      <c r="K754" s="86">
        <f t="shared" si="801"/>
        <v>120</v>
      </c>
      <c r="L754" s="86">
        <f t="shared" si="801"/>
        <v>121</v>
      </c>
      <c r="M754" s="86">
        <f t="shared" si="801"/>
        <v>122</v>
      </c>
    </row>
    <row r="755" ht="15.75" customHeight="1">
      <c r="A755" s="69"/>
      <c r="B755" s="69"/>
      <c r="C755" s="71"/>
      <c r="D755" s="81" t="str">
        <f>if(isblank(I755),"",vlookup(I755,Pacing!$A$1:$Z$213,12))</f>
        <v>Review</v>
      </c>
      <c r="E755" s="81" t="str">
        <f>if(isblank(J755),"",vlookup(J755,Pacing!$A$1:$Z$213,12))</f>
        <v>Review</v>
      </c>
      <c r="F755" s="81" t="str">
        <f>if(isblank(K755),"",vlookup(K755,Pacing!$A$1:$Z$213,12))</f>
        <v>Review</v>
      </c>
      <c r="G755" s="81" t="str">
        <f>if(isblank(L755),"",vlookup(L755,Pacing!$A$1:$Z$213,12))</f>
        <v>Review</v>
      </c>
      <c r="H755" s="81" t="str">
        <f>if(isblank(M755),"",vlookup(M755,Pacing!$A$1:$Z$213,12))</f>
        <v>Review</v>
      </c>
      <c r="I755" s="86">
        <f t="shared" ref="I755:M755" si="802">I754</f>
        <v>118</v>
      </c>
      <c r="J755" s="86">
        <f t="shared" si="802"/>
        <v>119</v>
      </c>
      <c r="K755" s="86">
        <f t="shared" si="802"/>
        <v>120</v>
      </c>
      <c r="L755" s="86">
        <f t="shared" si="802"/>
        <v>121</v>
      </c>
      <c r="M755" s="86">
        <f t="shared" si="802"/>
        <v>122</v>
      </c>
    </row>
    <row r="756" ht="15.75" customHeight="1">
      <c r="A756" s="69"/>
      <c r="B756" s="69"/>
      <c r="C756" s="71"/>
      <c r="D756" s="91" t="str">
        <f>if(isblank(I756),"",vlookup(I756,Pacing!$A$1:$Z$213,13))</f>
        <v/>
      </c>
      <c r="E756" s="91" t="str">
        <f>if(isblank(J756),"",vlookup(J756,Pacing!$A$1:$Z$213,13))</f>
        <v/>
      </c>
      <c r="F756" s="91" t="str">
        <f>if(isblank(K756),"",vlookup(K756,Pacing!$A$1:$Z$213,13))</f>
        <v/>
      </c>
      <c r="G756" s="91" t="str">
        <f>if(isblank(L756),"",vlookup(L756,Pacing!$A$1:$Z$213,13))</f>
        <v/>
      </c>
      <c r="H756" s="91" t="str">
        <f>if(isblank(M756),"",vlookup(M756,Pacing!$A$1:$Z$213,13))</f>
        <v/>
      </c>
      <c r="I756" s="86">
        <f t="shared" ref="I756:M756" si="803">I755</f>
        <v>118</v>
      </c>
      <c r="J756" s="86">
        <f t="shared" si="803"/>
        <v>119</v>
      </c>
      <c r="K756" s="86">
        <f t="shared" si="803"/>
        <v>120</v>
      </c>
      <c r="L756" s="86">
        <f t="shared" si="803"/>
        <v>121</v>
      </c>
      <c r="M756" s="86">
        <f t="shared" si="803"/>
        <v>122</v>
      </c>
    </row>
    <row r="757" ht="15.75" customHeight="1">
      <c r="A757" s="69"/>
      <c r="B757" s="69"/>
      <c r="C757" s="71"/>
      <c r="D757" s="81" t="str">
        <f>if(isblank(I757),"",vlookup(I757,Pacing!$A$1:$Z$213,14))</f>
        <v>Notes Teacher</v>
      </c>
      <c r="E757" s="81" t="str">
        <f>if(isblank(J757),"",vlookup(J757,Pacing!$A$1:$Z$213,14))</f>
        <v>Notes Teacher</v>
      </c>
      <c r="F757" s="81" t="str">
        <f>if(isblank(K757),"",vlookup(K757,Pacing!$A$1:$Z$213,14))</f>
        <v>Notes Teacher</v>
      </c>
      <c r="G757" s="81" t="str">
        <f>if(isblank(L757),"",vlookup(L757,Pacing!$A$1:$Z$213,14))</f>
        <v>Notes Teacher</v>
      </c>
      <c r="H757" s="81" t="str">
        <f>if(isblank(M757),"",vlookup(M757,Pacing!$A$1:$Z$213,14))</f>
        <v>Notes Teacher</v>
      </c>
      <c r="I757" s="86">
        <f t="shared" ref="I757:M757" si="804">I756</f>
        <v>118</v>
      </c>
      <c r="J757" s="86">
        <f t="shared" si="804"/>
        <v>119</v>
      </c>
      <c r="K757" s="86">
        <f t="shared" si="804"/>
        <v>120</v>
      </c>
      <c r="L757" s="86">
        <f t="shared" si="804"/>
        <v>121</v>
      </c>
      <c r="M757" s="86">
        <f t="shared" si="804"/>
        <v>122</v>
      </c>
    </row>
    <row r="758" ht="15.75" customHeight="1">
      <c r="A758" s="69"/>
      <c r="B758" s="69"/>
      <c r="C758" s="71"/>
      <c r="D758" s="81" t="str">
        <f>if(isblank(I758),"",vlookup(I758,Pacing!$A$1:$Z$213,15))</f>
        <v>Demo Teacher</v>
      </c>
      <c r="E758" s="81" t="str">
        <f>if(isblank(J758),"",vlookup(J758,Pacing!$A$1:$Z$213,15))</f>
        <v>Demo Teacher</v>
      </c>
      <c r="F758" s="81" t="str">
        <f>if(isblank(K758),"",vlookup(K758,Pacing!$A$1:$Z$213,15))</f>
        <v>Demo Teacher</v>
      </c>
      <c r="G758" s="81" t="str">
        <f>if(isblank(L758),"",vlookup(L758,Pacing!$A$1:$Z$213,15))</f>
        <v>Demo Teacher</v>
      </c>
      <c r="H758" s="81" t="str">
        <f>if(isblank(M758),"",vlookup(M758,Pacing!$A$1:$Z$213,15))</f>
        <v>Demo Teacher</v>
      </c>
      <c r="I758" s="86">
        <f t="shared" ref="I758:M758" si="805">I757</f>
        <v>118</v>
      </c>
      <c r="J758" s="86">
        <f t="shared" si="805"/>
        <v>119</v>
      </c>
      <c r="K758" s="86">
        <f t="shared" si="805"/>
        <v>120</v>
      </c>
      <c r="L758" s="86">
        <f t="shared" si="805"/>
        <v>121</v>
      </c>
      <c r="M758" s="86">
        <f t="shared" si="805"/>
        <v>122</v>
      </c>
    </row>
    <row r="759" ht="15.75" customHeight="1">
      <c r="A759" s="69"/>
      <c r="B759" s="69"/>
      <c r="C759" s="71"/>
      <c r="D759" s="81" t="str">
        <f>if(isblank(I759),"",vlookup(I759,Pacing!$A$1:$Z$213,16))</f>
        <v>Invest Teacher</v>
      </c>
      <c r="E759" s="81" t="str">
        <f>if(isblank(J759),"",vlookup(J759,Pacing!$A$1:$Z$213,16))</f>
        <v>Invest Teacher</v>
      </c>
      <c r="F759" s="81" t="str">
        <f>if(isblank(K759),"",vlookup(K759,Pacing!$A$1:$Z$213,16))</f>
        <v>Invest Teacher</v>
      </c>
      <c r="G759" s="81" t="str">
        <f>if(isblank(L759),"",vlookup(L759,Pacing!$A$1:$Z$213,16))</f>
        <v>Invest Teacher</v>
      </c>
      <c r="H759" s="81" t="str">
        <f>if(isblank(M759),"",vlookup(M759,Pacing!$A$1:$Z$213,16))</f>
        <v>Invest Teacher</v>
      </c>
      <c r="I759" s="86">
        <f t="shared" ref="I759:M759" si="806">I758</f>
        <v>118</v>
      </c>
      <c r="J759" s="86">
        <f t="shared" si="806"/>
        <v>119</v>
      </c>
      <c r="K759" s="86">
        <f t="shared" si="806"/>
        <v>120</v>
      </c>
      <c r="L759" s="86">
        <f t="shared" si="806"/>
        <v>121</v>
      </c>
      <c r="M759" s="86">
        <f t="shared" si="806"/>
        <v>122</v>
      </c>
    </row>
    <row r="760" ht="15.75" customHeight="1">
      <c r="A760" s="69"/>
      <c r="B760" s="69"/>
      <c r="C760" s="71"/>
      <c r="D760" s="81" t="str">
        <f>if(isblank(I760),"",vlookup(I760,Pacing!$A$1:$Z$213,17))</f>
        <v>PT Teacher</v>
      </c>
      <c r="E760" s="81" t="str">
        <f>if(isblank(J760),"",vlookup(J760,Pacing!$A$1:$Z$213,17))</f>
        <v>PT Teacher</v>
      </c>
      <c r="F760" s="81" t="str">
        <f>if(isblank(K760),"",vlookup(K760,Pacing!$A$1:$Z$213,17))</f>
        <v>PT Teacher</v>
      </c>
      <c r="G760" s="81" t="str">
        <f>if(isblank(L760),"",vlookup(L760,Pacing!$A$1:$Z$213,17))</f>
        <v>PT Teacher</v>
      </c>
      <c r="H760" s="81" t="str">
        <f>if(isblank(M760),"",vlookup(M760,Pacing!$A$1:$Z$213,17))</f>
        <v>PT Teacher</v>
      </c>
      <c r="I760" s="86">
        <f t="shared" ref="I760:M760" si="807">I759</f>
        <v>118</v>
      </c>
      <c r="J760" s="86">
        <f t="shared" si="807"/>
        <v>119</v>
      </c>
      <c r="K760" s="86">
        <f t="shared" si="807"/>
        <v>120</v>
      </c>
      <c r="L760" s="86">
        <f t="shared" si="807"/>
        <v>121</v>
      </c>
      <c r="M760" s="86">
        <f t="shared" si="807"/>
        <v>122</v>
      </c>
    </row>
    <row r="761" ht="15.75" customHeight="1">
      <c r="A761" s="69"/>
      <c r="B761" s="69"/>
      <c r="C761" s="71"/>
      <c r="D761" s="81" t="str">
        <f>if(isblank(I761),"",vlookup(I761,Pacing!$A$1:$Z$213,18))</f>
        <v>Assess Plan</v>
      </c>
      <c r="E761" s="81" t="str">
        <f>if(isblank(J761),"",vlookup(J761,Pacing!$A$1:$Z$213,18))</f>
        <v>Assess Plan</v>
      </c>
      <c r="F761" s="81" t="str">
        <f>if(isblank(K761),"",vlookup(K761,Pacing!$A$1:$Z$213,18))</f>
        <v>Assess Plan</v>
      </c>
      <c r="G761" s="81" t="str">
        <f>if(isblank(L761),"",vlookup(L761,Pacing!$A$1:$Z$213,18))</f>
        <v>Assess Plan</v>
      </c>
      <c r="H761" s="81" t="str">
        <f>if(isblank(M761),"",vlookup(M761,Pacing!$A$1:$Z$213,18))</f>
        <v>Assess Plan</v>
      </c>
      <c r="I761" s="86">
        <f t="shared" ref="I761:M761" si="808">I760</f>
        <v>118</v>
      </c>
      <c r="J761" s="86">
        <f t="shared" si="808"/>
        <v>119</v>
      </c>
      <c r="K761" s="86">
        <f t="shared" si="808"/>
        <v>120</v>
      </c>
      <c r="L761" s="86">
        <f t="shared" si="808"/>
        <v>121</v>
      </c>
      <c r="M761" s="86">
        <f t="shared" si="808"/>
        <v>122</v>
      </c>
    </row>
    <row r="762" ht="15.75" customHeight="1">
      <c r="A762" s="69"/>
      <c r="B762" s="69"/>
      <c r="C762" s="71"/>
      <c r="D762" s="81" t="str">
        <f>if(isblank(I762),"",vlookup(I762,Pacing!$A$1:$Z$213,19))</f>
        <v>Perform Task</v>
      </c>
      <c r="E762" s="81" t="str">
        <f>if(isblank(J762),"",vlookup(J762,Pacing!$A$1:$Z$213,19))</f>
        <v>Perform Task</v>
      </c>
      <c r="F762" s="81" t="str">
        <f>if(isblank(K762),"",vlookup(K762,Pacing!$A$1:$Z$213,19))</f>
        <v>Perform Task</v>
      </c>
      <c r="G762" s="81" t="str">
        <f>if(isblank(L762),"",vlookup(L762,Pacing!$A$1:$Z$213,19))</f>
        <v>Perform Task</v>
      </c>
      <c r="H762" s="81" t="str">
        <f>if(isblank(M762),"",vlookup(M762,Pacing!$A$1:$Z$213,19))</f>
        <v>Perform Task</v>
      </c>
      <c r="I762" s="86">
        <f t="shared" ref="I762:M762" si="809">I761</f>
        <v>118</v>
      </c>
      <c r="J762" s="86">
        <f t="shared" si="809"/>
        <v>119</v>
      </c>
      <c r="K762" s="86">
        <f t="shared" si="809"/>
        <v>120</v>
      </c>
      <c r="L762" s="86">
        <f t="shared" si="809"/>
        <v>121</v>
      </c>
      <c r="M762" s="86">
        <f t="shared" si="809"/>
        <v>122</v>
      </c>
    </row>
    <row r="763" ht="15.75" customHeight="1">
      <c r="A763" s="69"/>
      <c r="B763" s="69"/>
      <c r="C763" s="71"/>
      <c r="D763" s="81" t="str">
        <f>if(isblank(I763),"",vlookup(I763,Pacing!$A$1:$Z$213,20))</f>
        <v>Quick Check</v>
      </c>
      <c r="E763" s="81" t="str">
        <f>if(isblank(J763),"",vlookup(J763,Pacing!$A$1:$Z$213,20))</f>
        <v>Quick Check</v>
      </c>
      <c r="F763" s="81" t="str">
        <f>if(isblank(K763),"",vlookup(K763,Pacing!$A$1:$Z$213,20))</f>
        <v>Quick Check</v>
      </c>
      <c r="G763" s="81" t="str">
        <f>if(isblank(L763),"",vlookup(L763,Pacing!$A$1:$Z$213,20))</f>
        <v>Quick Check</v>
      </c>
      <c r="H763" s="81" t="str">
        <f>if(isblank(M763),"",vlookup(M763,Pacing!$A$1:$Z$213,20))</f>
        <v>Quick Check</v>
      </c>
      <c r="I763" s="86">
        <f t="shared" ref="I763:M763" si="810">I762</f>
        <v>118</v>
      </c>
      <c r="J763" s="86">
        <f t="shared" si="810"/>
        <v>119</v>
      </c>
      <c r="K763" s="86">
        <f t="shared" si="810"/>
        <v>120</v>
      </c>
      <c r="L763" s="86">
        <f t="shared" si="810"/>
        <v>121</v>
      </c>
      <c r="M763" s="86">
        <f t="shared" si="810"/>
        <v>122</v>
      </c>
    </row>
    <row r="764" ht="15.75" customHeight="1">
      <c r="A764" s="69"/>
      <c r="B764" s="69"/>
      <c r="C764" s="71"/>
      <c r="D764" s="81" t="str">
        <f>if(isblank(I764),"",vlookup(I764,Pacing!$A$1:$Z$213,21))</f>
        <v>Exit Ticket</v>
      </c>
      <c r="E764" s="81" t="str">
        <f>if(isblank(J764),"",vlookup(J764,Pacing!$A$1:$Z$213,21))</f>
        <v>Exit Ticket</v>
      </c>
      <c r="F764" s="81" t="str">
        <f>if(isblank(K764),"",vlookup(K764,Pacing!$A$1:$Z$213,21))</f>
        <v>Exit Ticket</v>
      </c>
      <c r="G764" s="81" t="str">
        <f>if(isblank(L764),"",vlookup(L764,Pacing!$A$1:$Z$213,21))</f>
        <v>Exit Ticket</v>
      </c>
      <c r="H764" s="81" t="str">
        <f>if(isblank(M764),"",vlookup(M764,Pacing!$A$1:$Z$213,21))</f>
        <v>Exit Ticket</v>
      </c>
      <c r="I764" s="86">
        <f t="shared" ref="I764:M764" si="811">I763</f>
        <v>118</v>
      </c>
      <c r="J764" s="86">
        <f t="shared" si="811"/>
        <v>119</v>
      </c>
      <c r="K764" s="86">
        <f t="shared" si="811"/>
        <v>120</v>
      </c>
      <c r="L764" s="86">
        <f t="shared" si="811"/>
        <v>121</v>
      </c>
      <c r="M764" s="86">
        <f t="shared" si="811"/>
        <v>122</v>
      </c>
    </row>
    <row r="765" ht="15.75" customHeight="1">
      <c r="A765" s="69"/>
      <c r="B765" s="69"/>
      <c r="C765" s="71"/>
      <c r="D765" s="81" t="str">
        <f>if(isblank(I765),"",vlookup(I765,Pacing!$A$1:$Z$213,22))</f>
        <v>Practice 2</v>
      </c>
      <c r="E765" s="81" t="str">
        <f>if(isblank(J765),"",vlookup(J765,Pacing!$A$1:$Z$213,22))</f>
        <v>Practice 2</v>
      </c>
      <c r="F765" s="81" t="str">
        <f>if(isblank(K765),"",vlookup(K765,Pacing!$A$1:$Z$213,22))</f>
        <v>Practice 2</v>
      </c>
      <c r="G765" s="81" t="str">
        <f>if(isblank(L765),"",vlookup(L765,Pacing!$A$1:$Z$213,22))</f>
        <v>Practice 2</v>
      </c>
      <c r="H765" s="81" t="str">
        <f>if(isblank(M765),"",vlookup(M765,Pacing!$A$1:$Z$213,22))</f>
        <v>Practice 2</v>
      </c>
      <c r="I765" s="86">
        <f t="shared" ref="I765:M765" si="812">I764</f>
        <v>118</v>
      </c>
      <c r="J765" s="86">
        <f t="shared" si="812"/>
        <v>119</v>
      </c>
      <c r="K765" s="86">
        <f t="shared" si="812"/>
        <v>120</v>
      </c>
      <c r="L765" s="86">
        <f t="shared" si="812"/>
        <v>121</v>
      </c>
      <c r="M765" s="86">
        <f t="shared" si="812"/>
        <v>122</v>
      </c>
    </row>
    <row r="766" ht="15.75" customHeight="1">
      <c r="A766" s="69"/>
      <c r="B766" s="69"/>
      <c r="C766" s="71"/>
      <c r="D766" s="81" t="str">
        <f>if(isblank(I766),"",vlookup(I766,Pacing!$A$1:$Z$213,23))</f>
        <v>Practice 3</v>
      </c>
      <c r="E766" s="81" t="str">
        <f>if(isblank(J766),"",vlookup(J766,Pacing!$A$1:$Z$213,23))</f>
        <v>Practice 3</v>
      </c>
      <c r="F766" s="81" t="str">
        <f>if(isblank(K766),"",vlookup(K766,Pacing!$A$1:$Z$213,23))</f>
        <v>Practice 3</v>
      </c>
      <c r="G766" s="81" t="str">
        <f>if(isblank(L766),"",vlookup(L766,Pacing!$A$1:$Z$213,23))</f>
        <v>Practice 3</v>
      </c>
      <c r="H766" s="81" t="str">
        <f>if(isblank(M766),"",vlookup(M766,Pacing!$A$1:$Z$213,23))</f>
        <v>Practice 3</v>
      </c>
      <c r="I766" s="86">
        <f t="shared" ref="I766:M766" si="813">I765</f>
        <v>118</v>
      </c>
      <c r="J766" s="86">
        <f t="shared" si="813"/>
        <v>119</v>
      </c>
      <c r="K766" s="86">
        <f t="shared" si="813"/>
        <v>120</v>
      </c>
      <c r="L766" s="86">
        <f t="shared" si="813"/>
        <v>121</v>
      </c>
      <c r="M766" s="86">
        <f t="shared" si="813"/>
        <v>122</v>
      </c>
    </row>
    <row r="767" ht="15.75" customHeight="1">
      <c r="A767" s="69"/>
      <c r="B767" s="69"/>
      <c r="C767" s="71"/>
      <c r="D767" s="81" t="str">
        <f>if(isblank(I767),"",vlookup(I767,Pacing!$A$1:$Z$213,24))</f>
        <v>Sum Assess</v>
      </c>
      <c r="E767" s="81" t="str">
        <f>if(isblank(J767),"",vlookup(J767,Pacing!$A$1:$Z$213,24))</f>
        <v>Sum Assess</v>
      </c>
      <c r="F767" s="81" t="str">
        <f>if(isblank(K767),"",vlookup(K767,Pacing!$A$1:$Z$213,24))</f>
        <v>Sum Assess</v>
      </c>
      <c r="G767" s="81" t="str">
        <f>if(isblank(L767),"",vlookup(L767,Pacing!$A$1:$Z$213,24))</f>
        <v>Sum Assess</v>
      </c>
      <c r="H767" s="81" t="str">
        <f>if(isblank(M767),"",vlookup(M767,Pacing!$A$1:$Z$213,24))</f>
        <v>Sum Assess</v>
      </c>
      <c r="I767" s="86">
        <f t="shared" ref="I767:M767" si="814">I766</f>
        <v>118</v>
      </c>
      <c r="J767" s="86">
        <f t="shared" si="814"/>
        <v>119</v>
      </c>
      <c r="K767" s="86">
        <f t="shared" si="814"/>
        <v>120</v>
      </c>
      <c r="L767" s="86">
        <f t="shared" si="814"/>
        <v>121</v>
      </c>
      <c r="M767" s="86">
        <f t="shared" si="814"/>
        <v>122</v>
      </c>
    </row>
    <row r="768" ht="15.75" customHeight="1">
      <c r="A768" s="69"/>
      <c r="B768" s="69"/>
      <c r="C768" s="71"/>
      <c r="D768" s="81" t="str">
        <f>if(isblank(I768),"",vlookup(I768,Pacing!$A$1:$Z$213,25))</f>
        <v>Bank</v>
      </c>
      <c r="E768" s="81" t="str">
        <f>if(isblank(J768),"",vlookup(J768,Pacing!$A$1:$Z$213,25))</f>
        <v>Bank</v>
      </c>
      <c r="F768" s="81" t="str">
        <f>if(isblank(K768),"",vlookup(K768,Pacing!$A$1:$Z$213,25))</f>
        <v>Bank</v>
      </c>
      <c r="G768" s="81" t="str">
        <f>if(isblank(L768),"",vlookup(L768,Pacing!$A$1:$Z$213,25))</f>
        <v>Bank</v>
      </c>
      <c r="H768" s="81" t="str">
        <f>if(isblank(M768),"",vlookup(M768,Pacing!$A$1:$Z$213,25))</f>
        <v>Bank</v>
      </c>
      <c r="I768" s="86">
        <f t="shared" ref="I768:M768" si="815">I767</f>
        <v>118</v>
      </c>
      <c r="J768" s="86">
        <f t="shared" si="815"/>
        <v>119</v>
      </c>
      <c r="K768" s="86">
        <f t="shared" si="815"/>
        <v>120</v>
      </c>
      <c r="L768" s="86">
        <f t="shared" si="815"/>
        <v>121</v>
      </c>
      <c r="M768" s="86">
        <f t="shared" si="815"/>
        <v>122</v>
      </c>
    </row>
    <row r="769" ht="15.75" customHeight="1">
      <c r="A769" s="69"/>
      <c r="B769" s="69"/>
      <c r="C769" s="71"/>
      <c r="D769" s="91" t="str">
        <f>if(isblank(I769),"",vlookup(I769,Pacing!$A$1:$Z$213,26))</f>
        <v/>
      </c>
      <c r="E769" s="89" t="str">
        <f>if(isblank(J769),"",vlookup(J769,Pacing!$A$1:$Z$213,26))</f>
        <v/>
      </c>
      <c r="F769" s="89" t="str">
        <f>if(isblank(K769),"",vlookup(K769,Pacing!$A$1:$Z$213,26))</f>
        <v/>
      </c>
      <c r="G769" s="89" t="str">
        <f>if(isblank(L769),"",vlookup(L769,Pacing!$A$1:$Z$213,26))</f>
        <v/>
      </c>
      <c r="H769" s="89" t="str">
        <f>if(isblank(M769),"",vlookup(M769,Pacing!$A$1:$Z$213,26))</f>
        <v/>
      </c>
      <c r="I769" s="86">
        <f t="shared" ref="I769:M769" si="816">I768</f>
        <v>118</v>
      </c>
      <c r="J769" s="86">
        <f t="shared" si="816"/>
        <v>119</v>
      </c>
      <c r="K769" s="86">
        <f t="shared" si="816"/>
        <v>120</v>
      </c>
      <c r="L769" s="86">
        <f t="shared" si="816"/>
        <v>121</v>
      </c>
      <c r="M769" s="86">
        <f t="shared" si="816"/>
        <v>122</v>
      </c>
    </row>
    <row r="770" ht="15.75" customHeight="1">
      <c r="A770" s="137"/>
      <c r="B770" s="137"/>
      <c r="C770" s="138"/>
      <c r="D770" s="139"/>
      <c r="E770" s="139">
        <f>H743+1</f>
        <v>123</v>
      </c>
      <c r="F770" s="139">
        <f t="shared" ref="F770:H770" si="817">E770+1</f>
        <v>124</v>
      </c>
      <c r="G770" s="139">
        <f t="shared" si="817"/>
        <v>125</v>
      </c>
      <c r="H770" s="139">
        <f t="shared" si="817"/>
        <v>126</v>
      </c>
      <c r="I770" s="55" t="str">
        <f t="shared" ref="I770:M770" si="818">D770</f>
        <v/>
      </c>
      <c r="J770" s="55">
        <f t="shared" si="818"/>
        <v>123</v>
      </c>
      <c r="K770" s="55">
        <f t="shared" si="818"/>
        <v>124</v>
      </c>
      <c r="L770" s="55">
        <f t="shared" si="818"/>
        <v>125</v>
      </c>
      <c r="M770" s="55">
        <f t="shared" si="818"/>
        <v>126</v>
      </c>
    </row>
    <row r="771" ht="15.75" customHeight="1">
      <c r="A771" s="69">
        <f>B771+1</f>
        <v>291</v>
      </c>
      <c r="B771" s="69">
        <f t="shared" ref="B771:B778" si="820">$C$771*10</f>
        <v>290</v>
      </c>
      <c r="C771" s="71">
        <f>C744+1</f>
        <v>29</v>
      </c>
      <c r="D771" s="74">
        <f>D744+7</f>
        <v>46461</v>
      </c>
      <c r="E771" s="72">
        <f t="shared" ref="E771:H771" si="819">D771+1</f>
        <v>46462</v>
      </c>
      <c r="F771" s="72">
        <f t="shared" si="819"/>
        <v>46463</v>
      </c>
      <c r="G771" s="72">
        <f t="shared" si="819"/>
        <v>46464</v>
      </c>
      <c r="H771" s="72">
        <f t="shared" si="819"/>
        <v>46465</v>
      </c>
      <c r="I771" s="62" t="s">
        <v>42</v>
      </c>
    </row>
    <row r="772" ht="15.75" customHeight="1">
      <c r="A772" s="75">
        <f>B772+2</f>
        <v>292</v>
      </c>
      <c r="B772" s="75">
        <f t="shared" si="820"/>
        <v>290</v>
      </c>
      <c r="C772" s="76"/>
      <c r="D772" s="77" t="str">
        <f>if(isblank(I772),"",vlookup(I772,Pacing!$A$1:$Z$213,2))</f>
        <v/>
      </c>
      <c r="E772" s="131" t="str">
        <f>if(isblank(J772),"",vlookup(J772,Pacing!$A$1:$Z$213,2))</f>
        <v>8.3: Electromagnets</v>
      </c>
      <c r="F772" s="131" t="str">
        <f>if(isblank(K772),"",vlookup(K772,Pacing!$A$1:$Z$213,2))</f>
        <v>8.3: Electromagnets</v>
      </c>
      <c r="G772" s="131" t="str">
        <f>if(isblank(L772),"",vlookup(L772,Pacing!$A$1:$Z$213,2))</f>
        <v>8.3: Electromagnets</v>
      </c>
      <c r="H772" s="131" t="str">
        <f>if(isblank(M772),"",vlookup(M772,Pacing!$A$1:$Z$213,2))</f>
        <v>8.4: Generators &amp; AC</v>
      </c>
      <c r="I772" s="78" t="str">
        <f t="shared" ref="I772:M772" si="821">I770</f>
        <v/>
      </c>
      <c r="J772" s="78">
        <f t="shared" si="821"/>
        <v>123</v>
      </c>
      <c r="K772" s="78">
        <f t="shared" si="821"/>
        <v>124</v>
      </c>
      <c r="L772" s="78">
        <f t="shared" si="821"/>
        <v>125</v>
      </c>
      <c r="M772" s="78">
        <f t="shared" si="821"/>
        <v>126</v>
      </c>
    </row>
    <row r="773" ht="15.75" customHeight="1">
      <c r="A773" s="69">
        <f>B773+3</f>
        <v>293</v>
      </c>
      <c r="B773" s="69">
        <f t="shared" si="820"/>
        <v>290</v>
      </c>
      <c r="C773" s="76"/>
      <c r="D773" s="129" t="str">
        <f>if(isblank(I773),"",vlookup(I773,Pacing!$A$1:$Z$213,3))</f>
        <v/>
      </c>
      <c r="E773" s="81" t="str">
        <f>if(isblank(J773),"",vlookup(J773,Pacing!$A$1:$Z$213,3))</f>
        <v>Warm Up</v>
      </c>
      <c r="F773" s="81" t="str">
        <f>if(isblank(K773),"",vlookup(K773,Pacing!$A$1:$Z$213,3))</f>
        <v>Warm Up</v>
      </c>
      <c r="G773" s="81" t="str">
        <f>if(isblank(L773),"",vlookup(L773,Pacing!$A$1:$Z$213,3))</f>
        <v>Warm Up</v>
      </c>
      <c r="H773" s="81" t="str">
        <f>if(isblank(M773),"",vlookup(M773,Pacing!$A$1:$Z$213,3))</f>
        <v>Warm Up</v>
      </c>
      <c r="I773" s="86" t="str">
        <f t="shared" ref="I773:M773" si="822">I772</f>
        <v/>
      </c>
      <c r="J773" s="86">
        <f t="shared" si="822"/>
        <v>123</v>
      </c>
      <c r="K773" s="86">
        <f t="shared" si="822"/>
        <v>124</v>
      </c>
      <c r="L773" s="86">
        <f t="shared" si="822"/>
        <v>125</v>
      </c>
      <c r="M773" s="86">
        <f t="shared" si="822"/>
        <v>126</v>
      </c>
    </row>
    <row r="774" ht="15.75" customHeight="1">
      <c r="A774" s="69">
        <f>B774+4</f>
        <v>294</v>
      </c>
      <c r="B774" s="69">
        <f t="shared" si="820"/>
        <v>290</v>
      </c>
      <c r="C774" s="76"/>
      <c r="D774" s="129" t="str">
        <f>if(isblank(I774),"",vlookup(I774,Pacing!$A$1:$Z$213,4))</f>
        <v/>
      </c>
      <c r="E774" s="81" t="str">
        <f>if(isblank(J774),"",vlookup(J774,Pacing!$A$1:$Z$213,4))</f>
        <v>Demo</v>
      </c>
      <c r="F774" s="81" t="str">
        <f>if(isblank(K774),"",vlookup(K774,Pacing!$A$1:$Z$213,4))</f>
        <v>Demo</v>
      </c>
      <c r="G774" s="81" t="str">
        <f>if(isblank(L774),"",vlookup(L774,Pacing!$A$1:$Z$213,4))</f>
        <v>Demo</v>
      </c>
      <c r="H774" s="81" t="str">
        <f>if(isblank(M774),"",vlookup(M774,Pacing!$A$1:$Z$213,4))</f>
        <v>Demo</v>
      </c>
      <c r="I774" s="86" t="str">
        <f t="shared" ref="I774:M774" si="823">I773</f>
        <v/>
      </c>
      <c r="J774" s="86">
        <f t="shared" si="823"/>
        <v>123</v>
      </c>
      <c r="K774" s="86">
        <f t="shared" si="823"/>
        <v>124</v>
      </c>
      <c r="L774" s="86">
        <f t="shared" si="823"/>
        <v>125</v>
      </c>
      <c r="M774" s="86">
        <f t="shared" si="823"/>
        <v>126</v>
      </c>
    </row>
    <row r="775" ht="15.75" customHeight="1">
      <c r="A775" s="69">
        <f>B775+5</f>
        <v>295</v>
      </c>
      <c r="B775" s="69">
        <f t="shared" si="820"/>
        <v>290</v>
      </c>
      <c r="C775" s="76"/>
      <c r="D775" s="129" t="str">
        <f>if(isblank(I775),"",vlookup(I775,Pacing!$A$1:$Z$213,5))</f>
        <v/>
      </c>
      <c r="E775" s="81" t="str">
        <f>if(isblank(J775),"",vlookup(J775,Pacing!$A$1:$Z$213,5))</f>
        <v>Notes</v>
      </c>
      <c r="F775" s="81" t="str">
        <f>if(isblank(K775),"",vlookup(K775,Pacing!$A$1:$Z$213,5))</f>
        <v>Notes</v>
      </c>
      <c r="G775" s="81" t="str">
        <f>if(isblank(L775),"",vlookup(L775,Pacing!$A$1:$Z$213,5))</f>
        <v>Notes</v>
      </c>
      <c r="H775" s="81" t="str">
        <f>if(isblank(M775),"",vlookup(M775,Pacing!$A$1:$Z$213,5))</f>
        <v>Notes</v>
      </c>
      <c r="I775" s="86" t="str">
        <f t="shared" ref="I775:M775" si="824">I774</f>
        <v/>
      </c>
      <c r="J775" s="86">
        <f t="shared" si="824"/>
        <v>123</v>
      </c>
      <c r="K775" s="86">
        <f t="shared" si="824"/>
        <v>124</v>
      </c>
      <c r="L775" s="86">
        <f t="shared" si="824"/>
        <v>125</v>
      </c>
      <c r="M775" s="86">
        <f t="shared" si="824"/>
        <v>126</v>
      </c>
    </row>
    <row r="776" ht="15.75" customHeight="1">
      <c r="A776" s="69">
        <f>B776+6</f>
        <v>296</v>
      </c>
      <c r="B776" s="69">
        <f t="shared" si="820"/>
        <v>290</v>
      </c>
      <c r="C776" s="76"/>
      <c r="D776" s="129" t="str">
        <f>if(isblank(I776),"",vlookup(I776,Pacing!$A$1:$Z$213,6))</f>
        <v/>
      </c>
      <c r="E776" s="81" t="str">
        <f>if(isblank(J776),"",vlookup(J776,Pacing!$A$1:$Z$213,6))</f>
        <v>Investigation</v>
      </c>
      <c r="F776" s="81" t="str">
        <f>if(isblank(K776),"",vlookup(K776,Pacing!$A$1:$Z$213,6))</f>
        <v>Investigation</v>
      </c>
      <c r="G776" s="81" t="str">
        <f>if(isblank(L776),"",vlookup(L776,Pacing!$A$1:$Z$213,6))</f>
        <v>Investigation</v>
      </c>
      <c r="H776" s="81" t="str">
        <f>if(isblank(M776),"",vlookup(M776,Pacing!$A$1:$Z$213,6))</f>
        <v>Investigation</v>
      </c>
      <c r="I776" s="86" t="str">
        <f t="shared" ref="I776:M776" si="825">I775</f>
        <v/>
      </c>
      <c r="J776" s="86">
        <f t="shared" si="825"/>
        <v>123</v>
      </c>
      <c r="K776" s="86">
        <f t="shared" si="825"/>
        <v>124</v>
      </c>
      <c r="L776" s="86">
        <f t="shared" si="825"/>
        <v>125</v>
      </c>
      <c r="M776" s="86">
        <f t="shared" si="825"/>
        <v>126</v>
      </c>
    </row>
    <row r="777" ht="15.75" customHeight="1">
      <c r="A777" s="69">
        <f>B777+7</f>
        <v>297</v>
      </c>
      <c r="B777" s="69">
        <f t="shared" si="820"/>
        <v>290</v>
      </c>
      <c r="C777" s="76"/>
      <c r="D777" s="129" t="str">
        <f>if(isblank(I777),"",vlookup(I777,Pacing!$A$1:$Z$213,7))</f>
        <v/>
      </c>
      <c r="E777" s="81" t="str">
        <f>if(isblank(J777),"",vlookup(J777,Pacing!$A$1:$Z$213,7))</f>
        <v>Activity</v>
      </c>
      <c r="F777" s="81" t="str">
        <f>if(isblank(K777),"",vlookup(K777,Pacing!$A$1:$Z$213,7))</f>
        <v>Activity</v>
      </c>
      <c r="G777" s="81" t="str">
        <f>if(isblank(L777),"",vlookup(L777,Pacing!$A$1:$Z$213,7))</f>
        <v>Activity</v>
      </c>
      <c r="H777" s="81" t="str">
        <f>if(isblank(M777),"",vlookup(M777,Pacing!$A$1:$Z$213,7))</f>
        <v>Activity</v>
      </c>
      <c r="I777" s="86" t="str">
        <f t="shared" ref="I777:M777" si="826">I776</f>
        <v/>
      </c>
      <c r="J777" s="86">
        <f t="shared" si="826"/>
        <v>123</v>
      </c>
      <c r="K777" s="86">
        <f t="shared" si="826"/>
        <v>124</v>
      </c>
      <c r="L777" s="86">
        <f t="shared" si="826"/>
        <v>125</v>
      </c>
      <c r="M777" s="86">
        <f t="shared" si="826"/>
        <v>126</v>
      </c>
    </row>
    <row r="778" ht="15.75" customHeight="1">
      <c r="A778" s="69">
        <f>B778+8</f>
        <v>298</v>
      </c>
      <c r="B778" s="69">
        <f t="shared" si="820"/>
        <v>290</v>
      </c>
      <c r="C778" s="95"/>
      <c r="D778" s="129" t="str">
        <f>if(isblank(I778),"",vlookup(I778,Pacing!$A$1:$Z$213,8))</f>
        <v/>
      </c>
      <c r="E778" s="81" t="str">
        <f>if(isblank(J778),"",vlookup(J778,Pacing!$A$1:$Z$213,8))</f>
        <v>Practice Set</v>
      </c>
      <c r="F778" s="81" t="str">
        <f>if(isblank(K778),"",vlookup(K778,Pacing!$A$1:$Z$213,8))</f>
        <v>Practice Set</v>
      </c>
      <c r="G778" s="81" t="str">
        <f>if(isblank(L778),"",vlookup(L778,Pacing!$A$1:$Z$213,8))</f>
        <v>Practice Set</v>
      </c>
      <c r="H778" s="81" t="str">
        <f>if(isblank(M778),"",vlookup(M778,Pacing!$A$1:$Z$213,8))</f>
        <v>Practice Set</v>
      </c>
      <c r="I778" s="86" t="str">
        <f t="shared" ref="I778:M778" si="827">I777</f>
        <v/>
      </c>
      <c r="J778" s="86">
        <f t="shared" si="827"/>
        <v>123</v>
      </c>
      <c r="K778" s="86">
        <f t="shared" si="827"/>
        <v>124</v>
      </c>
      <c r="L778" s="86">
        <f t="shared" si="827"/>
        <v>125</v>
      </c>
      <c r="M778" s="86">
        <f t="shared" si="827"/>
        <v>126</v>
      </c>
    </row>
    <row r="779" ht="15.75" customHeight="1">
      <c r="A779" s="69"/>
      <c r="B779" s="69"/>
      <c r="C779" s="71"/>
      <c r="D779" s="129" t="str">
        <f>if(isblank(I779),"",vlookup(I779,Pacing!$A$1:$Z$213,9))</f>
        <v/>
      </c>
      <c r="E779" s="81" t="str">
        <f>if(isblank(J779),"",vlookup(J779,Pacing!$A$1:$Z$213,9))</f>
        <v>Extra Practice</v>
      </c>
      <c r="F779" s="81" t="str">
        <f>if(isblank(K779),"",vlookup(K779,Pacing!$A$1:$Z$213,9))</f>
        <v>Extra Practice</v>
      </c>
      <c r="G779" s="81" t="str">
        <f>if(isblank(L779),"",vlookup(L779,Pacing!$A$1:$Z$213,9))</f>
        <v>Extra Practice</v>
      </c>
      <c r="H779" s="81" t="str">
        <f>if(isblank(M779),"",vlookup(M779,Pacing!$A$1:$Z$213,9))</f>
        <v>Extra Practice</v>
      </c>
      <c r="I779" s="86" t="str">
        <f t="shared" ref="I779:M779" si="828">I778</f>
        <v/>
      </c>
      <c r="J779" s="86">
        <f t="shared" si="828"/>
        <v>123</v>
      </c>
      <c r="K779" s="86">
        <f t="shared" si="828"/>
        <v>124</v>
      </c>
      <c r="L779" s="86">
        <f t="shared" si="828"/>
        <v>125</v>
      </c>
      <c r="M779" s="86">
        <f t="shared" si="828"/>
        <v>126</v>
      </c>
    </row>
    <row r="780" ht="15.75" customHeight="1">
      <c r="A780" s="69"/>
      <c r="B780" s="69"/>
      <c r="C780" s="71"/>
      <c r="D780" s="129" t="str">
        <f>if(isblank(I780),"",vlookup(I780,Pacing!$A$1:$Z$213,10))</f>
        <v/>
      </c>
      <c r="E780" s="81" t="str">
        <f>if(isblank(J780),"",vlookup(J780,Pacing!$A$1:$Z$213,10))</f>
        <v>CYU</v>
      </c>
      <c r="F780" s="81" t="str">
        <f>if(isblank(K780),"",vlookup(K780,Pacing!$A$1:$Z$213,10))</f>
        <v>CYU</v>
      </c>
      <c r="G780" s="81" t="str">
        <f>if(isblank(L780),"",vlookup(L780,Pacing!$A$1:$Z$213,10))</f>
        <v>CYU</v>
      </c>
      <c r="H780" s="81" t="str">
        <f>if(isblank(M780),"",vlookup(M780,Pacing!$A$1:$Z$213,10))</f>
        <v>CYU</v>
      </c>
      <c r="I780" s="86" t="str">
        <f t="shared" ref="I780:M780" si="829">I779</f>
        <v/>
      </c>
      <c r="J780" s="86">
        <f t="shared" si="829"/>
        <v>123</v>
      </c>
      <c r="K780" s="86">
        <f t="shared" si="829"/>
        <v>124</v>
      </c>
      <c r="L780" s="86">
        <f t="shared" si="829"/>
        <v>125</v>
      </c>
      <c r="M780" s="86">
        <f t="shared" si="829"/>
        <v>126</v>
      </c>
    </row>
    <row r="781" ht="15.75" customHeight="1">
      <c r="A781" s="69"/>
      <c r="B781" s="69"/>
      <c r="C781" s="71"/>
      <c r="D781" s="129" t="str">
        <f>if(isblank(I781),"",vlookup(I781,Pacing!$A$1:$Z$213,11))</f>
        <v/>
      </c>
      <c r="E781" s="81" t="str">
        <f>if(isblank(J781),"",vlookup(J781,Pacing!$A$1:$Z$213,11))</f>
        <v>Progress</v>
      </c>
      <c r="F781" s="81" t="str">
        <f>if(isblank(K781),"",vlookup(K781,Pacing!$A$1:$Z$213,11))</f>
        <v>Progress</v>
      </c>
      <c r="G781" s="81" t="str">
        <f>if(isblank(L781),"",vlookup(L781,Pacing!$A$1:$Z$213,11))</f>
        <v>Progress</v>
      </c>
      <c r="H781" s="81" t="str">
        <f>if(isblank(M781),"",vlookup(M781,Pacing!$A$1:$Z$213,11))</f>
        <v>Progress</v>
      </c>
      <c r="I781" s="86" t="str">
        <f t="shared" ref="I781:M781" si="830">I780</f>
        <v/>
      </c>
      <c r="J781" s="86">
        <f t="shared" si="830"/>
        <v>123</v>
      </c>
      <c r="K781" s="86">
        <f t="shared" si="830"/>
        <v>124</v>
      </c>
      <c r="L781" s="86">
        <f t="shared" si="830"/>
        <v>125</v>
      </c>
      <c r="M781" s="86">
        <f t="shared" si="830"/>
        <v>126</v>
      </c>
    </row>
    <row r="782" ht="15.75" customHeight="1">
      <c r="A782" s="69"/>
      <c r="B782" s="69"/>
      <c r="C782" s="71"/>
      <c r="D782" s="129" t="str">
        <f>if(isblank(I782),"",vlookup(I782,Pacing!$A$1:$Z$213,12))</f>
        <v/>
      </c>
      <c r="E782" s="81" t="str">
        <f>if(isblank(J782),"",vlookup(J782,Pacing!$A$1:$Z$213,12))</f>
        <v>Review</v>
      </c>
      <c r="F782" s="81" t="str">
        <f>if(isblank(K782),"",vlookup(K782,Pacing!$A$1:$Z$213,12))</f>
        <v>Review</v>
      </c>
      <c r="G782" s="81" t="str">
        <f>if(isblank(L782),"",vlookup(L782,Pacing!$A$1:$Z$213,12))</f>
        <v>Review</v>
      </c>
      <c r="H782" s="81" t="str">
        <f>if(isblank(M782),"",vlookup(M782,Pacing!$A$1:$Z$213,12))</f>
        <v>Review</v>
      </c>
      <c r="I782" s="86" t="str">
        <f t="shared" ref="I782:M782" si="831">I781</f>
        <v/>
      </c>
      <c r="J782" s="86">
        <f t="shared" si="831"/>
        <v>123</v>
      </c>
      <c r="K782" s="86">
        <f t="shared" si="831"/>
        <v>124</v>
      </c>
      <c r="L782" s="86">
        <f t="shared" si="831"/>
        <v>125</v>
      </c>
      <c r="M782" s="86">
        <f t="shared" si="831"/>
        <v>126</v>
      </c>
    </row>
    <row r="783" ht="15.75" customHeight="1">
      <c r="A783" s="69"/>
      <c r="B783" s="69"/>
      <c r="C783" s="71"/>
      <c r="D783" s="129" t="str">
        <f>if(isblank(I783),"",vlookup(I783,Pacing!$A$1:$Z$213,13))</f>
        <v/>
      </c>
      <c r="E783" s="91" t="str">
        <f>if(isblank(J783),"",vlookup(J783,Pacing!$A$1:$Z$213,13))</f>
        <v/>
      </c>
      <c r="F783" s="91" t="str">
        <f>if(isblank(K783),"",vlookup(K783,Pacing!$A$1:$Z$213,13))</f>
        <v/>
      </c>
      <c r="G783" s="91" t="str">
        <f>if(isblank(L783),"",vlookup(L783,Pacing!$A$1:$Z$213,13))</f>
        <v/>
      </c>
      <c r="H783" s="91" t="str">
        <f>if(isblank(M783),"",vlookup(M783,Pacing!$A$1:$Z$213,13))</f>
        <v/>
      </c>
      <c r="I783" s="86" t="str">
        <f t="shared" ref="I783:M783" si="832">I782</f>
        <v/>
      </c>
      <c r="J783" s="86">
        <f t="shared" si="832"/>
        <v>123</v>
      </c>
      <c r="K783" s="86">
        <f t="shared" si="832"/>
        <v>124</v>
      </c>
      <c r="L783" s="86">
        <f t="shared" si="832"/>
        <v>125</v>
      </c>
      <c r="M783" s="86">
        <f t="shared" si="832"/>
        <v>126</v>
      </c>
    </row>
    <row r="784" ht="15.75" customHeight="1">
      <c r="A784" s="69"/>
      <c r="B784" s="69"/>
      <c r="C784" s="71"/>
      <c r="D784" s="129" t="str">
        <f>if(isblank(I784),"",vlookup(I784,Pacing!$A$1:$Z$213,14))</f>
        <v/>
      </c>
      <c r="E784" s="81" t="str">
        <f>if(isblank(J784),"",vlookup(J784,Pacing!$A$1:$Z$213,14))</f>
        <v>Notes Teacher</v>
      </c>
      <c r="F784" s="81" t="str">
        <f>if(isblank(K784),"",vlookup(K784,Pacing!$A$1:$Z$213,14))</f>
        <v>Notes Teacher</v>
      </c>
      <c r="G784" s="81" t="str">
        <f>if(isblank(L784),"",vlookup(L784,Pacing!$A$1:$Z$213,14))</f>
        <v>Notes Teacher</v>
      </c>
      <c r="H784" s="81" t="str">
        <f>if(isblank(M784),"",vlookup(M784,Pacing!$A$1:$Z$213,14))</f>
        <v>Notes Teacher</v>
      </c>
      <c r="I784" s="86" t="str">
        <f t="shared" ref="I784:M784" si="833">I783</f>
        <v/>
      </c>
      <c r="J784" s="86">
        <f t="shared" si="833"/>
        <v>123</v>
      </c>
      <c r="K784" s="86">
        <f t="shared" si="833"/>
        <v>124</v>
      </c>
      <c r="L784" s="86">
        <f t="shared" si="833"/>
        <v>125</v>
      </c>
      <c r="M784" s="86">
        <f t="shared" si="833"/>
        <v>126</v>
      </c>
    </row>
    <row r="785" ht="15.75" customHeight="1">
      <c r="A785" s="69"/>
      <c r="B785" s="69"/>
      <c r="C785" s="71"/>
      <c r="D785" s="129" t="str">
        <f>if(isblank(I785),"",vlookup(I785,Pacing!$A$1:$Z$213,15))</f>
        <v/>
      </c>
      <c r="E785" s="81" t="str">
        <f>if(isblank(J785),"",vlookup(J785,Pacing!$A$1:$Z$213,15))</f>
        <v>Demo Teacher</v>
      </c>
      <c r="F785" s="81" t="str">
        <f>if(isblank(K785),"",vlookup(K785,Pacing!$A$1:$Z$213,15))</f>
        <v>Demo Teacher</v>
      </c>
      <c r="G785" s="81" t="str">
        <f>if(isblank(L785),"",vlookup(L785,Pacing!$A$1:$Z$213,15))</f>
        <v>Demo Teacher</v>
      </c>
      <c r="H785" s="81" t="str">
        <f>if(isblank(M785),"",vlookup(M785,Pacing!$A$1:$Z$213,15))</f>
        <v>Demo Teacher</v>
      </c>
      <c r="I785" s="86" t="str">
        <f t="shared" ref="I785:M785" si="834">I784</f>
        <v/>
      </c>
      <c r="J785" s="86">
        <f t="shared" si="834"/>
        <v>123</v>
      </c>
      <c r="K785" s="86">
        <f t="shared" si="834"/>
        <v>124</v>
      </c>
      <c r="L785" s="86">
        <f t="shared" si="834"/>
        <v>125</v>
      </c>
      <c r="M785" s="86">
        <f t="shared" si="834"/>
        <v>126</v>
      </c>
    </row>
    <row r="786" ht="15.75" customHeight="1">
      <c r="A786" s="69"/>
      <c r="B786" s="69"/>
      <c r="C786" s="71"/>
      <c r="D786" s="129" t="str">
        <f>if(isblank(I786),"",vlookup(I786,Pacing!$A$1:$Z$213,16))</f>
        <v/>
      </c>
      <c r="E786" s="81" t="str">
        <f>if(isblank(J786),"",vlookup(J786,Pacing!$A$1:$Z$213,16))</f>
        <v>Invest Teacher</v>
      </c>
      <c r="F786" s="81" t="str">
        <f>if(isblank(K786),"",vlookup(K786,Pacing!$A$1:$Z$213,16))</f>
        <v>Invest Teacher</v>
      </c>
      <c r="G786" s="81" t="str">
        <f>if(isblank(L786),"",vlookup(L786,Pacing!$A$1:$Z$213,16))</f>
        <v>Invest Teacher</v>
      </c>
      <c r="H786" s="81" t="str">
        <f>if(isblank(M786),"",vlookup(M786,Pacing!$A$1:$Z$213,16))</f>
        <v>Invest Teacher</v>
      </c>
      <c r="I786" s="86" t="str">
        <f t="shared" ref="I786:M786" si="835">I785</f>
        <v/>
      </c>
      <c r="J786" s="86">
        <f t="shared" si="835"/>
        <v>123</v>
      </c>
      <c r="K786" s="86">
        <f t="shared" si="835"/>
        <v>124</v>
      </c>
      <c r="L786" s="86">
        <f t="shared" si="835"/>
        <v>125</v>
      </c>
      <c r="M786" s="86">
        <f t="shared" si="835"/>
        <v>126</v>
      </c>
    </row>
    <row r="787" ht="15.75" customHeight="1">
      <c r="A787" s="69"/>
      <c r="B787" s="69"/>
      <c r="C787" s="71"/>
      <c r="D787" s="129" t="str">
        <f>if(isblank(I787),"",vlookup(I787,Pacing!$A$1:$Z$213,17))</f>
        <v/>
      </c>
      <c r="E787" s="81" t="str">
        <f>if(isblank(J787),"",vlookup(J787,Pacing!$A$1:$Z$213,17))</f>
        <v>PT Teacher</v>
      </c>
      <c r="F787" s="81" t="str">
        <f>if(isblank(K787),"",vlookup(K787,Pacing!$A$1:$Z$213,17))</f>
        <v>PT Teacher</v>
      </c>
      <c r="G787" s="81" t="str">
        <f>if(isblank(L787),"",vlookup(L787,Pacing!$A$1:$Z$213,17))</f>
        <v>PT Teacher</v>
      </c>
      <c r="H787" s="81" t="str">
        <f>if(isblank(M787),"",vlookup(M787,Pacing!$A$1:$Z$213,17))</f>
        <v>PT Teacher</v>
      </c>
      <c r="I787" s="86" t="str">
        <f t="shared" ref="I787:M787" si="836">I786</f>
        <v/>
      </c>
      <c r="J787" s="86">
        <f t="shared" si="836"/>
        <v>123</v>
      </c>
      <c r="K787" s="86">
        <f t="shared" si="836"/>
        <v>124</v>
      </c>
      <c r="L787" s="86">
        <f t="shared" si="836"/>
        <v>125</v>
      </c>
      <c r="M787" s="86">
        <f t="shared" si="836"/>
        <v>126</v>
      </c>
    </row>
    <row r="788" ht="15.75" customHeight="1">
      <c r="A788" s="69"/>
      <c r="B788" s="69"/>
      <c r="C788" s="71"/>
      <c r="D788" s="129" t="str">
        <f>if(isblank(I788),"",vlookup(I788,Pacing!$A$1:$Z$213,18))</f>
        <v/>
      </c>
      <c r="E788" s="81" t="str">
        <f>if(isblank(J788),"",vlookup(J788,Pacing!$A$1:$Z$213,18))</f>
        <v>Assess Plan</v>
      </c>
      <c r="F788" s="81" t="str">
        <f>if(isblank(K788),"",vlookup(K788,Pacing!$A$1:$Z$213,18))</f>
        <v>Assess Plan</v>
      </c>
      <c r="G788" s="81" t="str">
        <f>if(isblank(L788),"",vlookup(L788,Pacing!$A$1:$Z$213,18))</f>
        <v>Assess Plan</v>
      </c>
      <c r="H788" s="81" t="str">
        <f>if(isblank(M788),"",vlookup(M788,Pacing!$A$1:$Z$213,18))</f>
        <v>Assess Plan</v>
      </c>
      <c r="I788" s="86" t="str">
        <f t="shared" ref="I788:M788" si="837">I787</f>
        <v/>
      </c>
      <c r="J788" s="86">
        <f t="shared" si="837"/>
        <v>123</v>
      </c>
      <c r="K788" s="86">
        <f t="shared" si="837"/>
        <v>124</v>
      </c>
      <c r="L788" s="86">
        <f t="shared" si="837"/>
        <v>125</v>
      </c>
      <c r="M788" s="86">
        <f t="shared" si="837"/>
        <v>126</v>
      </c>
    </row>
    <row r="789" ht="15.75" customHeight="1">
      <c r="A789" s="69"/>
      <c r="B789" s="69"/>
      <c r="C789" s="71"/>
      <c r="D789" s="129" t="str">
        <f>if(isblank(I789),"",vlookup(I789,Pacing!$A$1:$Z$213,19))</f>
        <v/>
      </c>
      <c r="E789" s="81" t="str">
        <f>if(isblank(J789),"",vlookup(J789,Pacing!$A$1:$Z$213,19))</f>
        <v>Perform Task</v>
      </c>
      <c r="F789" s="81" t="str">
        <f>if(isblank(K789),"",vlookup(K789,Pacing!$A$1:$Z$213,19))</f>
        <v>Perform Task</v>
      </c>
      <c r="G789" s="81" t="str">
        <f>if(isblank(L789),"",vlookup(L789,Pacing!$A$1:$Z$213,19))</f>
        <v>Perform Task</v>
      </c>
      <c r="H789" s="81" t="str">
        <f>if(isblank(M789),"",vlookup(M789,Pacing!$A$1:$Z$213,19))</f>
        <v>Perform Task</v>
      </c>
      <c r="I789" s="86" t="str">
        <f t="shared" ref="I789:M789" si="838">I788</f>
        <v/>
      </c>
      <c r="J789" s="86">
        <f t="shared" si="838"/>
        <v>123</v>
      </c>
      <c r="K789" s="86">
        <f t="shared" si="838"/>
        <v>124</v>
      </c>
      <c r="L789" s="86">
        <f t="shared" si="838"/>
        <v>125</v>
      </c>
      <c r="M789" s="86">
        <f t="shared" si="838"/>
        <v>126</v>
      </c>
    </row>
    <row r="790" ht="15.75" customHeight="1">
      <c r="A790" s="69"/>
      <c r="B790" s="69"/>
      <c r="C790" s="71"/>
      <c r="D790" s="129" t="str">
        <f>if(isblank(I790),"",vlookup(I790,Pacing!$A$1:$Z$213,20))</f>
        <v/>
      </c>
      <c r="E790" s="81" t="str">
        <f>if(isblank(J790),"",vlookup(J790,Pacing!$A$1:$Z$213,20))</f>
        <v>Quick Check</v>
      </c>
      <c r="F790" s="81" t="str">
        <f>if(isblank(K790),"",vlookup(K790,Pacing!$A$1:$Z$213,20))</f>
        <v>Quick Check</v>
      </c>
      <c r="G790" s="81" t="str">
        <f>if(isblank(L790),"",vlookup(L790,Pacing!$A$1:$Z$213,20))</f>
        <v>Quick Check</v>
      </c>
      <c r="H790" s="81" t="str">
        <f>if(isblank(M790),"",vlookup(M790,Pacing!$A$1:$Z$213,20))</f>
        <v>Quick Check</v>
      </c>
      <c r="I790" s="86" t="str">
        <f t="shared" ref="I790:M790" si="839">I789</f>
        <v/>
      </c>
      <c r="J790" s="86">
        <f t="shared" si="839"/>
        <v>123</v>
      </c>
      <c r="K790" s="86">
        <f t="shared" si="839"/>
        <v>124</v>
      </c>
      <c r="L790" s="86">
        <f t="shared" si="839"/>
        <v>125</v>
      </c>
      <c r="M790" s="86">
        <f t="shared" si="839"/>
        <v>126</v>
      </c>
    </row>
    <row r="791" ht="15.75" customHeight="1">
      <c r="A791" s="69"/>
      <c r="B791" s="69"/>
      <c r="C791" s="71"/>
      <c r="D791" s="129" t="str">
        <f>if(isblank(I791),"",vlookup(I791,Pacing!$A$1:$Z$213,21))</f>
        <v/>
      </c>
      <c r="E791" s="81" t="str">
        <f>if(isblank(J791),"",vlookup(J791,Pacing!$A$1:$Z$213,21))</f>
        <v>Exit Ticket</v>
      </c>
      <c r="F791" s="81" t="str">
        <f>if(isblank(K791),"",vlookup(K791,Pacing!$A$1:$Z$213,21))</f>
        <v>Exit Ticket</v>
      </c>
      <c r="G791" s="81" t="str">
        <f>if(isblank(L791),"",vlookup(L791,Pacing!$A$1:$Z$213,21))</f>
        <v>Exit Ticket</v>
      </c>
      <c r="H791" s="81" t="str">
        <f>if(isblank(M791),"",vlookup(M791,Pacing!$A$1:$Z$213,21))</f>
        <v>Exit Ticket</v>
      </c>
      <c r="I791" s="86" t="str">
        <f t="shared" ref="I791:M791" si="840">I790</f>
        <v/>
      </c>
      <c r="J791" s="86">
        <f t="shared" si="840"/>
        <v>123</v>
      </c>
      <c r="K791" s="86">
        <f t="shared" si="840"/>
        <v>124</v>
      </c>
      <c r="L791" s="86">
        <f t="shared" si="840"/>
        <v>125</v>
      </c>
      <c r="M791" s="86">
        <f t="shared" si="840"/>
        <v>126</v>
      </c>
    </row>
    <row r="792" ht="15.75" customHeight="1">
      <c r="A792" s="69"/>
      <c r="B792" s="69"/>
      <c r="C792" s="71"/>
      <c r="D792" s="129" t="str">
        <f>if(isblank(I792),"",vlookup(I792,Pacing!$A$1:$Z$213,22))</f>
        <v/>
      </c>
      <c r="E792" s="81" t="str">
        <f>if(isblank(J792),"",vlookup(J792,Pacing!$A$1:$Z$213,22))</f>
        <v>Practice 2</v>
      </c>
      <c r="F792" s="81" t="str">
        <f>if(isblank(K792),"",vlookup(K792,Pacing!$A$1:$Z$213,22))</f>
        <v>Practice 2</v>
      </c>
      <c r="G792" s="81" t="str">
        <f>if(isblank(L792),"",vlookup(L792,Pacing!$A$1:$Z$213,22))</f>
        <v>Practice 2</v>
      </c>
      <c r="H792" s="81" t="str">
        <f>if(isblank(M792),"",vlookup(M792,Pacing!$A$1:$Z$213,22))</f>
        <v>Practice 2</v>
      </c>
      <c r="I792" s="86" t="str">
        <f t="shared" ref="I792:M792" si="841">I791</f>
        <v/>
      </c>
      <c r="J792" s="86">
        <f t="shared" si="841"/>
        <v>123</v>
      </c>
      <c r="K792" s="86">
        <f t="shared" si="841"/>
        <v>124</v>
      </c>
      <c r="L792" s="86">
        <f t="shared" si="841"/>
        <v>125</v>
      </c>
      <c r="M792" s="86">
        <f t="shared" si="841"/>
        <v>126</v>
      </c>
    </row>
    <row r="793" ht="15.75" customHeight="1">
      <c r="A793" s="69"/>
      <c r="B793" s="69"/>
      <c r="C793" s="71"/>
      <c r="D793" s="129" t="str">
        <f>if(isblank(I793),"",vlookup(I793,Pacing!$A$1:$Z$213,23))</f>
        <v/>
      </c>
      <c r="E793" s="81" t="str">
        <f>if(isblank(J793),"",vlookup(J793,Pacing!$A$1:$Z$213,23))</f>
        <v>Practice 3</v>
      </c>
      <c r="F793" s="81" t="str">
        <f>if(isblank(K793),"",vlookup(K793,Pacing!$A$1:$Z$213,23))</f>
        <v>Practice 3</v>
      </c>
      <c r="G793" s="81" t="str">
        <f>if(isblank(L793),"",vlookup(L793,Pacing!$A$1:$Z$213,23))</f>
        <v>Practice 3</v>
      </c>
      <c r="H793" s="81" t="str">
        <f>if(isblank(M793),"",vlookup(M793,Pacing!$A$1:$Z$213,23))</f>
        <v>Practice 3</v>
      </c>
      <c r="I793" s="86" t="str">
        <f t="shared" ref="I793:M793" si="842">I792</f>
        <v/>
      </c>
      <c r="J793" s="86">
        <f t="shared" si="842"/>
        <v>123</v>
      </c>
      <c r="K793" s="86">
        <f t="shared" si="842"/>
        <v>124</v>
      </c>
      <c r="L793" s="86">
        <f t="shared" si="842"/>
        <v>125</v>
      </c>
      <c r="M793" s="86">
        <f t="shared" si="842"/>
        <v>126</v>
      </c>
    </row>
    <row r="794" ht="15.75" customHeight="1">
      <c r="A794" s="69"/>
      <c r="B794" s="69"/>
      <c r="C794" s="71"/>
      <c r="D794" s="129" t="str">
        <f>if(isblank(I794),"",vlookup(I794,Pacing!$A$1:$Z$213,24))</f>
        <v/>
      </c>
      <c r="E794" s="81" t="str">
        <f>if(isblank(J794),"",vlookup(J794,Pacing!$A$1:$Z$213,24))</f>
        <v>Sum Assess</v>
      </c>
      <c r="F794" s="81" t="str">
        <f>if(isblank(K794),"",vlookup(K794,Pacing!$A$1:$Z$213,24))</f>
        <v>Sum Assess</v>
      </c>
      <c r="G794" s="81" t="str">
        <f>if(isblank(L794),"",vlookup(L794,Pacing!$A$1:$Z$213,24))</f>
        <v>Sum Assess</v>
      </c>
      <c r="H794" s="81" t="str">
        <f>if(isblank(M794),"",vlookup(M794,Pacing!$A$1:$Z$213,24))</f>
        <v>Sum Assess</v>
      </c>
      <c r="I794" s="86" t="str">
        <f t="shared" ref="I794:M794" si="843">I793</f>
        <v/>
      </c>
      <c r="J794" s="86">
        <f t="shared" si="843"/>
        <v>123</v>
      </c>
      <c r="K794" s="86">
        <f t="shared" si="843"/>
        <v>124</v>
      </c>
      <c r="L794" s="86">
        <f t="shared" si="843"/>
        <v>125</v>
      </c>
      <c r="M794" s="86">
        <f t="shared" si="843"/>
        <v>126</v>
      </c>
    </row>
    <row r="795" ht="15.75" customHeight="1">
      <c r="A795" s="69"/>
      <c r="B795" s="69"/>
      <c r="C795" s="71"/>
      <c r="D795" s="129" t="str">
        <f>if(isblank(I795),"",vlookup(I795,Pacing!$A$1:$Z$213,25))</f>
        <v/>
      </c>
      <c r="E795" s="81" t="str">
        <f>if(isblank(J795),"",vlookup(J795,Pacing!$A$1:$Z$213,25))</f>
        <v>Bank</v>
      </c>
      <c r="F795" s="81" t="str">
        <f>if(isblank(K795),"",vlookup(K795,Pacing!$A$1:$Z$213,25))</f>
        <v>Bank</v>
      </c>
      <c r="G795" s="81" t="str">
        <f>if(isblank(L795),"",vlookup(L795,Pacing!$A$1:$Z$213,25))</f>
        <v>Bank</v>
      </c>
      <c r="H795" s="81" t="str">
        <f>if(isblank(M795),"",vlookup(M795,Pacing!$A$1:$Z$213,25))</f>
        <v>Bank</v>
      </c>
      <c r="I795" s="86" t="str">
        <f t="shared" ref="I795:M795" si="844">I794</f>
        <v/>
      </c>
      <c r="J795" s="86">
        <f t="shared" si="844"/>
        <v>123</v>
      </c>
      <c r="K795" s="86">
        <f t="shared" si="844"/>
        <v>124</v>
      </c>
      <c r="L795" s="86">
        <f t="shared" si="844"/>
        <v>125</v>
      </c>
      <c r="M795" s="86">
        <f t="shared" si="844"/>
        <v>126</v>
      </c>
    </row>
    <row r="796" ht="15.75" customHeight="1">
      <c r="A796" s="69"/>
      <c r="B796" s="69"/>
      <c r="C796" s="71"/>
      <c r="D796" s="129" t="str">
        <f>if(isblank(I796),"",vlookup(I796,Pacing!$A$1:$Z$213,26))</f>
        <v/>
      </c>
      <c r="E796" s="89" t="str">
        <f>if(isblank(J796),"",vlookup(J796,Pacing!$A$1:$Z$213,26))</f>
        <v/>
      </c>
      <c r="F796" s="89" t="str">
        <f>if(isblank(K796),"",vlookup(K796,Pacing!$A$1:$Z$213,26))</f>
        <v/>
      </c>
      <c r="G796" s="89" t="str">
        <f>if(isblank(L796),"",vlookup(L796,Pacing!$A$1:$Z$213,26))</f>
        <v/>
      </c>
      <c r="H796" s="89" t="str">
        <f>if(isblank(M796),"",vlookup(M796,Pacing!$A$1:$Z$213,26))</f>
        <v/>
      </c>
      <c r="I796" s="86" t="str">
        <f t="shared" ref="I796:M796" si="845">I795</f>
        <v/>
      </c>
      <c r="J796" s="86">
        <f t="shared" si="845"/>
        <v>123</v>
      </c>
      <c r="K796" s="86">
        <f t="shared" si="845"/>
        <v>124</v>
      </c>
      <c r="L796" s="86">
        <f t="shared" si="845"/>
        <v>125</v>
      </c>
      <c r="M796" s="86">
        <f t="shared" si="845"/>
        <v>126</v>
      </c>
    </row>
    <row r="797" ht="15.75" customHeight="1">
      <c r="A797" s="137"/>
      <c r="B797" s="137"/>
      <c r="C797" s="138"/>
      <c r="D797" s="139">
        <f>H770+1</f>
        <v>127</v>
      </c>
      <c r="E797" s="139">
        <f t="shared" ref="E797:G797" si="846">D797+1</f>
        <v>128</v>
      </c>
      <c r="F797" s="139">
        <f t="shared" si="846"/>
        <v>129</v>
      </c>
      <c r="G797" s="139">
        <f t="shared" si="846"/>
        <v>130</v>
      </c>
      <c r="H797" s="139"/>
      <c r="I797" s="55">
        <f t="shared" ref="I797:M797" si="847">D797</f>
        <v>127</v>
      </c>
      <c r="J797" s="55">
        <f t="shared" si="847"/>
        <v>128</v>
      </c>
      <c r="K797" s="55">
        <f t="shared" si="847"/>
        <v>129</v>
      </c>
      <c r="L797" s="55">
        <f t="shared" si="847"/>
        <v>130</v>
      </c>
      <c r="M797" s="55" t="str">
        <f t="shared" si="847"/>
        <v/>
      </c>
    </row>
    <row r="798" ht="15.75" customHeight="1">
      <c r="A798" s="69">
        <f>B798+1</f>
        <v>301</v>
      </c>
      <c r="B798" s="69">
        <f t="shared" ref="B798:B805" si="849">$C$798*10</f>
        <v>300</v>
      </c>
      <c r="C798" s="71">
        <f>C771+1</f>
        <v>30</v>
      </c>
      <c r="D798" s="72">
        <f>D771+7</f>
        <v>46468</v>
      </c>
      <c r="E798" s="72">
        <f t="shared" ref="E798:H798" si="848">D798+1</f>
        <v>46469</v>
      </c>
      <c r="F798" s="72">
        <f t="shared" si="848"/>
        <v>46470</v>
      </c>
      <c r="G798" s="72">
        <f t="shared" si="848"/>
        <v>46471</v>
      </c>
      <c r="H798" s="74">
        <f t="shared" si="848"/>
        <v>46472</v>
      </c>
      <c r="I798" s="62" t="s">
        <v>42</v>
      </c>
    </row>
    <row r="799" ht="15.75" customHeight="1">
      <c r="A799" s="75">
        <f>B799+2</f>
        <v>302</v>
      </c>
      <c r="B799" s="75">
        <f t="shared" si="849"/>
        <v>300</v>
      </c>
      <c r="C799" s="76"/>
      <c r="D799" s="131" t="str">
        <f>if(isblank(I799),"",vlookup(I799,Pacing!$A$1:$Z$213,2))</f>
        <v>8.4: Generators &amp; AC</v>
      </c>
      <c r="E799" s="131" t="str">
        <f>if(isblank(J799),"",vlookup(J799,Pacing!$A$1:$Z$213,2))</f>
        <v>8.4: Generators &amp; AC</v>
      </c>
      <c r="F799" s="131" t="str">
        <f>if(isblank(K799),"",vlookup(K799,Pacing!$A$1:$Z$213,2))</f>
        <v>8.5: Modern EM Systems</v>
      </c>
      <c r="G799" s="131" t="str">
        <f>if(isblank(L799),"",vlookup(L799,Pacing!$A$1:$Z$213,2))</f>
        <v>8.5: Modern EM Systems</v>
      </c>
      <c r="H799" s="77" t="str">
        <f>if(isblank(M799),"",vlookup(M799,Pacing!$A$1:$Z$213,2))</f>
        <v/>
      </c>
      <c r="I799" s="78">
        <f t="shared" ref="I799:M799" si="850">I797</f>
        <v>127</v>
      </c>
      <c r="J799" s="78">
        <f t="shared" si="850"/>
        <v>128</v>
      </c>
      <c r="K799" s="78">
        <f t="shared" si="850"/>
        <v>129</v>
      </c>
      <c r="L799" s="78">
        <f t="shared" si="850"/>
        <v>130</v>
      </c>
      <c r="M799" s="78" t="str">
        <f t="shared" si="850"/>
        <v/>
      </c>
    </row>
    <row r="800" ht="15.75" customHeight="1">
      <c r="A800" s="69">
        <f>B800+3</f>
        <v>303</v>
      </c>
      <c r="B800" s="69">
        <f t="shared" si="849"/>
        <v>300</v>
      </c>
      <c r="C800" s="76"/>
      <c r="D800" s="81" t="str">
        <f>if(isblank(I800),"",vlookup(I800,Pacing!$A$1:$Z$213,3))</f>
        <v>Warm Up</v>
      </c>
      <c r="E800" s="81" t="str">
        <f>if(isblank(J800),"",vlookup(J800,Pacing!$A$1:$Z$213,3))</f>
        <v>Warm Up</v>
      </c>
      <c r="F800" s="81" t="str">
        <f>if(isblank(K800),"",vlookup(K800,Pacing!$A$1:$Z$213,3))</f>
        <v>Warm Up</v>
      </c>
      <c r="G800" s="81" t="str">
        <f>if(isblank(L800),"",vlookup(L800,Pacing!$A$1:$Z$213,3))</f>
        <v>Warm Up</v>
      </c>
      <c r="H800" s="85" t="str">
        <f>if(isblank(M800),"",vlookup(M800,Pacing!$A$1:$Z$213,3))</f>
        <v/>
      </c>
      <c r="I800" s="86">
        <f t="shared" ref="I800:M800" si="851">I799</f>
        <v>127</v>
      </c>
      <c r="J800" s="86">
        <f t="shared" si="851"/>
        <v>128</v>
      </c>
      <c r="K800" s="86">
        <f t="shared" si="851"/>
        <v>129</v>
      </c>
      <c r="L800" s="86">
        <f t="shared" si="851"/>
        <v>130</v>
      </c>
      <c r="M800" s="86" t="str">
        <f t="shared" si="851"/>
        <v/>
      </c>
    </row>
    <row r="801" ht="15.75" customHeight="1">
      <c r="A801" s="69">
        <f>B801+4</f>
        <v>304</v>
      </c>
      <c r="B801" s="69">
        <f t="shared" si="849"/>
        <v>300</v>
      </c>
      <c r="C801" s="76"/>
      <c r="D801" s="81" t="str">
        <f>if(isblank(I801),"",vlookup(I801,Pacing!$A$1:$Z$213,4))</f>
        <v>Demo</v>
      </c>
      <c r="E801" s="81" t="str">
        <f>if(isblank(J801),"",vlookup(J801,Pacing!$A$1:$Z$213,4))</f>
        <v>Demo</v>
      </c>
      <c r="F801" s="81" t="str">
        <f>if(isblank(K801),"",vlookup(K801,Pacing!$A$1:$Z$213,4))</f>
        <v>Demo</v>
      </c>
      <c r="G801" s="81" t="str">
        <f>if(isblank(L801),"",vlookup(L801,Pacing!$A$1:$Z$213,4))</f>
        <v>Demo</v>
      </c>
      <c r="H801" s="85" t="str">
        <f>if(isblank(M801),"",vlookup(M801,Pacing!$A$1:$Z$213,4))</f>
        <v/>
      </c>
      <c r="I801" s="86">
        <f t="shared" ref="I801:M801" si="852">I800</f>
        <v>127</v>
      </c>
      <c r="J801" s="86">
        <f t="shared" si="852"/>
        <v>128</v>
      </c>
      <c r="K801" s="86">
        <f t="shared" si="852"/>
        <v>129</v>
      </c>
      <c r="L801" s="86">
        <f t="shared" si="852"/>
        <v>130</v>
      </c>
      <c r="M801" s="86" t="str">
        <f t="shared" si="852"/>
        <v/>
      </c>
    </row>
    <row r="802" ht="15.75" customHeight="1">
      <c r="A802" s="69">
        <f>B802+5</f>
        <v>305</v>
      </c>
      <c r="B802" s="69">
        <f t="shared" si="849"/>
        <v>300</v>
      </c>
      <c r="C802" s="76"/>
      <c r="D802" s="81" t="str">
        <f>if(isblank(I802),"",vlookup(I802,Pacing!$A$1:$Z$213,5))</f>
        <v>Notes</v>
      </c>
      <c r="E802" s="81" t="str">
        <f>if(isblank(J802),"",vlookup(J802,Pacing!$A$1:$Z$213,5))</f>
        <v>Notes</v>
      </c>
      <c r="F802" s="81" t="str">
        <f>if(isblank(K802),"",vlookup(K802,Pacing!$A$1:$Z$213,5))</f>
        <v>Notes</v>
      </c>
      <c r="G802" s="81" t="str">
        <f>if(isblank(L802),"",vlookup(L802,Pacing!$A$1:$Z$213,5))</f>
        <v>Notes</v>
      </c>
      <c r="H802" s="85" t="str">
        <f>if(isblank(M802),"",vlookup(M802,Pacing!$A$1:$Z$213,5))</f>
        <v/>
      </c>
      <c r="I802" s="86">
        <f t="shared" ref="I802:M802" si="853">I801</f>
        <v>127</v>
      </c>
      <c r="J802" s="86">
        <f t="shared" si="853"/>
        <v>128</v>
      </c>
      <c r="K802" s="86">
        <f t="shared" si="853"/>
        <v>129</v>
      </c>
      <c r="L802" s="86">
        <f t="shared" si="853"/>
        <v>130</v>
      </c>
      <c r="M802" s="86" t="str">
        <f t="shared" si="853"/>
        <v/>
      </c>
    </row>
    <row r="803" ht="15.75" customHeight="1">
      <c r="A803" s="69">
        <f>B803+6</f>
        <v>306</v>
      </c>
      <c r="B803" s="69">
        <f t="shared" si="849"/>
        <v>300</v>
      </c>
      <c r="C803" s="76"/>
      <c r="D803" s="81" t="str">
        <f>if(isblank(I803),"",vlookup(I803,Pacing!$A$1:$Z$213,6))</f>
        <v>Investigation</v>
      </c>
      <c r="E803" s="81" t="str">
        <f>if(isblank(J803),"",vlookup(J803,Pacing!$A$1:$Z$213,6))</f>
        <v>Investigation</v>
      </c>
      <c r="F803" s="81" t="str">
        <f>if(isblank(K803),"",vlookup(K803,Pacing!$A$1:$Z$213,6))</f>
        <v>Investigation</v>
      </c>
      <c r="G803" s="81" t="str">
        <f>if(isblank(L803),"",vlookup(L803,Pacing!$A$1:$Z$213,6))</f>
        <v>Investigation</v>
      </c>
      <c r="H803" s="85" t="str">
        <f>if(isblank(M803),"",vlookup(M803,Pacing!$A$1:$Z$213,6))</f>
        <v/>
      </c>
      <c r="I803" s="86">
        <f t="shared" ref="I803:M803" si="854">I802</f>
        <v>127</v>
      </c>
      <c r="J803" s="86">
        <f t="shared" si="854"/>
        <v>128</v>
      </c>
      <c r="K803" s="86">
        <f t="shared" si="854"/>
        <v>129</v>
      </c>
      <c r="L803" s="86">
        <f t="shared" si="854"/>
        <v>130</v>
      </c>
      <c r="M803" s="86" t="str">
        <f t="shared" si="854"/>
        <v/>
      </c>
    </row>
    <row r="804" ht="15.75" customHeight="1">
      <c r="A804" s="69">
        <f>B804+7</f>
        <v>307</v>
      </c>
      <c r="B804" s="69">
        <f t="shared" si="849"/>
        <v>300</v>
      </c>
      <c r="C804" s="76"/>
      <c r="D804" s="81" t="str">
        <f>if(isblank(I804),"",vlookup(I804,Pacing!$A$1:$Z$213,7))</f>
        <v>Activity</v>
      </c>
      <c r="E804" s="81" t="str">
        <f>if(isblank(J804),"",vlookup(J804,Pacing!$A$1:$Z$213,7))</f>
        <v>Activity</v>
      </c>
      <c r="F804" s="81" t="str">
        <f>if(isblank(K804),"",vlookup(K804,Pacing!$A$1:$Z$213,7))</f>
        <v>Activity</v>
      </c>
      <c r="G804" s="81" t="str">
        <f>if(isblank(L804),"",vlookup(L804,Pacing!$A$1:$Z$213,7))</f>
        <v>Activity</v>
      </c>
      <c r="H804" s="85" t="str">
        <f>if(isblank(M804),"",vlookup(M804,Pacing!$A$1:$Z$213,7))</f>
        <v/>
      </c>
      <c r="I804" s="86">
        <f t="shared" ref="I804:M804" si="855">I803</f>
        <v>127</v>
      </c>
      <c r="J804" s="86">
        <f t="shared" si="855"/>
        <v>128</v>
      </c>
      <c r="K804" s="86">
        <f t="shared" si="855"/>
        <v>129</v>
      </c>
      <c r="L804" s="86">
        <f t="shared" si="855"/>
        <v>130</v>
      </c>
      <c r="M804" s="86" t="str">
        <f t="shared" si="855"/>
        <v/>
      </c>
    </row>
    <row r="805" ht="15.75" customHeight="1">
      <c r="A805" s="69">
        <f>B805+8</f>
        <v>308</v>
      </c>
      <c r="B805" s="69">
        <f t="shared" si="849"/>
        <v>300</v>
      </c>
      <c r="C805" s="95"/>
      <c r="D805" s="81" t="str">
        <f>if(isblank(I805),"",vlookup(I805,Pacing!$A$1:$Z$213,8))</f>
        <v>Practice Set</v>
      </c>
      <c r="E805" s="81" t="str">
        <f>if(isblank(J805),"",vlookup(J805,Pacing!$A$1:$Z$213,8))</f>
        <v>Practice Set</v>
      </c>
      <c r="F805" s="81" t="str">
        <f>if(isblank(K805),"",vlookup(K805,Pacing!$A$1:$Z$213,8))</f>
        <v>Practice Set</v>
      </c>
      <c r="G805" s="81" t="str">
        <f>if(isblank(L805),"",vlookup(L805,Pacing!$A$1:$Z$213,8))</f>
        <v>Practice Set</v>
      </c>
      <c r="H805" s="85" t="str">
        <f>if(isblank(M805),"",vlookup(M805,Pacing!$A$1:$Z$213,8))</f>
        <v/>
      </c>
      <c r="I805" s="86">
        <f t="shared" ref="I805:M805" si="856">I804</f>
        <v>127</v>
      </c>
      <c r="J805" s="86">
        <f t="shared" si="856"/>
        <v>128</v>
      </c>
      <c r="K805" s="86">
        <f t="shared" si="856"/>
        <v>129</v>
      </c>
      <c r="L805" s="86">
        <f t="shared" si="856"/>
        <v>130</v>
      </c>
      <c r="M805" s="86" t="str">
        <f t="shared" si="856"/>
        <v/>
      </c>
    </row>
    <row r="806" ht="15.75" customHeight="1">
      <c r="A806" s="69"/>
      <c r="B806" s="69"/>
      <c r="C806" s="71"/>
      <c r="D806" s="81" t="str">
        <f>if(isblank(I806),"",vlookup(I806,Pacing!$A$1:$Z$213,9))</f>
        <v>Extra Practice</v>
      </c>
      <c r="E806" s="81" t="str">
        <f>if(isblank(J806),"",vlookup(J806,Pacing!$A$1:$Z$213,9))</f>
        <v>Extra Practice</v>
      </c>
      <c r="F806" s="81" t="str">
        <f>if(isblank(K806),"",vlookup(K806,Pacing!$A$1:$Z$213,9))</f>
        <v>Extra Practice</v>
      </c>
      <c r="G806" s="81" t="str">
        <f>if(isblank(L806),"",vlookup(L806,Pacing!$A$1:$Z$213,9))</f>
        <v>Extra Practice</v>
      </c>
      <c r="H806" s="85" t="str">
        <f>if(isblank(M806),"",vlookup(M806,Pacing!$A$1:$Z$213,9))</f>
        <v/>
      </c>
      <c r="I806" s="86">
        <f t="shared" ref="I806:M806" si="857">I805</f>
        <v>127</v>
      </c>
      <c r="J806" s="86">
        <f t="shared" si="857"/>
        <v>128</v>
      </c>
      <c r="K806" s="86">
        <f t="shared" si="857"/>
        <v>129</v>
      </c>
      <c r="L806" s="86">
        <f t="shared" si="857"/>
        <v>130</v>
      </c>
      <c r="M806" s="86" t="str">
        <f t="shared" si="857"/>
        <v/>
      </c>
    </row>
    <row r="807" ht="15.75" customHeight="1">
      <c r="A807" s="69"/>
      <c r="B807" s="69"/>
      <c r="C807" s="71"/>
      <c r="D807" s="81" t="str">
        <f>if(isblank(I807),"",vlookup(I807,Pacing!$A$1:$Z$213,10))</f>
        <v>CYU</v>
      </c>
      <c r="E807" s="81" t="str">
        <f>if(isblank(J807),"",vlookup(J807,Pacing!$A$1:$Z$213,10))</f>
        <v>CYU</v>
      </c>
      <c r="F807" s="81" t="str">
        <f>if(isblank(K807),"",vlookup(K807,Pacing!$A$1:$Z$213,10))</f>
        <v>CYU</v>
      </c>
      <c r="G807" s="81" t="str">
        <f>if(isblank(L807),"",vlookup(L807,Pacing!$A$1:$Z$213,10))</f>
        <v>CYU</v>
      </c>
      <c r="H807" s="85" t="str">
        <f>if(isblank(M807),"",vlookup(M807,Pacing!$A$1:$Z$213,10))</f>
        <v/>
      </c>
      <c r="I807" s="86">
        <f t="shared" ref="I807:M807" si="858">I806</f>
        <v>127</v>
      </c>
      <c r="J807" s="86">
        <f t="shared" si="858"/>
        <v>128</v>
      </c>
      <c r="K807" s="86">
        <f t="shared" si="858"/>
        <v>129</v>
      </c>
      <c r="L807" s="86">
        <f t="shared" si="858"/>
        <v>130</v>
      </c>
      <c r="M807" s="86" t="str">
        <f t="shared" si="858"/>
        <v/>
      </c>
    </row>
    <row r="808" ht="15.75" customHeight="1">
      <c r="A808" s="69"/>
      <c r="B808" s="69"/>
      <c r="C808" s="71"/>
      <c r="D808" s="81" t="str">
        <f>if(isblank(I808),"",vlookup(I808,Pacing!$A$1:$Z$213,11))</f>
        <v>Progress</v>
      </c>
      <c r="E808" s="81" t="str">
        <f>if(isblank(J808),"",vlookup(J808,Pacing!$A$1:$Z$213,11))</f>
        <v>Progress</v>
      </c>
      <c r="F808" s="81" t="str">
        <f>if(isblank(K808),"",vlookup(K808,Pacing!$A$1:$Z$213,11))</f>
        <v>Progress</v>
      </c>
      <c r="G808" s="81" t="str">
        <f>if(isblank(L808),"",vlookup(L808,Pacing!$A$1:$Z$213,11))</f>
        <v>Progress</v>
      </c>
      <c r="H808" s="85" t="str">
        <f>if(isblank(M808),"",vlookup(M808,Pacing!$A$1:$Z$213,11))</f>
        <v/>
      </c>
      <c r="I808" s="86">
        <f t="shared" ref="I808:M808" si="859">I807</f>
        <v>127</v>
      </c>
      <c r="J808" s="86">
        <f t="shared" si="859"/>
        <v>128</v>
      </c>
      <c r="K808" s="86">
        <f t="shared" si="859"/>
        <v>129</v>
      </c>
      <c r="L808" s="86">
        <f t="shared" si="859"/>
        <v>130</v>
      </c>
      <c r="M808" s="86" t="str">
        <f t="shared" si="859"/>
        <v/>
      </c>
    </row>
    <row r="809" ht="15.75" customHeight="1">
      <c r="A809" s="69"/>
      <c r="B809" s="69"/>
      <c r="C809" s="71"/>
      <c r="D809" s="81" t="str">
        <f>if(isblank(I809),"",vlookup(I809,Pacing!$A$1:$Z$213,12))</f>
        <v>Review</v>
      </c>
      <c r="E809" s="81" t="str">
        <f>if(isblank(J809),"",vlookup(J809,Pacing!$A$1:$Z$213,12))</f>
        <v>Review</v>
      </c>
      <c r="F809" s="81" t="str">
        <f>if(isblank(K809),"",vlookup(K809,Pacing!$A$1:$Z$213,12))</f>
        <v>Review</v>
      </c>
      <c r="G809" s="81" t="str">
        <f>if(isblank(L809),"",vlookup(L809,Pacing!$A$1:$Z$213,12))</f>
        <v>Review</v>
      </c>
      <c r="H809" s="129" t="str">
        <f>if(isblank(M809),"",vlookup(M809,Pacing!$A$1:$Z$213,12))</f>
        <v/>
      </c>
      <c r="I809" s="86">
        <f t="shared" ref="I809:M809" si="860">I808</f>
        <v>127</v>
      </c>
      <c r="J809" s="86">
        <f t="shared" si="860"/>
        <v>128</v>
      </c>
      <c r="K809" s="86">
        <f t="shared" si="860"/>
        <v>129</v>
      </c>
      <c r="L809" s="86">
        <f t="shared" si="860"/>
        <v>130</v>
      </c>
      <c r="M809" s="86" t="str">
        <f t="shared" si="860"/>
        <v/>
      </c>
    </row>
    <row r="810" ht="15.75" customHeight="1">
      <c r="A810" s="69"/>
      <c r="B810" s="69"/>
      <c r="C810" s="71"/>
      <c r="D810" s="91" t="str">
        <f>if(isblank(I810),"",vlookup(I810,Pacing!$A$1:$Z$213,13))</f>
        <v/>
      </c>
      <c r="E810" s="91" t="str">
        <f>if(isblank(J810),"",vlookup(J810,Pacing!$A$1:$Z$213,13))</f>
        <v/>
      </c>
      <c r="F810" s="91" t="str">
        <f>if(isblank(K810),"",vlookup(K810,Pacing!$A$1:$Z$213,13))</f>
        <v/>
      </c>
      <c r="G810" s="91" t="str">
        <f>if(isblank(L810),"",vlookup(L810,Pacing!$A$1:$Z$213,13))</f>
        <v/>
      </c>
      <c r="H810" s="129" t="str">
        <f>if(isblank(M810),"",vlookup(M810,Pacing!$A$1:$Z$213,13))</f>
        <v/>
      </c>
      <c r="I810" s="86">
        <f t="shared" ref="I810:M810" si="861">I809</f>
        <v>127</v>
      </c>
      <c r="J810" s="86">
        <f t="shared" si="861"/>
        <v>128</v>
      </c>
      <c r="K810" s="86">
        <f t="shared" si="861"/>
        <v>129</v>
      </c>
      <c r="L810" s="86">
        <f t="shared" si="861"/>
        <v>130</v>
      </c>
      <c r="M810" s="86" t="str">
        <f t="shared" si="861"/>
        <v/>
      </c>
    </row>
    <row r="811" ht="15.75" customHeight="1">
      <c r="A811" s="69"/>
      <c r="B811" s="69"/>
      <c r="C811" s="71"/>
      <c r="D811" s="81" t="str">
        <f>if(isblank(I811),"",vlookup(I811,Pacing!$A$1:$Z$213,14))</f>
        <v>Notes Teacher</v>
      </c>
      <c r="E811" s="81" t="str">
        <f>if(isblank(J811),"",vlookup(J811,Pacing!$A$1:$Z$213,14))</f>
        <v>Notes Teacher</v>
      </c>
      <c r="F811" s="81" t="str">
        <f>if(isblank(K811),"",vlookup(K811,Pacing!$A$1:$Z$213,14))</f>
        <v>Notes Teacher</v>
      </c>
      <c r="G811" s="81" t="str">
        <f>if(isblank(L811),"",vlookup(L811,Pacing!$A$1:$Z$213,14))</f>
        <v>Notes Teacher</v>
      </c>
      <c r="H811" s="85" t="str">
        <f>if(isblank(M811),"",vlookup(M811,Pacing!$A$1:$Z$213,14))</f>
        <v/>
      </c>
      <c r="I811" s="86">
        <f t="shared" ref="I811:M811" si="862">I810</f>
        <v>127</v>
      </c>
      <c r="J811" s="86">
        <f t="shared" si="862"/>
        <v>128</v>
      </c>
      <c r="K811" s="86">
        <f t="shared" si="862"/>
        <v>129</v>
      </c>
      <c r="L811" s="86">
        <f t="shared" si="862"/>
        <v>130</v>
      </c>
      <c r="M811" s="86" t="str">
        <f t="shared" si="862"/>
        <v/>
      </c>
    </row>
    <row r="812" ht="15.75" customHeight="1">
      <c r="A812" s="69"/>
      <c r="B812" s="69"/>
      <c r="C812" s="71"/>
      <c r="D812" s="81" t="str">
        <f>if(isblank(I812),"",vlookup(I812,Pacing!$A$1:$Z$213,15))</f>
        <v>Demo Teacher</v>
      </c>
      <c r="E812" s="81" t="str">
        <f>if(isblank(J812),"",vlookup(J812,Pacing!$A$1:$Z$213,15))</f>
        <v>Demo Teacher</v>
      </c>
      <c r="F812" s="81" t="str">
        <f>if(isblank(K812),"",vlookup(K812,Pacing!$A$1:$Z$213,15))</f>
        <v>Demo Teacher</v>
      </c>
      <c r="G812" s="81" t="str">
        <f>if(isblank(L812),"",vlookup(L812,Pacing!$A$1:$Z$213,15))</f>
        <v>Demo Teacher</v>
      </c>
      <c r="H812" s="85" t="str">
        <f>if(isblank(M812),"",vlookup(M812,Pacing!$A$1:$Z$213,15))</f>
        <v/>
      </c>
      <c r="I812" s="86">
        <f t="shared" ref="I812:M812" si="863">I811</f>
        <v>127</v>
      </c>
      <c r="J812" s="86">
        <f t="shared" si="863"/>
        <v>128</v>
      </c>
      <c r="K812" s="86">
        <f t="shared" si="863"/>
        <v>129</v>
      </c>
      <c r="L812" s="86">
        <f t="shared" si="863"/>
        <v>130</v>
      </c>
      <c r="M812" s="86" t="str">
        <f t="shared" si="863"/>
        <v/>
      </c>
    </row>
    <row r="813" ht="15.75" customHeight="1">
      <c r="A813" s="69"/>
      <c r="B813" s="69"/>
      <c r="C813" s="71"/>
      <c r="D813" s="81" t="str">
        <f>if(isblank(I813),"",vlookup(I813,Pacing!$A$1:$Z$213,16))</f>
        <v>Invest Teacher</v>
      </c>
      <c r="E813" s="81" t="str">
        <f>if(isblank(J813),"",vlookup(J813,Pacing!$A$1:$Z$213,16))</f>
        <v>Invest Teacher</v>
      </c>
      <c r="F813" s="81" t="str">
        <f>if(isblank(K813),"",vlookup(K813,Pacing!$A$1:$Z$213,16))</f>
        <v>Invest Teacher</v>
      </c>
      <c r="G813" s="81" t="str">
        <f>if(isblank(L813),"",vlookup(L813,Pacing!$A$1:$Z$213,16))</f>
        <v>Invest Teacher</v>
      </c>
      <c r="H813" s="85" t="str">
        <f>if(isblank(M813),"",vlookup(M813,Pacing!$A$1:$Z$213,16))</f>
        <v/>
      </c>
      <c r="I813" s="86">
        <f t="shared" ref="I813:M813" si="864">I812</f>
        <v>127</v>
      </c>
      <c r="J813" s="86">
        <f t="shared" si="864"/>
        <v>128</v>
      </c>
      <c r="K813" s="86">
        <f t="shared" si="864"/>
        <v>129</v>
      </c>
      <c r="L813" s="86">
        <f t="shared" si="864"/>
        <v>130</v>
      </c>
      <c r="M813" s="86" t="str">
        <f t="shared" si="864"/>
        <v/>
      </c>
    </row>
    <row r="814" ht="15.75" customHeight="1">
      <c r="A814" s="69"/>
      <c r="B814" s="69"/>
      <c r="C814" s="71"/>
      <c r="D814" s="81" t="str">
        <f>if(isblank(I814),"",vlookup(I814,Pacing!$A$1:$Z$213,17))</f>
        <v>PT Teacher</v>
      </c>
      <c r="E814" s="81" t="str">
        <f>if(isblank(J814),"",vlookup(J814,Pacing!$A$1:$Z$213,17))</f>
        <v>PT Teacher</v>
      </c>
      <c r="F814" s="81" t="str">
        <f>if(isblank(K814),"",vlookup(K814,Pacing!$A$1:$Z$213,17))</f>
        <v>PT Teacher</v>
      </c>
      <c r="G814" s="81" t="str">
        <f>if(isblank(L814),"",vlookup(L814,Pacing!$A$1:$Z$213,17))</f>
        <v>PT Teacher</v>
      </c>
      <c r="H814" s="85" t="str">
        <f>if(isblank(M814),"",vlookup(M814,Pacing!$A$1:$Z$213,17))</f>
        <v/>
      </c>
      <c r="I814" s="86">
        <f t="shared" ref="I814:M814" si="865">I813</f>
        <v>127</v>
      </c>
      <c r="J814" s="86">
        <f t="shared" si="865"/>
        <v>128</v>
      </c>
      <c r="K814" s="86">
        <f t="shared" si="865"/>
        <v>129</v>
      </c>
      <c r="L814" s="86">
        <f t="shared" si="865"/>
        <v>130</v>
      </c>
      <c r="M814" s="86" t="str">
        <f t="shared" si="865"/>
        <v/>
      </c>
    </row>
    <row r="815" ht="15.75" customHeight="1">
      <c r="A815" s="69"/>
      <c r="B815" s="69"/>
      <c r="C815" s="71"/>
      <c r="D815" s="81" t="str">
        <f>if(isblank(I815),"",vlookup(I815,Pacing!$A$1:$Z$213,18))</f>
        <v>Assess Plan</v>
      </c>
      <c r="E815" s="81" t="str">
        <f>if(isblank(J815),"",vlookup(J815,Pacing!$A$1:$Z$213,18))</f>
        <v>Assess Plan</v>
      </c>
      <c r="F815" s="81" t="str">
        <f>if(isblank(K815),"",vlookup(K815,Pacing!$A$1:$Z$213,18))</f>
        <v>Assess Plan</v>
      </c>
      <c r="G815" s="81" t="str">
        <f>if(isblank(L815),"",vlookup(L815,Pacing!$A$1:$Z$213,18))</f>
        <v>Assess Plan</v>
      </c>
      <c r="H815" s="129" t="str">
        <f>if(isblank(M815),"",vlookup(M815,Pacing!$A$1:$Z$213,18))</f>
        <v/>
      </c>
      <c r="I815" s="86">
        <f t="shared" ref="I815:M815" si="866">I814</f>
        <v>127</v>
      </c>
      <c r="J815" s="86">
        <f t="shared" si="866"/>
        <v>128</v>
      </c>
      <c r="K815" s="86">
        <f t="shared" si="866"/>
        <v>129</v>
      </c>
      <c r="L815" s="86">
        <f t="shared" si="866"/>
        <v>130</v>
      </c>
      <c r="M815" s="86" t="str">
        <f t="shared" si="866"/>
        <v/>
      </c>
    </row>
    <row r="816" ht="15.75" customHeight="1">
      <c r="A816" s="69"/>
      <c r="B816" s="69"/>
      <c r="C816" s="71"/>
      <c r="D816" s="81" t="str">
        <f>if(isblank(I816),"",vlookup(I816,Pacing!$A$1:$Z$213,19))</f>
        <v>Perform Task</v>
      </c>
      <c r="E816" s="81" t="str">
        <f>if(isblank(J816),"",vlookup(J816,Pacing!$A$1:$Z$213,19))</f>
        <v>Perform Task</v>
      </c>
      <c r="F816" s="81" t="str">
        <f>if(isblank(K816),"",vlookup(K816,Pacing!$A$1:$Z$213,19))</f>
        <v>Perform Task</v>
      </c>
      <c r="G816" s="81" t="str">
        <f>if(isblank(L816),"",vlookup(L816,Pacing!$A$1:$Z$213,19))</f>
        <v>Perform Task</v>
      </c>
      <c r="H816" s="85" t="str">
        <f>if(isblank(M816),"",vlookup(M816,Pacing!$A$1:$Z$213,19))</f>
        <v/>
      </c>
      <c r="I816" s="86">
        <f t="shared" ref="I816:M816" si="867">I815</f>
        <v>127</v>
      </c>
      <c r="J816" s="86">
        <f t="shared" si="867"/>
        <v>128</v>
      </c>
      <c r="K816" s="86">
        <f t="shared" si="867"/>
        <v>129</v>
      </c>
      <c r="L816" s="86">
        <f t="shared" si="867"/>
        <v>130</v>
      </c>
      <c r="M816" s="86" t="str">
        <f t="shared" si="867"/>
        <v/>
      </c>
    </row>
    <row r="817" ht="15.75" customHeight="1">
      <c r="A817" s="69"/>
      <c r="B817" s="69"/>
      <c r="C817" s="71"/>
      <c r="D817" s="81" t="str">
        <f>if(isblank(I817),"",vlookup(I817,Pacing!$A$1:$Z$213,20))</f>
        <v>Quick Check</v>
      </c>
      <c r="E817" s="81" t="str">
        <f>if(isblank(J817),"",vlookup(J817,Pacing!$A$1:$Z$213,20))</f>
        <v>Quick Check</v>
      </c>
      <c r="F817" s="81" t="str">
        <f>if(isblank(K817),"",vlookup(K817,Pacing!$A$1:$Z$213,20))</f>
        <v>Quick Check</v>
      </c>
      <c r="G817" s="81" t="str">
        <f>if(isblank(L817),"",vlookup(L817,Pacing!$A$1:$Z$213,20))</f>
        <v>Quick Check</v>
      </c>
      <c r="H817" s="85" t="str">
        <f>if(isblank(M817),"",vlookup(M817,Pacing!$A$1:$Z$213,20))</f>
        <v/>
      </c>
      <c r="I817" s="86">
        <f t="shared" ref="I817:M817" si="868">I816</f>
        <v>127</v>
      </c>
      <c r="J817" s="86">
        <f t="shared" si="868"/>
        <v>128</v>
      </c>
      <c r="K817" s="86">
        <f t="shared" si="868"/>
        <v>129</v>
      </c>
      <c r="L817" s="86">
        <f t="shared" si="868"/>
        <v>130</v>
      </c>
      <c r="M817" s="86" t="str">
        <f t="shared" si="868"/>
        <v/>
      </c>
    </row>
    <row r="818" ht="15.75" customHeight="1">
      <c r="A818" s="69"/>
      <c r="B818" s="69"/>
      <c r="C818" s="71"/>
      <c r="D818" s="81" t="str">
        <f>if(isblank(I818),"",vlookup(I818,Pacing!$A$1:$Z$213,21))</f>
        <v>Exit Ticket</v>
      </c>
      <c r="E818" s="81" t="str">
        <f>if(isblank(J818),"",vlookup(J818,Pacing!$A$1:$Z$213,21))</f>
        <v>Exit Ticket</v>
      </c>
      <c r="F818" s="81" t="str">
        <f>if(isblank(K818),"",vlookup(K818,Pacing!$A$1:$Z$213,21))</f>
        <v>Exit Ticket</v>
      </c>
      <c r="G818" s="81" t="str">
        <f>if(isblank(L818),"",vlookup(L818,Pacing!$A$1:$Z$213,21))</f>
        <v>Exit Ticket</v>
      </c>
      <c r="H818" s="85" t="str">
        <f>if(isblank(M818),"",vlookup(M818,Pacing!$A$1:$Z$213,21))</f>
        <v/>
      </c>
      <c r="I818" s="86">
        <f t="shared" ref="I818:M818" si="869">I817</f>
        <v>127</v>
      </c>
      <c r="J818" s="86">
        <f t="shared" si="869"/>
        <v>128</v>
      </c>
      <c r="K818" s="86">
        <f t="shared" si="869"/>
        <v>129</v>
      </c>
      <c r="L818" s="86">
        <f t="shared" si="869"/>
        <v>130</v>
      </c>
      <c r="M818" s="86" t="str">
        <f t="shared" si="869"/>
        <v/>
      </c>
    </row>
    <row r="819" ht="15.75" customHeight="1">
      <c r="A819" s="69"/>
      <c r="B819" s="69"/>
      <c r="C819" s="71"/>
      <c r="D819" s="81" t="str">
        <f>if(isblank(I819),"",vlookup(I819,Pacing!$A$1:$Z$213,22))</f>
        <v>Practice 2</v>
      </c>
      <c r="E819" s="81" t="str">
        <f>if(isblank(J819),"",vlookup(J819,Pacing!$A$1:$Z$213,22))</f>
        <v>Practice 2</v>
      </c>
      <c r="F819" s="81" t="str">
        <f>if(isblank(K819),"",vlookup(K819,Pacing!$A$1:$Z$213,22))</f>
        <v>Practice 2</v>
      </c>
      <c r="G819" s="81" t="str">
        <f>if(isblank(L819),"",vlookup(L819,Pacing!$A$1:$Z$213,22))</f>
        <v>Practice 2</v>
      </c>
      <c r="H819" s="129" t="str">
        <f>if(isblank(M819),"",vlookup(M819,Pacing!$A$1:$Z$213,22))</f>
        <v/>
      </c>
      <c r="I819" s="86">
        <f t="shared" ref="I819:M819" si="870">I818</f>
        <v>127</v>
      </c>
      <c r="J819" s="86">
        <f t="shared" si="870"/>
        <v>128</v>
      </c>
      <c r="K819" s="86">
        <f t="shared" si="870"/>
        <v>129</v>
      </c>
      <c r="L819" s="86">
        <f t="shared" si="870"/>
        <v>130</v>
      </c>
      <c r="M819" s="86" t="str">
        <f t="shared" si="870"/>
        <v/>
      </c>
    </row>
    <row r="820" ht="15.75" customHeight="1">
      <c r="A820" s="69"/>
      <c r="B820" s="69"/>
      <c r="C820" s="71"/>
      <c r="D820" s="81" t="str">
        <f>if(isblank(I820),"",vlookup(I820,Pacing!$A$1:$Z$213,23))</f>
        <v>Practice 3</v>
      </c>
      <c r="E820" s="81" t="str">
        <f>if(isblank(J820),"",vlookup(J820,Pacing!$A$1:$Z$213,23))</f>
        <v>Practice 3</v>
      </c>
      <c r="F820" s="81" t="str">
        <f>if(isblank(K820),"",vlookup(K820,Pacing!$A$1:$Z$213,23))</f>
        <v>Practice 3</v>
      </c>
      <c r="G820" s="81" t="str">
        <f>if(isblank(L820),"",vlookup(L820,Pacing!$A$1:$Z$213,23))</f>
        <v>Practice 3</v>
      </c>
      <c r="H820" s="85" t="str">
        <f>if(isblank(M820),"",vlookup(M820,Pacing!$A$1:$Z$213,23))</f>
        <v/>
      </c>
      <c r="I820" s="86">
        <f t="shared" ref="I820:M820" si="871">I819</f>
        <v>127</v>
      </c>
      <c r="J820" s="86">
        <f t="shared" si="871"/>
        <v>128</v>
      </c>
      <c r="K820" s="86">
        <f t="shared" si="871"/>
        <v>129</v>
      </c>
      <c r="L820" s="86">
        <f t="shared" si="871"/>
        <v>130</v>
      </c>
      <c r="M820" s="86" t="str">
        <f t="shared" si="871"/>
        <v/>
      </c>
    </row>
    <row r="821" ht="15.75" customHeight="1">
      <c r="A821" s="69"/>
      <c r="B821" s="69"/>
      <c r="C821" s="71"/>
      <c r="D821" s="81" t="str">
        <f>if(isblank(I821),"",vlookup(I821,Pacing!$A$1:$Z$213,24))</f>
        <v>Sum Assess</v>
      </c>
      <c r="E821" s="81" t="str">
        <f>if(isblank(J821),"",vlookup(J821,Pacing!$A$1:$Z$213,24))</f>
        <v>Sum Assess</v>
      </c>
      <c r="F821" s="81" t="str">
        <f>if(isblank(K821),"",vlookup(K821,Pacing!$A$1:$Z$213,24))</f>
        <v>Sum Assess</v>
      </c>
      <c r="G821" s="81" t="str">
        <f>if(isblank(L821),"",vlookup(L821,Pacing!$A$1:$Z$213,24))</f>
        <v>Sum Assess</v>
      </c>
      <c r="H821" s="85" t="str">
        <f>if(isblank(M821),"",vlookup(M821,Pacing!$A$1:$Z$213,24))</f>
        <v/>
      </c>
      <c r="I821" s="86">
        <f t="shared" ref="I821:M821" si="872">I820</f>
        <v>127</v>
      </c>
      <c r="J821" s="86">
        <f t="shared" si="872"/>
        <v>128</v>
      </c>
      <c r="K821" s="86">
        <f t="shared" si="872"/>
        <v>129</v>
      </c>
      <c r="L821" s="86">
        <f t="shared" si="872"/>
        <v>130</v>
      </c>
      <c r="M821" s="86" t="str">
        <f t="shared" si="872"/>
        <v/>
      </c>
    </row>
    <row r="822" ht="15.75" customHeight="1">
      <c r="A822" s="69"/>
      <c r="B822" s="69"/>
      <c r="C822" s="71"/>
      <c r="D822" s="81" t="str">
        <f>if(isblank(I822),"",vlookup(I822,Pacing!$A$1:$Z$213,25))</f>
        <v>Bank</v>
      </c>
      <c r="E822" s="81" t="str">
        <f>if(isblank(J822),"",vlookup(J822,Pacing!$A$1:$Z$213,25))</f>
        <v>Bank</v>
      </c>
      <c r="F822" s="81" t="str">
        <f>if(isblank(K822),"",vlookup(K822,Pacing!$A$1:$Z$213,25))</f>
        <v>Bank</v>
      </c>
      <c r="G822" s="81" t="str">
        <f>if(isblank(L822),"",vlookup(L822,Pacing!$A$1:$Z$213,25))</f>
        <v>Bank</v>
      </c>
      <c r="H822" s="85" t="str">
        <f>if(isblank(M822),"",vlookup(M822,Pacing!$A$1:$Z$213,25))</f>
        <v/>
      </c>
      <c r="I822" s="86">
        <f t="shared" ref="I822:M822" si="873">I821</f>
        <v>127</v>
      </c>
      <c r="J822" s="86">
        <f t="shared" si="873"/>
        <v>128</v>
      </c>
      <c r="K822" s="86">
        <f t="shared" si="873"/>
        <v>129</v>
      </c>
      <c r="L822" s="86">
        <f t="shared" si="873"/>
        <v>130</v>
      </c>
      <c r="M822" s="86" t="str">
        <f t="shared" si="873"/>
        <v/>
      </c>
    </row>
    <row r="823" ht="15.75" customHeight="1">
      <c r="A823" s="69"/>
      <c r="B823" s="69"/>
      <c r="C823" s="71"/>
      <c r="D823" s="91" t="str">
        <f>if(isblank(I823),"",vlookup(I823,Pacing!$A$1:$Z$213,26))</f>
        <v/>
      </c>
      <c r="E823" s="89" t="str">
        <f>if(isblank(J823),"",vlookup(J823,Pacing!$A$1:$Z$213,26))</f>
        <v/>
      </c>
      <c r="F823" s="89" t="str">
        <f>if(isblank(K823),"",vlookup(K823,Pacing!$A$1:$Z$213,26))</f>
        <v/>
      </c>
      <c r="G823" s="89" t="str">
        <f>if(isblank(L823),"",vlookup(L823,Pacing!$A$1:$Z$213,26))</f>
        <v/>
      </c>
      <c r="H823" s="85" t="str">
        <f>if(isblank(M823),"",vlookup(M823,Pacing!$A$1:$Z$213,26))</f>
        <v/>
      </c>
      <c r="I823" s="86">
        <f t="shared" ref="I823:M823" si="874">I822</f>
        <v>127</v>
      </c>
      <c r="J823" s="86">
        <f t="shared" si="874"/>
        <v>128</v>
      </c>
      <c r="K823" s="86">
        <f t="shared" si="874"/>
        <v>129</v>
      </c>
      <c r="L823" s="86">
        <f t="shared" si="874"/>
        <v>130</v>
      </c>
      <c r="M823" s="86" t="str">
        <f t="shared" si="874"/>
        <v/>
      </c>
    </row>
    <row r="824" ht="15.75" customHeight="1">
      <c r="A824" s="137"/>
      <c r="B824" s="137"/>
      <c r="C824" s="138"/>
      <c r="D824" s="139"/>
      <c r="E824" s="139"/>
      <c r="F824" s="139"/>
      <c r="G824" s="139"/>
      <c r="H824" s="139"/>
      <c r="I824" s="55" t="str">
        <f t="shared" ref="I824:M824" si="875">D824</f>
        <v/>
      </c>
      <c r="J824" s="55" t="str">
        <f t="shared" si="875"/>
        <v/>
      </c>
      <c r="K824" s="55" t="str">
        <f t="shared" si="875"/>
        <v/>
      </c>
      <c r="L824" s="55" t="str">
        <f t="shared" si="875"/>
        <v/>
      </c>
      <c r="M824" s="55" t="str">
        <f t="shared" si="875"/>
        <v/>
      </c>
    </row>
    <row r="825" ht="15.75" customHeight="1">
      <c r="A825" s="69">
        <f>B825+1</f>
        <v>311</v>
      </c>
      <c r="B825" s="69">
        <f t="shared" ref="B825:B832" si="877">$C$825*10</f>
        <v>310</v>
      </c>
      <c r="C825" s="71">
        <v>31.0</v>
      </c>
      <c r="D825" s="74">
        <f>D798+7</f>
        <v>46475</v>
      </c>
      <c r="E825" s="74">
        <f t="shared" ref="E825:H825" si="876">D825+1</f>
        <v>46476</v>
      </c>
      <c r="F825" s="74">
        <f t="shared" si="876"/>
        <v>46477</v>
      </c>
      <c r="G825" s="74">
        <f t="shared" si="876"/>
        <v>46478</v>
      </c>
      <c r="H825" s="74">
        <f t="shared" si="876"/>
        <v>46479</v>
      </c>
      <c r="I825" s="62" t="s">
        <v>42</v>
      </c>
    </row>
    <row r="826" ht="15.75" customHeight="1">
      <c r="A826" s="75">
        <f>B826+2</f>
        <v>312</v>
      </c>
      <c r="B826" s="75">
        <f t="shared" si="877"/>
        <v>310</v>
      </c>
      <c r="C826" s="76"/>
      <c r="D826" s="77" t="str">
        <f>if(isblank(I826),"",vlookup(I826,Pacing!$A$1:$Z$213,2))</f>
        <v/>
      </c>
      <c r="E826" s="77" t="str">
        <f>if(isblank(J826),"",vlookup(J826,Pacing!$A$1:$Z$213,2))</f>
        <v/>
      </c>
      <c r="F826" s="77" t="str">
        <f>if(isblank(K826),"",vlookup(K826,Pacing!$A$1:$Z$213,2))</f>
        <v/>
      </c>
      <c r="G826" s="77" t="str">
        <f>if(isblank(L826),"",vlookup(L826,Pacing!$A$1:$Z$213,2))</f>
        <v/>
      </c>
      <c r="H826" s="77" t="str">
        <f>if(isblank(M826),"",vlookup(M826,Pacing!$A$1:$Z$213,2))</f>
        <v/>
      </c>
      <c r="I826" s="78" t="str">
        <f t="shared" ref="I826:M826" si="878">I824</f>
        <v/>
      </c>
      <c r="J826" s="78" t="str">
        <f t="shared" si="878"/>
        <v/>
      </c>
      <c r="K826" s="78" t="str">
        <f t="shared" si="878"/>
        <v/>
      </c>
      <c r="L826" s="78" t="str">
        <f t="shared" si="878"/>
        <v/>
      </c>
      <c r="M826" s="78" t="str">
        <f t="shared" si="878"/>
        <v/>
      </c>
    </row>
    <row r="827" ht="15.75" customHeight="1">
      <c r="A827" s="69">
        <f>B827+3</f>
        <v>313</v>
      </c>
      <c r="B827" s="69">
        <f t="shared" si="877"/>
        <v>310</v>
      </c>
      <c r="C827" s="76"/>
      <c r="D827" s="129" t="str">
        <f>if(isblank(I827),"",vlookup(I827,Pacing!$A$1:$Z$213,3))</f>
        <v/>
      </c>
      <c r="E827" s="85" t="str">
        <f>if(isblank(J827),"",vlookup(J827,Pacing!$A$1:$Z$213,3))</f>
        <v/>
      </c>
      <c r="F827" s="85" t="str">
        <f>if(isblank(K827),"",vlookup(K827,Pacing!$A$1:$Z$213,3))</f>
        <v/>
      </c>
      <c r="G827" s="85" t="str">
        <f>if(isblank(L827),"",vlookup(L827,Pacing!$A$1:$Z$213,3))</f>
        <v/>
      </c>
      <c r="H827" s="85" t="str">
        <f>if(isblank(M827),"",vlookup(M827,Pacing!$A$1:$Z$213,3))</f>
        <v/>
      </c>
      <c r="I827" s="86" t="str">
        <f t="shared" ref="I827:M827" si="879">I826</f>
        <v/>
      </c>
      <c r="J827" s="86" t="str">
        <f t="shared" si="879"/>
        <v/>
      </c>
      <c r="K827" s="86" t="str">
        <f t="shared" si="879"/>
        <v/>
      </c>
      <c r="L827" s="86" t="str">
        <f t="shared" si="879"/>
        <v/>
      </c>
      <c r="M827" s="86" t="str">
        <f t="shared" si="879"/>
        <v/>
      </c>
    </row>
    <row r="828" ht="15.75" customHeight="1">
      <c r="A828" s="69">
        <f>B828+4</f>
        <v>314</v>
      </c>
      <c r="B828" s="69">
        <f t="shared" si="877"/>
        <v>310</v>
      </c>
      <c r="C828" s="76"/>
      <c r="D828" s="129" t="str">
        <f>if(isblank(I828),"",vlookup(I828,Pacing!$A$1:$Z$213,4))</f>
        <v/>
      </c>
      <c r="E828" s="85" t="str">
        <f>if(isblank(J828),"",vlookup(J828,Pacing!$A$1:$Z$213,4))</f>
        <v/>
      </c>
      <c r="F828" s="85" t="str">
        <f>if(isblank(K828),"",vlookup(K828,Pacing!$A$1:$Z$213,4))</f>
        <v/>
      </c>
      <c r="G828" s="85" t="str">
        <f>if(isblank(L828),"",vlookup(L828,Pacing!$A$1:$Z$213,4))</f>
        <v/>
      </c>
      <c r="H828" s="85" t="str">
        <f>if(isblank(M828),"",vlookup(M828,Pacing!$A$1:$Z$213,4))</f>
        <v/>
      </c>
      <c r="I828" s="86" t="str">
        <f t="shared" ref="I828:M828" si="880">I827</f>
        <v/>
      </c>
      <c r="J828" s="86" t="str">
        <f t="shared" si="880"/>
        <v/>
      </c>
      <c r="K828" s="86" t="str">
        <f t="shared" si="880"/>
        <v/>
      </c>
      <c r="L828" s="86" t="str">
        <f t="shared" si="880"/>
        <v/>
      </c>
      <c r="M828" s="86" t="str">
        <f t="shared" si="880"/>
        <v/>
      </c>
    </row>
    <row r="829" ht="15.75" customHeight="1">
      <c r="A829" s="69">
        <f>B829+5</f>
        <v>315</v>
      </c>
      <c r="B829" s="69">
        <f t="shared" si="877"/>
        <v>310</v>
      </c>
      <c r="C829" s="76"/>
      <c r="D829" s="129" t="str">
        <f>if(isblank(I829),"",vlookup(I829,Pacing!$A$1:$Z$213,5))</f>
        <v/>
      </c>
      <c r="E829" s="85" t="str">
        <f>if(isblank(J829),"",vlookup(J829,Pacing!$A$1:$Z$213,5))</f>
        <v/>
      </c>
      <c r="F829" s="85" t="str">
        <f>if(isblank(K829),"",vlookup(K829,Pacing!$A$1:$Z$213,5))</f>
        <v/>
      </c>
      <c r="G829" s="85" t="str">
        <f>if(isblank(L829),"",vlookup(L829,Pacing!$A$1:$Z$213,5))</f>
        <v/>
      </c>
      <c r="H829" s="85" t="str">
        <f>if(isblank(M829),"",vlookup(M829,Pacing!$A$1:$Z$213,5))</f>
        <v/>
      </c>
      <c r="I829" s="86" t="str">
        <f t="shared" ref="I829:M829" si="881">I828</f>
        <v/>
      </c>
      <c r="J829" s="86" t="str">
        <f t="shared" si="881"/>
        <v/>
      </c>
      <c r="K829" s="86" t="str">
        <f t="shared" si="881"/>
        <v/>
      </c>
      <c r="L829" s="86" t="str">
        <f t="shared" si="881"/>
        <v/>
      </c>
      <c r="M829" s="86" t="str">
        <f t="shared" si="881"/>
        <v/>
      </c>
    </row>
    <row r="830" ht="15.75" customHeight="1">
      <c r="A830" s="69">
        <f>B830+6</f>
        <v>316</v>
      </c>
      <c r="B830" s="69">
        <f t="shared" si="877"/>
        <v>310</v>
      </c>
      <c r="C830" s="76"/>
      <c r="D830" s="129" t="str">
        <f>if(isblank(I830),"",vlookup(I830,Pacing!$A$1:$Z$213,6))</f>
        <v/>
      </c>
      <c r="E830" s="85" t="str">
        <f>if(isblank(J830),"",vlookup(J830,Pacing!$A$1:$Z$213,6))</f>
        <v/>
      </c>
      <c r="F830" s="85" t="str">
        <f>if(isblank(K830),"",vlookup(K830,Pacing!$A$1:$Z$213,6))</f>
        <v/>
      </c>
      <c r="G830" s="85" t="str">
        <f>if(isblank(L830),"",vlookup(L830,Pacing!$A$1:$Z$213,6))</f>
        <v/>
      </c>
      <c r="H830" s="85" t="str">
        <f>if(isblank(M830),"",vlookup(M830,Pacing!$A$1:$Z$213,6))</f>
        <v/>
      </c>
      <c r="I830" s="86" t="str">
        <f t="shared" ref="I830:M830" si="882">I829</f>
        <v/>
      </c>
      <c r="J830" s="86" t="str">
        <f t="shared" si="882"/>
        <v/>
      </c>
      <c r="K830" s="86" t="str">
        <f t="shared" si="882"/>
        <v/>
      </c>
      <c r="L830" s="86" t="str">
        <f t="shared" si="882"/>
        <v/>
      </c>
      <c r="M830" s="86" t="str">
        <f t="shared" si="882"/>
        <v/>
      </c>
    </row>
    <row r="831" ht="15.75" customHeight="1">
      <c r="A831" s="69">
        <f>B831+7</f>
        <v>317</v>
      </c>
      <c r="B831" s="69">
        <f t="shared" si="877"/>
        <v>310</v>
      </c>
      <c r="C831" s="76"/>
      <c r="D831" s="129" t="str">
        <f>if(isblank(I831),"",vlookup(I831,Pacing!$A$1:$Z$213,7))</f>
        <v/>
      </c>
      <c r="E831" s="85" t="str">
        <f>if(isblank(J831),"",vlookup(J831,Pacing!$A$1:$Z$213,7))</f>
        <v/>
      </c>
      <c r="F831" s="85" t="str">
        <f>if(isblank(K831),"",vlookup(K831,Pacing!$A$1:$Z$213,7))</f>
        <v/>
      </c>
      <c r="G831" s="85" t="str">
        <f>if(isblank(L831),"",vlookup(L831,Pacing!$A$1:$Z$213,7))</f>
        <v/>
      </c>
      <c r="H831" s="85" t="str">
        <f>if(isblank(M831),"",vlookup(M831,Pacing!$A$1:$Z$213,7))</f>
        <v/>
      </c>
      <c r="I831" s="86" t="str">
        <f t="shared" ref="I831:M831" si="883">I830</f>
        <v/>
      </c>
      <c r="J831" s="86" t="str">
        <f t="shared" si="883"/>
        <v/>
      </c>
      <c r="K831" s="86" t="str">
        <f t="shared" si="883"/>
        <v/>
      </c>
      <c r="L831" s="86" t="str">
        <f t="shared" si="883"/>
        <v/>
      </c>
      <c r="M831" s="86" t="str">
        <f t="shared" si="883"/>
        <v/>
      </c>
    </row>
    <row r="832" ht="15.75" customHeight="1">
      <c r="A832" s="69">
        <f>B832+8</f>
        <v>318</v>
      </c>
      <c r="B832" s="69">
        <f t="shared" si="877"/>
        <v>310</v>
      </c>
      <c r="C832" s="95"/>
      <c r="D832" s="129" t="str">
        <f>if(isblank(I832),"",vlookup(I832,Pacing!$A$1:$Z$213,8))</f>
        <v/>
      </c>
      <c r="E832" s="85" t="str">
        <f>if(isblank(J832),"",vlookup(J832,Pacing!$A$1:$Z$213,8))</f>
        <v/>
      </c>
      <c r="F832" s="85" t="str">
        <f>if(isblank(K832),"",vlookup(K832,Pacing!$A$1:$Z$213,8))</f>
        <v/>
      </c>
      <c r="G832" s="85" t="str">
        <f>if(isblank(L832),"",vlookup(L832,Pacing!$A$1:$Z$213,8))</f>
        <v/>
      </c>
      <c r="H832" s="85" t="str">
        <f>if(isblank(M832),"",vlookup(M832,Pacing!$A$1:$Z$213,8))</f>
        <v/>
      </c>
      <c r="I832" s="86" t="str">
        <f t="shared" ref="I832:M832" si="884">I831</f>
        <v/>
      </c>
      <c r="J832" s="86" t="str">
        <f t="shared" si="884"/>
        <v/>
      </c>
      <c r="K832" s="86" t="str">
        <f t="shared" si="884"/>
        <v/>
      </c>
      <c r="L832" s="86" t="str">
        <f t="shared" si="884"/>
        <v/>
      </c>
      <c r="M832" s="86" t="str">
        <f t="shared" si="884"/>
        <v/>
      </c>
    </row>
    <row r="833" ht="15.75" customHeight="1">
      <c r="A833" s="69"/>
      <c r="B833" s="69"/>
      <c r="C833" s="71"/>
      <c r="D833" s="129" t="str">
        <f>if(isblank(I833),"",vlookup(I833,Pacing!$A$1:$Z$213,9))</f>
        <v/>
      </c>
      <c r="E833" s="85" t="str">
        <f>if(isblank(J833),"",vlookup(J833,Pacing!$A$1:$Z$213,9))</f>
        <v/>
      </c>
      <c r="F833" s="85" t="str">
        <f>if(isblank(K833),"",vlookup(K833,Pacing!$A$1:$Z$213,9))</f>
        <v/>
      </c>
      <c r="G833" s="85" t="str">
        <f>if(isblank(L833),"",vlookup(L833,Pacing!$A$1:$Z$213,9))</f>
        <v/>
      </c>
      <c r="H833" s="85" t="str">
        <f>if(isblank(M833),"",vlookup(M833,Pacing!$A$1:$Z$213,9))</f>
        <v/>
      </c>
      <c r="I833" s="86" t="str">
        <f t="shared" ref="I833:M833" si="885">I832</f>
        <v/>
      </c>
      <c r="J833" s="86" t="str">
        <f t="shared" si="885"/>
        <v/>
      </c>
      <c r="K833" s="86" t="str">
        <f t="shared" si="885"/>
        <v/>
      </c>
      <c r="L833" s="86" t="str">
        <f t="shared" si="885"/>
        <v/>
      </c>
      <c r="M833" s="86" t="str">
        <f t="shared" si="885"/>
        <v/>
      </c>
    </row>
    <row r="834" ht="15.75" customHeight="1">
      <c r="A834" s="69"/>
      <c r="B834" s="69"/>
      <c r="C834" s="71"/>
      <c r="D834" s="129" t="str">
        <f>if(isblank(I834),"",vlookup(I834,Pacing!$A$1:$Z$213,10))</f>
        <v/>
      </c>
      <c r="E834" s="85" t="str">
        <f>if(isblank(J834),"",vlookup(J834,Pacing!$A$1:$Z$213,10))</f>
        <v/>
      </c>
      <c r="F834" s="85" t="str">
        <f>if(isblank(K834),"",vlookup(K834,Pacing!$A$1:$Z$213,10))</f>
        <v/>
      </c>
      <c r="G834" s="85" t="str">
        <f>if(isblank(L834),"",vlookup(L834,Pacing!$A$1:$Z$213,10))</f>
        <v/>
      </c>
      <c r="H834" s="85" t="str">
        <f>if(isblank(M834),"",vlookup(M834,Pacing!$A$1:$Z$213,10))</f>
        <v/>
      </c>
      <c r="I834" s="86" t="str">
        <f t="shared" ref="I834:M834" si="886">I833</f>
        <v/>
      </c>
      <c r="J834" s="86" t="str">
        <f t="shared" si="886"/>
        <v/>
      </c>
      <c r="K834" s="86" t="str">
        <f t="shared" si="886"/>
        <v/>
      </c>
      <c r="L834" s="86" t="str">
        <f t="shared" si="886"/>
        <v/>
      </c>
      <c r="M834" s="86" t="str">
        <f t="shared" si="886"/>
        <v/>
      </c>
    </row>
    <row r="835" ht="15.75" customHeight="1">
      <c r="A835" s="69"/>
      <c r="B835" s="69"/>
      <c r="C835" s="71"/>
      <c r="D835" s="129" t="str">
        <f>if(isblank(I835),"",vlookup(I835,Pacing!$A$1:$Z$213,11))</f>
        <v/>
      </c>
      <c r="E835" s="85" t="str">
        <f>if(isblank(J835),"",vlookup(J835,Pacing!$A$1:$Z$213,11))</f>
        <v/>
      </c>
      <c r="F835" s="85" t="str">
        <f>if(isblank(K835),"",vlookup(K835,Pacing!$A$1:$Z$213,11))</f>
        <v/>
      </c>
      <c r="G835" s="85" t="str">
        <f>if(isblank(L835),"",vlookup(L835,Pacing!$A$1:$Z$213,11))</f>
        <v/>
      </c>
      <c r="H835" s="85" t="str">
        <f>if(isblank(M835),"",vlookup(M835,Pacing!$A$1:$Z$213,11))</f>
        <v/>
      </c>
      <c r="I835" s="86" t="str">
        <f t="shared" ref="I835:M835" si="887">I834</f>
        <v/>
      </c>
      <c r="J835" s="86" t="str">
        <f t="shared" si="887"/>
        <v/>
      </c>
      <c r="K835" s="86" t="str">
        <f t="shared" si="887"/>
        <v/>
      </c>
      <c r="L835" s="86" t="str">
        <f t="shared" si="887"/>
        <v/>
      </c>
      <c r="M835" s="86" t="str">
        <f t="shared" si="887"/>
        <v/>
      </c>
    </row>
    <row r="836" ht="15.75" customHeight="1">
      <c r="A836" s="69"/>
      <c r="B836" s="69"/>
      <c r="C836" s="71"/>
      <c r="D836" s="129" t="str">
        <f>if(isblank(I836),"",vlookup(I836,Pacing!$A$1:$Z$213,12))</f>
        <v/>
      </c>
      <c r="E836" s="129" t="str">
        <f>if(isblank(J836),"",vlookup(J836,Pacing!$A$1:$Z$213,12))</f>
        <v/>
      </c>
      <c r="F836" s="129" t="str">
        <f>if(isblank(K836),"",vlookup(K836,Pacing!$A$1:$Z$213,12))</f>
        <v/>
      </c>
      <c r="G836" s="129" t="str">
        <f>if(isblank(L836),"",vlookup(L836,Pacing!$A$1:$Z$213,12))</f>
        <v/>
      </c>
      <c r="H836" s="129" t="str">
        <f>if(isblank(M836),"",vlookup(M836,Pacing!$A$1:$Z$213,12))</f>
        <v/>
      </c>
      <c r="I836" s="86" t="str">
        <f t="shared" ref="I836:M836" si="888">I835</f>
        <v/>
      </c>
      <c r="J836" s="86" t="str">
        <f t="shared" si="888"/>
        <v/>
      </c>
      <c r="K836" s="86" t="str">
        <f t="shared" si="888"/>
        <v/>
      </c>
      <c r="L836" s="86" t="str">
        <f t="shared" si="888"/>
        <v/>
      </c>
      <c r="M836" s="86" t="str">
        <f t="shared" si="888"/>
        <v/>
      </c>
    </row>
    <row r="837" ht="15.75" customHeight="1">
      <c r="A837" s="69"/>
      <c r="B837" s="69"/>
      <c r="C837" s="71"/>
      <c r="D837" s="129" t="str">
        <f>if(isblank(I837),"",vlookup(I837,Pacing!$A$1:$Z$213,13))</f>
        <v/>
      </c>
      <c r="E837" s="129" t="str">
        <f>if(isblank(J837),"",vlookup(J837,Pacing!$A$1:$Z$213,13))</f>
        <v/>
      </c>
      <c r="F837" s="129" t="str">
        <f>if(isblank(K837),"",vlookup(K837,Pacing!$A$1:$Z$213,13))</f>
        <v/>
      </c>
      <c r="G837" s="129" t="str">
        <f>if(isblank(L837),"",vlookup(L837,Pacing!$A$1:$Z$213,13))</f>
        <v/>
      </c>
      <c r="H837" s="129" t="str">
        <f>if(isblank(M837),"",vlookup(M837,Pacing!$A$1:$Z$213,13))</f>
        <v/>
      </c>
      <c r="I837" s="86" t="str">
        <f t="shared" ref="I837:M837" si="889">I836</f>
        <v/>
      </c>
      <c r="J837" s="86" t="str">
        <f t="shared" si="889"/>
        <v/>
      </c>
      <c r="K837" s="86" t="str">
        <f t="shared" si="889"/>
        <v/>
      </c>
      <c r="L837" s="86" t="str">
        <f t="shared" si="889"/>
        <v/>
      </c>
      <c r="M837" s="86" t="str">
        <f t="shared" si="889"/>
        <v/>
      </c>
    </row>
    <row r="838" ht="15.75" customHeight="1">
      <c r="A838" s="69"/>
      <c r="B838" s="69"/>
      <c r="C838" s="71"/>
      <c r="D838" s="129" t="str">
        <f>if(isblank(I838),"",vlookup(I838,Pacing!$A$1:$Z$213,14))</f>
        <v/>
      </c>
      <c r="E838" s="85" t="str">
        <f>if(isblank(J838),"",vlookup(J838,Pacing!$A$1:$Z$213,14))</f>
        <v/>
      </c>
      <c r="F838" s="85" t="str">
        <f>if(isblank(K838),"",vlookup(K838,Pacing!$A$1:$Z$213,14))</f>
        <v/>
      </c>
      <c r="G838" s="85" t="str">
        <f>if(isblank(L838),"",vlookup(L838,Pacing!$A$1:$Z$213,14))</f>
        <v/>
      </c>
      <c r="H838" s="85" t="str">
        <f>if(isblank(M838),"",vlookup(M838,Pacing!$A$1:$Z$213,14))</f>
        <v/>
      </c>
      <c r="I838" s="86" t="str">
        <f t="shared" ref="I838:M838" si="890">I837</f>
        <v/>
      </c>
      <c r="J838" s="86" t="str">
        <f t="shared" si="890"/>
        <v/>
      </c>
      <c r="K838" s="86" t="str">
        <f t="shared" si="890"/>
        <v/>
      </c>
      <c r="L838" s="86" t="str">
        <f t="shared" si="890"/>
        <v/>
      </c>
      <c r="M838" s="86" t="str">
        <f t="shared" si="890"/>
        <v/>
      </c>
    </row>
    <row r="839" ht="15.75" customHeight="1">
      <c r="A839" s="69"/>
      <c r="B839" s="69"/>
      <c r="C839" s="71"/>
      <c r="D839" s="129" t="str">
        <f>if(isblank(I839),"",vlookup(I839,Pacing!$A$1:$Z$213,15))</f>
        <v/>
      </c>
      <c r="E839" s="85" t="str">
        <f>if(isblank(J839),"",vlookup(J839,Pacing!$A$1:$Z$213,15))</f>
        <v/>
      </c>
      <c r="F839" s="85" t="str">
        <f>if(isblank(K839),"",vlookup(K839,Pacing!$A$1:$Z$213,15))</f>
        <v/>
      </c>
      <c r="G839" s="85" t="str">
        <f>if(isblank(L839),"",vlookup(L839,Pacing!$A$1:$Z$213,15))</f>
        <v/>
      </c>
      <c r="H839" s="85" t="str">
        <f>if(isblank(M839),"",vlookup(M839,Pacing!$A$1:$Z$213,15))</f>
        <v/>
      </c>
      <c r="I839" s="86" t="str">
        <f t="shared" ref="I839:M839" si="891">I838</f>
        <v/>
      </c>
      <c r="J839" s="86" t="str">
        <f t="shared" si="891"/>
        <v/>
      </c>
      <c r="K839" s="86" t="str">
        <f t="shared" si="891"/>
        <v/>
      </c>
      <c r="L839" s="86" t="str">
        <f t="shared" si="891"/>
        <v/>
      </c>
      <c r="M839" s="86" t="str">
        <f t="shared" si="891"/>
        <v/>
      </c>
    </row>
    <row r="840" ht="15.75" customHeight="1">
      <c r="A840" s="69"/>
      <c r="B840" s="69"/>
      <c r="C840" s="71"/>
      <c r="D840" s="129" t="str">
        <f>if(isblank(I840),"",vlookup(I840,Pacing!$A$1:$Z$213,16))</f>
        <v/>
      </c>
      <c r="E840" s="85" t="str">
        <f>if(isblank(J840),"",vlookup(J840,Pacing!$A$1:$Z$213,16))</f>
        <v/>
      </c>
      <c r="F840" s="85" t="str">
        <f>if(isblank(K840),"",vlookup(K840,Pacing!$A$1:$Z$213,16))</f>
        <v/>
      </c>
      <c r="G840" s="85" t="str">
        <f>if(isblank(L840),"",vlookup(L840,Pacing!$A$1:$Z$213,16))</f>
        <v/>
      </c>
      <c r="H840" s="85" t="str">
        <f>if(isblank(M840),"",vlookup(M840,Pacing!$A$1:$Z$213,16))</f>
        <v/>
      </c>
      <c r="I840" s="86" t="str">
        <f t="shared" ref="I840:M840" si="892">I839</f>
        <v/>
      </c>
      <c r="J840" s="86" t="str">
        <f t="shared" si="892"/>
        <v/>
      </c>
      <c r="K840" s="86" t="str">
        <f t="shared" si="892"/>
        <v/>
      </c>
      <c r="L840" s="86" t="str">
        <f t="shared" si="892"/>
        <v/>
      </c>
      <c r="M840" s="86" t="str">
        <f t="shared" si="892"/>
        <v/>
      </c>
    </row>
    <row r="841" ht="15.75" customHeight="1">
      <c r="A841" s="69"/>
      <c r="B841" s="69"/>
      <c r="C841" s="71"/>
      <c r="D841" s="129" t="str">
        <f>if(isblank(I841),"",vlookup(I841,Pacing!$A$1:$Z$213,17))</f>
        <v/>
      </c>
      <c r="E841" s="85" t="str">
        <f>if(isblank(J841),"",vlookup(J841,Pacing!$A$1:$Z$213,17))</f>
        <v/>
      </c>
      <c r="F841" s="85" t="str">
        <f>if(isblank(K841),"",vlookup(K841,Pacing!$A$1:$Z$213,17))</f>
        <v/>
      </c>
      <c r="G841" s="85" t="str">
        <f>if(isblank(L841),"",vlookup(L841,Pacing!$A$1:$Z$213,17))</f>
        <v/>
      </c>
      <c r="H841" s="85" t="str">
        <f>if(isblank(M841),"",vlookup(M841,Pacing!$A$1:$Z$213,17))</f>
        <v/>
      </c>
      <c r="I841" s="86" t="str">
        <f t="shared" ref="I841:M841" si="893">I840</f>
        <v/>
      </c>
      <c r="J841" s="86" t="str">
        <f t="shared" si="893"/>
        <v/>
      </c>
      <c r="K841" s="86" t="str">
        <f t="shared" si="893"/>
        <v/>
      </c>
      <c r="L841" s="86" t="str">
        <f t="shared" si="893"/>
        <v/>
      </c>
      <c r="M841" s="86" t="str">
        <f t="shared" si="893"/>
        <v/>
      </c>
    </row>
    <row r="842" ht="15.75" customHeight="1">
      <c r="A842" s="69"/>
      <c r="B842" s="69"/>
      <c r="C842" s="71"/>
      <c r="D842" s="129" t="str">
        <f>if(isblank(I842),"",vlookup(I842,Pacing!$A$1:$Z$213,18))</f>
        <v/>
      </c>
      <c r="E842" s="129" t="str">
        <f>if(isblank(J842),"",vlookup(J842,Pacing!$A$1:$Z$213,18))</f>
        <v/>
      </c>
      <c r="F842" s="129" t="str">
        <f>if(isblank(K842),"",vlookup(K842,Pacing!$A$1:$Z$213,18))</f>
        <v/>
      </c>
      <c r="G842" s="129" t="str">
        <f>if(isblank(L842),"",vlookup(L842,Pacing!$A$1:$Z$213,18))</f>
        <v/>
      </c>
      <c r="H842" s="129" t="str">
        <f>if(isblank(M842),"",vlookup(M842,Pacing!$A$1:$Z$213,18))</f>
        <v/>
      </c>
      <c r="I842" s="86" t="str">
        <f t="shared" ref="I842:M842" si="894">I841</f>
        <v/>
      </c>
      <c r="J842" s="86" t="str">
        <f t="shared" si="894"/>
        <v/>
      </c>
      <c r="K842" s="86" t="str">
        <f t="shared" si="894"/>
        <v/>
      </c>
      <c r="L842" s="86" t="str">
        <f t="shared" si="894"/>
        <v/>
      </c>
      <c r="M842" s="86" t="str">
        <f t="shared" si="894"/>
        <v/>
      </c>
    </row>
    <row r="843" ht="15.75" customHeight="1">
      <c r="A843" s="69"/>
      <c r="B843" s="69"/>
      <c r="C843" s="71"/>
      <c r="D843" s="129" t="str">
        <f>if(isblank(I843),"",vlookup(I843,Pacing!$A$1:$Z$213,19))</f>
        <v/>
      </c>
      <c r="E843" s="85" t="str">
        <f>if(isblank(J843),"",vlookup(J843,Pacing!$A$1:$Z$213,19))</f>
        <v/>
      </c>
      <c r="F843" s="85" t="str">
        <f>if(isblank(K843),"",vlookup(K843,Pacing!$A$1:$Z$213,19))</f>
        <v/>
      </c>
      <c r="G843" s="85" t="str">
        <f>if(isblank(L843),"",vlookup(L843,Pacing!$A$1:$Z$213,19))</f>
        <v/>
      </c>
      <c r="H843" s="85" t="str">
        <f>if(isblank(M843),"",vlookup(M843,Pacing!$A$1:$Z$213,19))</f>
        <v/>
      </c>
      <c r="I843" s="86" t="str">
        <f t="shared" ref="I843:M843" si="895">I842</f>
        <v/>
      </c>
      <c r="J843" s="86" t="str">
        <f t="shared" si="895"/>
        <v/>
      </c>
      <c r="K843" s="86" t="str">
        <f t="shared" si="895"/>
        <v/>
      </c>
      <c r="L843" s="86" t="str">
        <f t="shared" si="895"/>
        <v/>
      </c>
      <c r="M843" s="86" t="str">
        <f t="shared" si="895"/>
        <v/>
      </c>
    </row>
    <row r="844" ht="15.75" customHeight="1">
      <c r="A844" s="69"/>
      <c r="B844" s="69"/>
      <c r="C844" s="71"/>
      <c r="D844" s="129" t="str">
        <f>if(isblank(I844),"",vlookup(I844,Pacing!$A$1:$Z$213,20))</f>
        <v/>
      </c>
      <c r="E844" s="85" t="str">
        <f>if(isblank(J844),"",vlookup(J844,Pacing!$A$1:$Z$213,20))</f>
        <v/>
      </c>
      <c r="F844" s="85" t="str">
        <f>if(isblank(K844),"",vlookup(K844,Pacing!$A$1:$Z$213,20))</f>
        <v/>
      </c>
      <c r="G844" s="85" t="str">
        <f>if(isblank(L844),"",vlookup(L844,Pacing!$A$1:$Z$213,20))</f>
        <v/>
      </c>
      <c r="H844" s="85" t="str">
        <f>if(isblank(M844),"",vlookup(M844,Pacing!$A$1:$Z$213,20))</f>
        <v/>
      </c>
      <c r="I844" s="86" t="str">
        <f t="shared" ref="I844:M844" si="896">I843</f>
        <v/>
      </c>
      <c r="J844" s="86" t="str">
        <f t="shared" si="896"/>
        <v/>
      </c>
      <c r="K844" s="86" t="str">
        <f t="shared" si="896"/>
        <v/>
      </c>
      <c r="L844" s="86" t="str">
        <f t="shared" si="896"/>
        <v/>
      </c>
      <c r="M844" s="86" t="str">
        <f t="shared" si="896"/>
        <v/>
      </c>
    </row>
    <row r="845" ht="15.75" customHeight="1">
      <c r="A845" s="69"/>
      <c r="B845" s="69"/>
      <c r="C845" s="71"/>
      <c r="D845" s="129" t="str">
        <f>if(isblank(I845),"",vlookup(I845,Pacing!$A$1:$Z$213,21))</f>
        <v/>
      </c>
      <c r="E845" s="85" t="str">
        <f>if(isblank(J845),"",vlookup(J845,Pacing!$A$1:$Z$213,21))</f>
        <v/>
      </c>
      <c r="F845" s="85" t="str">
        <f>if(isblank(K845),"",vlookup(K845,Pacing!$A$1:$Z$213,21))</f>
        <v/>
      </c>
      <c r="G845" s="85" t="str">
        <f>if(isblank(L845),"",vlookup(L845,Pacing!$A$1:$Z$213,21))</f>
        <v/>
      </c>
      <c r="H845" s="85" t="str">
        <f>if(isblank(M845),"",vlookup(M845,Pacing!$A$1:$Z$213,21))</f>
        <v/>
      </c>
      <c r="I845" s="86" t="str">
        <f t="shared" ref="I845:M845" si="897">I844</f>
        <v/>
      </c>
      <c r="J845" s="86" t="str">
        <f t="shared" si="897"/>
        <v/>
      </c>
      <c r="K845" s="86" t="str">
        <f t="shared" si="897"/>
        <v/>
      </c>
      <c r="L845" s="86" t="str">
        <f t="shared" si="897"/>
        <v/>
      </c>
      <c r="M845" s="86" t="str">
        <f t="shared" si="897"/>
        <v/>
      </c>
    </row>
    <row r="846" ht="15.75" customHeight="1">
      <c r="A846" s="69"/>
      <c r="B846" s="69"/>
      <c r="C846" s="71"/>
      <c r="D846" s="129" t="str">
        <f>if(isblank(I846),"",vlookup(I846,Pacing!$A$1:$Z$213,22))</f>
        <v/>
      </c>
      <c r="E846" s="129" t="str">
        <f>if(isblank(J846),"",vlookup(J846,Pacing!$A$1:$Z$213,22))</f>
        <v/>
      </c>
      <c r="F846" s="129" t="str">
        <f>if(isblank(K846),"",vlookup(K846,Pacing!$A$1:$Z$213,22))</f>
        <v/>
      </c>
      <c r="G846" s="129" t="str">
        <f>if(isblank(L846),"",vlookup(L846,Pacing!$A$1:$Z$213,22))</f>
        <v/>
      </c>
      <c r="H846" s="129" t="str">
        <f>if(isblank(M846),"",vlookup(M846,Pacing!$A$1:$Z$213,22))</f>
        <v/>
      </c>
      <c r="I846" s="86" t="str">
        <f t="shared" ref="I846:M846" si="898">I845</f>
        <v/>
      </c>
      <c r="J846" s="86" t="str">
        <f t="shared" si="898"/>
        <v/>
      </c>
      <c r="K846" s="86" t="str">
        <f t="shared" si="898"/>
        <v/>
      </c>
      <c r="L846" s="86" t="str">
        <f t="shared" si="898"/>
        <v/>
      </c>
      <c r="M846" s="86" t="str">
        <f t="shared" si="898"/>
        <v/>
      </c>
    </row>
    <row r="847" ht="15.75" customHeight="1">
      <c r="A847" s="69"/>
      <c r="B847" s="69"/>
      <c r="C847" s="71"/>
      <c r="D847" s="129" t="str">
        <f>if(isblank(I847),"",vlookup(I847,Pacing!$A$1:$Z$213,23))</f>
        <v/>
      </c>
      <c r="E847" s="85" t="str">
        <f>if(isblank(J847),"",vlookup(J847,Pacing!$A$1:$Z$213,23))</f>
        <v/>
      </c>
      <c r="F847" s="85" t="str">
        <f>if(isblank(K847),"",vlookup(K847,Pacing!$A$1:$Z$213,23))</f>
        <v/>
      </c>
      <c r="G847" s="85" t="str">
        <f>if(isblank(L847),"",vlookup(L847,Pacing!$A$1:$Z$213,23))</f>
        <v/>
      </c>
      <c r="H847" s="85" t="str">
        <f>if(isblank(M847),"",vlookup(M847,Pacing!$A$1:$Z$213,23))</f>
        <v/>
      </c>
      <c r="I847" s="86" t="str">
        <f t="shared" ref="I847:M847" si="899">I846</f>
        <v/>
      </c>
      <c r="J847" s="86" t="str">
        <f t="shared" si="899"/>
        <v/>
      </c>
      <c r="K847" s="86" t="str">
        <f t="shared" si="899"/>
        <v/>
      </c>
      <c r="L847" s="86" t="str">
        <f t="shared" si="899"/>
        <v/>
      </c>
      <c r="M847" s="86" t="str">
        <f t="shared" si="899"/>
        <v/>
      </c>
    </row>
    <row r="848" ht="15.75" customHeight="1">
      <c r="A848" s="69"/>
      <c r="B848" s="69"/>
      <c r="C848" s="71"/>
      <c r="D848" s="129" t="str">
        <f>if(isblank(I848),"",vlookup(I848,Pacing!$A$1:$Z$213,24))</f>
        <v/>
      </c>
      <c r="E848" s="85" t="str">
        <f>if(isblank(J848),"",vlookup(J848,Pacing!$A$1:$Z$213,24))</f>
        <v/>
      </c>
      <c r="F848" s="85" t="str">
        <f>if(isblank(K848),"",vlookup(K848,Pacing!$A$1:$Z$213,24))</f>
        <v/>
      </c>
      <c r="G848" s="85" t="str">
        <f>if(isblank(L848),"",vlookup(L848,Pacing!$A$1:$Z$213,24))</f>
        <v/>
      </c>
      <c r="H848" s="85" t="str">
        <f>if(isblank(M848),"",vlookup(M848,Pacing!$A$1:$Z$213,24))</f>
        <v/>
      </c>
      <c r="I848" s="86" t="str">
        <f t="shared" ref="I848:M848" si="900">I847</f>
        <v/>
      </c>
      <c r="J848" s="86" t="str">
        <f t="shared" si="900"/>
        <v/>
      </c>
      <c r="K848" s="86" t="str">
        <f t="shared" si="900"/>
        <v/>
      </c>
      <c r="L848" s="86" t="str">
        <f t="shared" si="900"/>
        <v/>
      </c>
      <c r="M848" s="86" t="str">
        <f t="shared" si="900"/>
        <v/>
      </c>
    </row>
    <row r="849" ht="15.75" customHeight="1">
      <c r="A849" s="69"/>
      <c r="B849" s="69"/>
      <c r="C849" s="71"/>
      <c r="D849" s="129" t="str">
        <f>if(isblank(I849),"",vlookup(I849,Pacing!$A$1:$Z$213,25))</f>
        <v/>
      </c>
      <c r="E849" s="85" t="str">
        <f>if(isblank(J849),"",vlookup(J849,Pacing!$A$1:$Z$213,25))</f>
        <v/>
      </c>
      <c r="F849" s="85" t="str">
        <f>if(isblank(K849),"",vlookup(K849,Pacing!$A$1:$Z$213,25))</f>
        <v/>
      </c>
      <c r="G849" s="85" t="str">
        <f>if(isblank(L849),"",vlookup(L849,Pacing!$A$1:$Z$213,25))</f>
        <v/>
      </c>
      <c r="H849" s="85" t="str">
        <f>if(isblank(M849),"",vlookup(M849,Pacing!$A$1:$Z$213,25))</f>
        <v/>
      </c>
      <c r="I849" s="86" t="str">
        <f t="shared" ref="I849:M849" si="901">I848</f>
        <v/>
      </c>
      <c r="J849" s="86" t="str">
        <f t="shared" si="901"/>
        <v/>
      </c>
      <c r="K849" s="86" t="str">
        <f t="shared" si="901"/>
        <v/>
      </c>
      <c r="L849" s="86" t="str">
        <f t="shared" si="901"/>
        <v/>
      </c>
      <c r="M849" s="86" t="str">
        <f t="shared" si="901"/>
        <v/>
      </c>
    </row>
    <row r="850" ht="15.75" customHeight="1">
      <c r="A850" s="69"/>
      <c r="B850" s="69"/>
      <c r="C850" s="71"/>
      <c r="D850" s="129" t="str">
        <f>if(isblank(I850),"",vlookup(I850,Pacing!$A$1:$Z$213,26))</f>
        <v/>
      </c>
      <c r="E850" s="85" t="str">
        <f>if(isblank(J850),"",vlookup(J850,Pacing!$A$1:$Z$213,26))</f>
        <v/>
      </c>
      <c r="F850" s="85" t="str">
        <f>if(isblank(K850),"",vlookup(K850,Pacing!$A$1:$Z$213,26))</f>
        <v/>
      </c>
      <c r="G850" s="85" t="str">
        <f>if(isblank(L850),"",vlookup(L850,Pacing!$A$1:$Z$213,26))</f>
        <v/>
      </c>
      <c r="H850" s="85" t="str">
        <f>if(isblank(M850),"",vlookup(M850,Pacing!$A$1:$Z$213,26))</f>
        <v/>
      </c>
      <c r="I850" s="86" t="str">
        <f t="shared" ref="I850:M850" si="902">I849</f>
        <v/>
      </c>
      <c r="J850" s="86" t="str">
        <f t="shared" si="902"/>
        <v/>
      </c>
      <c r="K850" s="86" t="str">
        <f t="shared" si="902"/>
        <v/>
      </c>
      <c r="L850" s="86" t="str">
        <f t="shared" si="902"/>
        <v/>
      </c>
      <c r="M850" s="86" t="str">
        <f t="shared" si="902"/>
        <v/>
      </c>
    </row>
    <row r="851" ht="15.75" customHeight="1">
      <c r="A851" s="137"/>
      <c r="B851" s="137"/>
      <c r="C851" s="138"/>
      <c r="D851" s="139">
        <f>G797+1</f>
        <v>131</v>
      </c>
      <c r="E851" s="139">
        <f t="shared" ref="E851:H851" si="903">D851+1</f>
        <v>132</v>
      </c>
      <c r="F851" s="139">
        <f t="shared" si="903"/>
        <v>133</v>
      </c>
      <c r="G851" s="139">
        <f t="shared" si="903"/>
        <v>134</v>
      </c>
      <c r="H851" s="139">
        <f t="shared" si="903"/>
        <v>135</v>
      </c>
      <c r="I851" s="55">
        <f t="shared" ref="I851:M851" si="904">D851</f>
        <v>131</v>
      </c>
      <c r="J851" s="55">
        <f t="shared" si="904"/>
        <v>132</v>
      </c>
      <c r="K851" s="55">
        <f t="shared" si="904"/>
        <v>133</v>
      </c>
      <c r="L851" s="55">
        <f t="shared" si="904"/>
        <v>134</v>
      </c>
      <c r="M851" s="55">
        <f t="shared" si="904"/>
        <v>135</v>
      </c>
    </row>
    <row r="852" ht="15.75" customHeight="1">
      <c r="A852" s="69">
        <f>B852+1</f>
        <v>321</v>
      </c>
      <c r="B852" s="69">
        <f t="shared" ref="B852:B859" si="906">$C$852*10</f>
        <v>320</v>
      </c>
      <c r="C852" s="71">
        <v>32.0</v>
      </c>
      <c r="D852" s="72">
        <f>D825+7</f>
        <v>46482</v>
      </c>
      <c r="E852" s="72">
        <f t="shared" ref="E852:H852" si="905">D852+1</f>
        <v>46483</v>
      </c>
      <c r="F852" s="72">
        <f t="shared" si="905"/>
        <v>46484</v>
      </c>
      <c r="G852" s="72">
        <f t="shared" si="905"/>
        <v>46485</v>
      </c>
      <c r="H852" s="72">
        <f t="shared" si="905"/>
        <v>46486</v>
      </c>
      <c r="I852" s="62" t="s">
        <v>42</v>
      </c>
    </row>
    <row r="853" ht="15.75" customHeight="1">
      <c r="A853" s="75">
        <f>B853+2</f>
        <v>322</v>
      </c>
      <c r="B853" s="75">
        <f t="shared" si="906"/>
        <v>320</v>
      </c>
      <c r="C853" s="76"/>
      <c r="D853" s="131" t="str">
        <f>if(isblank(I853),"",vlookup(I853,Pacing!$A$1:$Z$213,2))</f>
        <v>8.5: Modern EM Systems</v>
      </c>
      <c r="E853" s="131" t="str">
        <f>if(isblank(J853),"",vlookup(J853,Pacing!$A$1:$Z$213,2))</f>
        <v>Unit 8 Sum Assess</v>
      </c>
      <c r="F853" s="131" t="str">
        <f>if(isblank(K853),"",vlookup(K853,Pacing!$A$1:$Z$213,2))</f>
        <v>Unit 8 Sum Assess</v>
      </c>
      <c r="G853" s="131" t="str">
        <f>if(isblank(L853),"",vlookup(L853,Pacing!$A$1:$Z$213,2))</f>
        <v/>
      </c>
      <c r="H853" s="131" t="str">
        <f>if(isblank(M853),"",vlookup(M853,Pacing!$A$1:$Z$213,2))</f>
        <v/>
      </c>
      <c r="I853" s="78">
        <f t="shared" ref="I853:M853" si="907">I851</f>
        <v>131</v>
      </c>
      <c r="J853" s="78">
        <f t="shared" si="907"/>
        <v>132</v>
      </c>
      <c r="K853" s="78">
        <f t="shared" si="907"/>
        <v>133</v>
      </c>
      <c r="L853" s="78">
        <f t="shared" si="907"/>
        <v>134</v>
      </c>
      <c r="M853" s="78">
        <f t="shared" si="907"/>
        <v>135</v>
      </c>
    </row>
    <row r="854" ht="15.75" customHeight="1">
      <c r="A854" s="69">
        <f>B854+3</f>
        <v>323</v>
      </c>
      <c r="B854" s="69">
        <f t="shared" si="906"/>
        <v>320</v>
      </c>
      <c r="C854" s="76"/>
      <c r="D854" s="81" t="str">
        <f>if(isblank(I854),"",vlookup(I854,Pacing!$A$1:$Z$213,3))</f>
        <v>Warm Up</v>
      </c>
      <c r="E854" s="89" t="str">
        <f>if(isblank(J854),"",vlookup(J854,Pacing!$A$1:$Z$213,3))</f>
        <v/>
      </c>
      <c r="F854" s="89" t="str">
        <f>if(isblank(K854),"",vlookup(K854,Pacing!$A$1:$Z$213,3))</f>
        <v/>
      </c>
      <c r="G854" s="89" t="str">
        <f>if(isblank(L854),"",vlookup(L854,Pacing!$A$1:$Z$213,3))</f>
        <v/>
      </c>
      <c r="H854" s="89" t="str">
        <f>if(isblank(M854),"",vlookup(M854,Pacing!$A$1:$Z$213,3))</f>
        <v/>
      </c>
      <c r="I854" s="86">
        <f t="shared" ref="I854:M854" si="908">I853</f>
        <v>131</v>
      </c>
      <c r="J854" s="86">
        <f t="shared" si="908"/>
        <v>132</v>
      </c>
      <c r="K854" s="86">
        <f t="shared" si="908"/>
        <v>133</v>
      </c>
      <c r="L854" s="86">
        <f t="shared" si="908"/>
        <v>134</v>
      </c>
      <c r="M854" s="86">
        <f t="shared" si="908"/>
        <v>135</v>
      </c>
    </row>
    <row r="855" ht="15.75" customHeight="1">
      <c r="A855" s="69">
        <f>B855+4</f>
        <v>324</v>
      </c>
      <c r="B855" s="69">
        <f t="shared" si="906"/>
        <v>320</v>
      </c>
      <c r="C855" s="76"/>
      <c r="D855" s="81" t="str">
        <f>if(isblank(I855),"",vlookup(I855,Pacing!$A$1:$Z$213,4))</f>
        <v>Demo</v>
      </c>
      <c r="E855" s="89" t="str">
        <f>if(isblank(J855),"",vlookup(J855,Pacing!$A$1:$Z$213,4))</f>
        <v/>
      </c>
      <c r="F855" s="89" t="str">
        <f>if(isblank(K855),"",vlookup(K855,Pacing!$A$1:$Z$213,4))</f>
        <v/>
      </c>
      <c r="G855" s="89" t="str">
        <f>if(isblank(L855),"",vlookup(L855,Pacing!$A$1:$Z$213,4))</f>
        <v/>
      </c>
      <c r="H855" s="89" t="str">
        <f>if(isblank(M855),"",vlookup(M855,Pacing!$A$1:$Z$213,4))</f>
        <v/>
      </c>
      <c r="I855" s="86">
        <f t="shared" ref="I855:M855" si="909">I854</f>
        <v>131</v>
      </c>
      <c r="J855" s="86">
        <f t="shared" si="909"/>
        <v>132</v>
      </c>
      <c r="K855" s="86">
        <f t="shared" si="909"/>
        <v>133</v>
      </c>
      <c r="L855" s="86">
        <f t="shared" si="909"/>
        <v>134</v>
      </c>
      <c r="M855" s="86">
        <f t="shared" si="909"/>
        <v>135</v>
      </c>
    </row>
    <row r="856" ht="15.75" customHeight="1">
      <c r="A856" s="69">
        <f>B856+5</f>
        <v>325</v>
      </c>
      <c r="B856" s="69">
        <f t="shared" si="906"/>
        <v>320</v>
      </c>
      <c r="C856" s="76"/>
      <c r="D856" s="81" t="str">
        <f>if(isblank(I856),"",vlookup(I856,Pacing!$A$1:$Z$213,5))</f>
        <v>Notes</v>
      </c>
      <c r="E856" s="89" t="str">
        <f>if(isblank(J856),"",vlookup(J856,Pacing!$A$1:$Z$213,5))</f>
        <v/>
      </c>
      <c r="F856" s="89" t="str">
        <f>if(isblank(K856),"",vlookup(K856,Pacing!$A$1:$Z$213,5))</f>
        <v/>
      </c>
      <c r="G856" s="89" t="str">
        <f>if(isblank(L856),"",vlookup(L856,Pacing!$A$1:$Z$213,5))</f>
        <v/>
      </c>
      <c r="H856" s="89" t="str">
        <f>if(isblank(M856),"",vlookup(M856,Pacing!$A$1:$Z$213,5))</f>
        <v/>
      </c>
      <c r="I856" s="86">
        <f t="shared" ref="I856:M856" si="910">I855</f>
        <v>131</v>
      </c>
      <c r="J856" s="86">
        <f t="shared" si="910"/>
        <v>132</v>
      </c>
      <c r="K856" s="86">
        <f t="shared" si="910"/>
        <v>133</v>
      </c>
      <c r="L856" s="86">
        <f t="shared" si="910"/>
        <v>134</v>
      </c>
      <c r="M856" s="86">
        <f t="shared" si="910"/>
        <v>135</v>
      </c>
    </row>
    <row r="857" ht="15.75" customHeight="1">
      <c r="A857" s="69">
        <f>B857+6</f>
        <v>326</v>
      </c>
      <c r="B857" s="69">
        <f t="shared" si="906"/>
        <v>320</v>
      </c>
      <c r="C857" s="76"/>
      <c r="D857" s="81" t="str">
        <f>if(isblank(I857),"",vlookup(I857,Pacing!$A$1:$Z$213,6))</f>
        <v>Investigation</v>
      </c>
      <c r="E857" s="89" t="str">
        <f>if(isblank(J857),"",vlookup(J857,Pacing!$A$1:$Z$213,6))</f>
        <v/>
      </c>
      <c r="F857" s="89" t="str">
        <f>if(isblank(K857),"",vlookup(K857,Pacing!$A$1:$Z$213,6))</f>
        <v/>
      </c>
      <c r="G857" s="89" t="str">
        <f>if(isblank(L857),"",vlookup(L857,Pacing!$A$1:$Z$213,6))</f>
        <v/>
      </c>
      <c r="H857" s="89" t="str">
        <f>if(isblank(M857),"",vlookup(M857,Pacing!$A$1:$Z$213,6))</f>
        <v/>
      </c>
      <c r="I857" s="86">
        <f t="shared" ref="I857:M857" si="911">I856</f>
        <v>131</v>
      </c>
      <c r="J857" s="86">
        <f t="shared" si="911"/>
        <v>132</v>
      </c>
      <c r="K857" s="86">
        <f t="shared" si="911"/>
        <v>133</v>
      </c>
      <c r="L857" s="86">
        <f t="shared" si="911"/>
        <v>134</v>
      </c>
      <c r="M857" s="86">
        <f t="shared" si="911"/>
        <v>135</v>
      </c>
    </row>
    <row r="858" ht="15.75" customHeight="1">
      <c r="A858" s="69">
        <f>B858+7</f>
        <v>327</v>
      </c>
      <c r="B858" s="69">
        <f t="shared" si="906"/>
        <v>320</v>
      </c>
      <c r="C858" s="76"/>
      <c r="D858" s="81" t="str">
        <f>if(isblank(I858),"",vlookup(I858,Pacing!$A$1:$Z$213,7))</f>
        <v>Activity</v>
      </c>
      <c r="E858" s="89" t="str">
        <f>if(isblank(J858),"",vlookup(J858,Pacing!$A$1:$Z$213,7))</f>
        <v/>
      </c>
      <c r="F858" s="89" t="str">
        <f>if(isblank(K858),"",vlookup(K858,Pacing!$A$1:$Z$213,7))</f>
        <v/>
      </c>
      <c r="G858" s="89" t="str">
        <f>if(isblank(L858),"",vlookup(L858,Pacing!$A$1:$Z$213,7))</f>
        <v/>
      </c>
      <c r="H858" s="89" t="str">
        <f>if(isblank(M858),"",vlookup(M858,Pacing!$A$1:$Z$213,7))</f>
        <v/>
      </c>
      <c r="I858" s="86">
        <f t="shared" ref="I858:M858" si="912">I857</f>
        <v>131</v>
      </c>
      <c r="J858" s="86">
        <f t="shared" si="912"/>
        <v>132</v>
      </c>
      <c r="K858" s="86">
        <f t="shared" si="912"/>
        <v>133</v>
      </c>
      <c r="L858" s="86">
        <f t="shared" si="912"/>
        <v>134</v>
      </c>
      <c r="M858" s="86">
        <f t="shared" si="912"/>
        <v>135</v>
      </c>
    </row>
    <row r="859" ht="15.75" customHeight="1">
      <c r="A859" s="69">
        <f>B859+8</f>
        <v>328</v>
      </c>
      <c r="B859" s="69">
        <f t="shared" si="906"/>
        <v>320</v>
      </c>
      <c r="C859" s="95"/>
      <c r="D859" s="81" t="str">
        <f>if(isblank(I859),"",vlookup(I859,Pacing!$A$1:$Z$213,8))</f>
        <v>Practice Set</v>
      </c>
      <c r="E859" s="89" t="str">
        <f>if(isblank(J859),"",vlookup(J859,Pacing!$A$1:$Z$213,8))</f>
        <v/>
      </c>
      <c r="F859" s="89" t="str">
        <f>if(isblank(K859),"",vlookup(K859,Pacing!$A$1:$Z$213,8))</f>
        <v/>
      </c>
      <c r="G859" s="89" t="str">
        <f>if(isblank(L859),"",vlookup(L859,Pacing!$A$1:$Z$213,8))</f>
        <v/>
      </c>
      <c r="H859" s="89" t="str">
        <f>if(isblank(M859),"",vlookup(M859,Pacing!$A$1:$Z$213,8))</f>
        <v/>
      </c>
      <c r="I859" s="86">
        <f t="shared" ref="I859:M859" si="913">I858</f>
        <v>131</v>
      </c>
      <c r="J859" s="86">
        <f t="shared" si="913"/>
        <v>132</v>
      </c>
      <c r="K859" s="86">
        <f t="shared" si="913"/>
        <v>133</v>
      </c>
      <c r="L859" s="86">
        <f t="shared" si="913"/>
        <v>134</v>
      </c>
      <c r="M859" s="86">
        <f t="shared" si="913"/>
        <v>135</v>
      </c>
    </row>
    <row r="860" ht="15.75" customHeight="1">
      <c r="A860" s="69"/>
      <c r="B860" s="69"/>
      <c r="C860" s="71"/>
      <c r="D860" s="81" t="str">
        <f>if(isblank(I860),"",vlookup(I860,Pacing!$A$1:$Z$213,9))</f>
        <v>Extra Practice</v>
      </c>
      <c r="E860" s="89" t="str">
        <f>if(isblank(J860),"",vlookup(J860,Pacing!$A$1:$Z$213,9))</f>
        <v/>
      </c>
      <c r="F860" s="89" t="str">
        <f>if(isblank(K860),"",vlookup(K860,Pacing!$A$1:$Z$213,9))</f>
        <v/>
      </c>
      <c r="G860" s="89" t="str">
        <f>if(isblank(L860),"",vlookup(L860,Pacing!$A$1:$Z$213,9))</f>
        <v/>
      </c>
      <c r="H860" s="89" t="str">
        <f>if(isblank(M860),"",vlookup(M860,Pacing!$A$1:$Z$213,9))</f>
        <v/>
      </c>
      <c r="I860" s="86">
        <f t="shared" ref="I860:M860" si="914">I859</f>
        <v>131</v>
      </c>
      <c r="J860" s="86">
        <f t="shared" si="914"/>
        <v>132</v>
      </c>
      <c r="K860" s="86">
        <f t="shared" si="914"/>
        <v>133</v>
      </c>
      <c r="L860" s="86">
        <f t="shared" si="914"/>
        <v>134</v>
      </c>
      <c r="M860" s="86">
        <f t="shared" si="914"/>
        <v>135</v>
      </c>
    </row>
    <row r="861" ht="15.75" customHeight="1">
      <c r="A861" s="69"/>
      <c r="B861" s="69"/>
      <c r="C861" s="71"/>
      <c r="D861" s="81" t="str">
        <f>if(isblank(I861),"",vlookup(I861,Pacing!$A$1:$Z$213,10))</f>
        <v>CYU</v>
      </c>
      <c r="E861" s="89" t="str">
        <f>if(isblank(J861),"",vlookup(J861,Pacing!$A$1:$Z$213,10))</f>
        <v/>
      </c>
      <c r="F861" s="89" t="str">
        <f>if(isblank(K861),"",vlookup(K861,Pacing!$A$1:$Z$213,10))</f>
        <v/>
      </c>
      <c r="G861" s="89" t="str">
        <f>if(isblank(L861),"",vlookup(L861,Pacing!$A$1:$Z$213,10))</f>
        <v/>
      </c>
      <c r="H861" s="89" t="str">
        <f>if(isblank(M861),"",vlookup(M861,Pacing!$A$1:$Z$213,10))</f>
        <v/>
      </c>
      <c r="I861" s="86">
        <f t="shared" ref="I861:M861" si="915">I860</f>
        <v>131</v>
      </c>
      <c r="J861" s="86">
        <f t="shared" si="915"/>
        <v>132</v>
      </c>
      <c r="K861" s="86">
        <f t="shared" si="915"/>
        <v>133</v>
      </c>
      <c r="L861" s="86">
        <f t="shared" si="915"/>
        <v>134</v>
      </c>
      <c r="M861" s="86">
        <f t="shared" si="915"/>
        <v>135</v>
      </c>
    </row>
    <row r="862" ht="15.75" customHeight="1">
      <c r="A862" s="69"/>
      <c r="B862" s="69"/>
      <c r="C862" s="71"/>
      <c r="D862" s="81" t="str">
        <f>if(isblank(I862),"",vlookup(I862,Pacing!$A$1:$Z$213,11))</f>
        <v>Progress</v>
      </c>
      <c r="E862" s="89" t="str">
        <f>if(isblank(J862),"",vlookup(J862,Pacing!$A$1:$Z$213,11))</f>
        <v/>
      </c>
      <c r="F862" s="89" t="str">
        <f>if(isblank(K862),"",vlookup(K862,Pacing!$A$1:$Z$213,11))</f>
        <v/>
      </c>
      <c r="G862" s="89" t="str">
        <f>if(isblank(L862),"",vlookup(L862,Pacing!$A$1:$Z$213,11))</f>
        <v/>
      </c>
      <c r="H862" s="89" t="str">
        <f>if(isblank(M862),"",vlookup(M862,Pacing!$A$1:$Z$213,11))</f>
        <v/>
      </c>
      <c r="I862" s="86">
        <f t="shared" ref="I862:M862" si="916">I861</f>
        <v>131</v>
      </c>
      <c r="J862" s="86">
        <f t="shared" si="916"/>
        <v>132</v>
      </c>
      <c r="K862" s="86">
        <f t="shared" si="916"/>
        <v>133</v>
      </c>
      <c r="L862" s="86">
        <f t="shared" si="916"/>
        <v>134</v>
      </c>
      <c r="M862" s="86">
        <f t="shared" si="916"/>
        <v>135</v>
      </c>
    </row>
    <row r="863" ht="15.75" customHeight="1">
      <c r="A863" s="69"/>
      <c r="B863" s="69"/>
      <c r="C863" s="71"/>
      <c r="D863" s="81" t="str">
        <f>if(isblank(I863),"",vlookup(I863,Pacing!$A$1:$Z$213,12))</f>
        <v>Review</v>
      </c>
      <c r="E863" s="91" t="str">
        <f>if(isblank(J863),"",vlookup(J863,Pacing!$A$1:$Z$213,12))</f>
        <v/>
      </c>
      <c r="F863" s="91" t="str">
        <f>if(isblank(K863),"",vlookup(K863,Pacing!$A$1:$Z$213,12))</f>
        <v/>
      </c>
      <c r="G863" s="91" t="str">
        <f>if(isblank(L863),"",vlookup(L863,Pacing!$A$1:$Z$213,12))</f>
        <v/>
      </c>
      <c r="H863" s="91" t="str">
        <f>if(isblank(M863),"",vlookup(M863,Pacing!$A$1:$Z$213,12))</f>
        <v/>
      </c>
      <c r="I863" s="86">
        <f t="shared" ref="I863:M863" si="917">I862</f>
        <v>131</v>
      </c>
      <c r="J863" s="86">
        <f t="shared" si="917"/>
        <v>132</v>
      </c>
      <c r="K863" s="86">
        <f t="shared" si="917"/>
        <v>133</v>
      </c>
      <c r="L863" s="86">
        <f t="shared" si="917"/>
        <v>134</v>
      </c>
      <c r="M863" s="86">
        <f t="shared" si="917"/>
        <v>135</v>
      </c>
    </row>
    <row r="864" ht="15.75" customHeight="1">
      <c r="A864" s="69"/>
      <c r="B864" s="69"/>
      <c r="C864" s="71"/>
      <c r="D864" s="91" t="str">
        <f>if(isblank(I864),"",vlookup(I864,Pacing!$A$1:$Z$213,13))</f>
        <v/>
      </c>
      <c r="E864" s="91" t="str">
        <f>if(isblank(J864),"",vlookup(J864,Pacing!$A$1:$Z$213,13))</f>
        <v/>
      </c>
      <c r="F864" s="91" t="str">
        <f>if(isblank(K864),"",vlookup(K864,Pacing!$A$1:$Z$213,13))</f>
        <v/>
      </c>
      <c r="G864" s="91" t="str">
        <f>if(isblank(L864),"",vlookup(L864,Pacing!$A$1:$Z$213,13))</f>
        <v/>
      </c>
      <c r="H864" s="91" t="str">
        <f>if(isblank(M864),"",vlookup(M864,Pacing!$A$1:$Z$213,13))</f>
        <v/>
      </c>
      <c r="I864" s="86">
        <f t="shared" ref="I864:M864" si="918">I863</f>
        <v>131</v>
      </c>
      <c r="J864" s="86">
        <f t="shared" si="918"/>
        <v>132</v>
      </c>
      <c r="K864" s="86">
        <f t="shared" si="918"/>
        <v>133</v>
      </c>
      <c r="L864" s="86">
        <f t="shared" si="918"/>
        <v>134</v>
      </c>
      <c r="M864" s="86">
        <f t="shared" si="918"/>
        <v>135</v>
      </c>
    </row>
    <row r="865" ht="15.75" customHeight="1">
      <c r="A865" s="69"/>
      <c r="B865" s="69"/>
      <c r="C865" s="71"/>
      <c r="D865" s="81" t="str">
        <f>if(isblank(I865),"",vlookup(I865,Pacing!$A$1:$Z$213,14))</f>
        <v>Notes Teacher</v>
      </c>
      <c r="E865" s="81" t="str">
        <f>if(isblank(J865),"",vlookup(J865,Pacing!$A$1:$Z$213,14))</f>
        <v>Sum Assess</v>
      </c>
      <c r="F865" s="81" t="str">
        <f>if(isblank(K865),"",vlookup(K865,Pacing!$A$1:$Z$213,14))</f>
        <v>Sum Assess</v>
      </c>
      <c r="G865" s="89" t="str">
        <f>if(isblank(L865),"",vlookup(L865,Pacing!$A$1:$Z$213,14))</f>
        <v/>
      </c>
      <c r="H865" s="89" t="str">
        <f>if(isblank(M865),"",vlookup(M865,Pacing!$A$1:$Z$213,14))</f>
        <v/>
      </c>
      <c r="I865" s="86">
        <f t="shared" ref="I865:M865" si="919">I864</f>
        <v>131</v>
      </c>
      <c r="J865" s="86">
        <f t="shared" si="919"/>
        <v>132</v>
      </c>
      <c r="K865" s="86">
        <f t="shared" si="919"/>
        <v>133</v>
      </c>
      <c r="L865" s="86">
        <f t="shared" si="919"/>
        <v>134</v>
      </c>
      <c r="M865" s="86">
        <f t="shared" si="919"/>
        <v>135</v>
      </c>
    </row>
    <row r="866" ht="15.75" customHeight="1">
      <c r="A866" s="69"/>
      <c r="B866" s="69"/>
      <c r="C866" s="71"/>
      <c r="D866" s="81" t="str">
        <f>if(isblank(I866),"",vlookup(I866,Pacing!$A$1:$Z$213,15))</f>
        <v>Demo Teacher</v>
      </c>
      <c r="E866" s="81" t="str">
        <f>if(isblank(J866),"",vlookup(J866,Pacing!$A$1:$Z$213,15))</f>
        <v>Bank</v>
      </c>
      <c r="F866" s="81" t="str">
        <f>if(isblank(K866),"",vlookup(K866,Pacing!$A$1:$Z$213,15))</f>
        <v>Bank</v>
      </c>
      <c r="G866" s="89" t="str">
        <f>if(isblank(L866),"",vlookup(L866,Pacing!$A$1:$Z$213,15))</f>
        <v/>
      </c>
      <c r="H866" s="89" t="str">
        <f>if(isblank(M866),"",vlookup(M866,Pacing!$A$1:$Z$213,15))</f>
        <v/>
      </c>
      <c r="I866" s="86">
        <f t="shared" ref="I866:M866" si="920">I865</f>
        <v>131</v>
      </c>
      <c r="J866" s="86">
        <f t="shared" si="920"/>
        <v>132</v>
      </c>
      <c r="K866" s="86">
        <f t="shared" si="920"/>
        <v>133</v>
      </c>
      <c r="L866" s="86">
        <f t="shared" si="920"/>
        <v>134</v>
      </c>
      <c r="M866" s="86">
        <f t="shared" si="920"/>
        <v>135</v>
      </c>
    </row>
    <row r="867" ht="15.75" customHeight="1">
      <c r="A867" s="69"/>
      <c r="B867" s="69"/>
      <c r="C867" s="71"/>
      <c r="D867" s="81" t="str">
        <f>if(isblank(I867),"",vlookup(I867,Pacing!$A$1:$Z$213,16))</f>
        <v>Invest Teacher</v>
      </c>
      <c r="E867" s="81" t="str">
        <f>if(isblank(J867),"",vlookup(J867,Pacing!$A$1:$Z$213,16))</f>
        <v>Assess Plan</v>
      </c>
      <c r="F867" s="81" t="str">
        <f>if(isblank(K867),"",vlookup(K867,Pacing!$A$1:$Z$213,16))</f>
        <v>Assess Plan</v>
      </c>
      <c r="G867" s="89" t="str">
        <f>if(isblank(L867),"",vlookup(L867,Pacing!$A$1:$Z$213,16))</f>
        <v/>
      </c>
      <c r="H867" s="89" t="str">
        <f>if(isblank(M867),"",vlookup(M867,Pacing!$A$1:$Z$213,16))</f>
        <v/>
      </c>
      <c r="I867" s="86">
        <f t="shared" ref="I867:M867" si="921">I866</f>
        <v>131</v>
      </c>
      <c r="J867" s="86">
        <f t="shared" si="921"/>
        <v>132</v>
      </c>
      <c r="K867" s="86">
        <f t="shared" si="921"/>
        <v>133</v>
      </c>
      <c r="L867" s="86">
        <f t="shared" si="921"/>
        <v>134</v>
      </c>
      <c r="M867" s="86">
        <f t="shared" si="921"/>
        <v>135</v>
      </c>
    </row>
    <row r="868" ht="15.75" customHeight="1">
      <c r="A868" s="69"/>
      <c r="B868" s="69"/>
      <c r="C868" s="71"/>
      <c r="D868" s="81" t="str">
        <f>if(isblank(I868),"",vlookup(I868,Pacing!$A$1:$Z$213,17))</f>
        <v>PT Teacher</v>
      </c>
      <c r="E868" s="89" t="str">
        <f>if(isblank(J868),"",vlookup(J868,Pacing!$A$1:$Z$213,17))</f>
        <v/>
      </c>
      <c r="F868" s="89" t="str">
        <f>if(isblank(K868),"",vlookup(K868,Pacing!$A$1:$Z$213,17))</f>
        <v/>
      </c>
      <c r="G868" s="89" t="str">
        <f>if(isblank(L868),"",vlookup(L868,Pacing!$A$1:$Z$213,17))</f>
        <v/>
      </c>
      <c r="H868" s="89" t="str">
        <f>if(isblank(M868),"",vlookup(M868,Pacing!$A$1:$Z$213,17))</f>
        <v/>
      </c>
      <c r="I868" s="86">
        <f t="shared" ref="I868:M868" si="922">I867</f>
        <v>131</v>
      </c>
      <c r="J868" s="86">
        <f t="shared" si="922"/>
        <v>132</v>
      </c>
      <c r="K868" s="86">
        <f t="shared" si="922"/>
        <v>133</v>
      </c>
      <c r="L868" s="86">
        <f t="shared" si="922"/>
        <v>134</v>
      </c>
      <c r="M868" s="86">
        <f t="shared" si="922"/>
        <v>135</v>
      </c>
    </row>
    <row r="869" ht="15.75" customHeight="1">
      <c r="A869" s="69"/>
      <c r="B869" s="69"/>
      <c r="C869" s="71"/>
      <c r="D869" s="81" t="str">
        <f>if(isblank(I869),"",vlookup(I869,Pacing!$A$1:$Z$213,18))</f>
        <v>Assess Plan</v>
      </c>
      <c r="E869" s="81" t="str">
        <f>if(isblank(J869),"",vlookup(J869,Pacing!$A$1:$Z$213,18))</f>
        <v/>
      </c>
      <c r="F869" s="81" t="str">
        <f>if(isblank(K869),"",vlookup(K869,Pacing!$A$1:$Z$213,18))</f>
        <v/>
      </c>
      <c r="G869" s="91" t="str">
        <f>if(isblank(L869),"",vlookup(L869,Pacing!$A$1:$Z$213,18))</f>
        <v/>
      </c>
      <c r="H869" s="91" t="str">
        <f>if(isblank(M869),"",vlookup(M869,Pacing!$A$1:$Z$213,18))</f>
        <v/>
      </c>
      <c r="I869" s="86">
        <f t="shared" ref="I869:M869" si="923">I868</f>
        <v>131</v>
      </c>
      <c r="J869" s="86">
        <f t="shared" si="923"/>
        <v>132</v>
      </c>
      <c r="K869" s="86">
        <f t="shared" si="923"/>
        <v>133</v>
      </c>
      <c r="L869" s="86">
        <f t="shared" si="923"/>
        <v>134</v>
      </c>
      <c r="M869" s="86">
        <f t="shared" si="923"/>
        <v>135</v>
      </c>
    </row>
    <row r="870" ht="15.75" customHeight="1">
      <c r="A870" s="69"/>
      <c r="B870" s="69"/>
      <c r="C870" s="71"/>
      <c r="D870" s="81" t="str">
        <f>if(isblank(I870),"",vlookup(I870,Pacing!$A$1:$Z$213,19))</f>
        <v>Perform Task</v>
      </c>
      <c r="E870" s="89" t="str">
        <f>if(isblank(J870),"",vlookup(J870,Pacing!$A$1:$Z$213,19))</f>
        <v/>
      </c>
      <c r="F870" s="89" t="str">
        <f>if(isblank(K870),"",vlookup(K870,Pacing!$A$1:$Z$213,19))</f>
        <v/>
      </c>
      <c r="G870" s="89" t="str">
        <f>if(isblank(L870),"",vlookup(L870,Pacing!$A$1:$Z$213,19))</f>
        <v/>
      </c>
      <c r="H870" s="89" t="str">
        <f>if(isblank(M870),"",vlookup(M870,Pacing!$A$1:$Z$213,19))</f>
        <v/>
      </c>
      <c r="I870" s="86">
        <f t="shared" ref="I870:M870" si="924">I869</f>
        <v>131</v>
      </c>
      <c r="J870" s="86">
        <f t="shared" si="924"/>
        <v>132</v>
      </c>
      <c r="K870" s="86">
        <f t="shared" si="924"/>
        <v>133</v>
      </c>
      <c r="L870" s="86">
        <f t="shared" si="924"/>
        <v>134</v>
      </c>
      <c r="M870" s="86">
        <f t="shared" si="924"/>
        <v>135</v>
      </c>
    </row>
    <row r="871" ht="15.75" customHeight="1">
      <c r="A871" s="69"/>
      <c r="B871" s="69"/>
      <c r="C871" s="71"/>
      <c r="D871" s="81" t="str">
        <f>if(isblank(I871),"",vlookup(I871,Pacing!$A$1:$Z$213,20))</f>
        <v>Quick Check</v>
      </c>
      <c r="E871" s="89" t="str">
        <f>if(isblank(J871),"",vlookup(J871,Pacing!$A$1:$Z$213,20))</f>
        <v/>
      </c>
      <c r="F871" s="89" t="str">
        <f>if(isblank(K871),"",vlookup(K871,Pacing!$A$1:$Z$213,20))</f>
        <v/>
      </c>
      <c r="G871" s="89" t="str">
        <f>if(isblank(L871),"",vlookup(L871,Pacing!$A$1:$Z$213,20))</f>
        <v/>
      </c>
      <c r="H871" s="89" t="str">
        <f>if(isblank(M871),"",vlookup(M871,Pacing!$A$1:$Z$213,20))</f>
        <v/>
      </c>
      <c r="I871" s="86">
        <f t="shared" ref="I871:M871" si="925">I870</f>
        <v>131</v>
      </c>
      <c r="J871" s="86">
        <f t="shared" si="925"/>
        <v>132</v>
      </c>
      <c r="K871" s="86">
        <f t="shared" si="925"/>
        <v>133</v>
      </c>
      <c r="L871" s="86">
        <f t="shared" si="925"/>
        <v>134</v>
      </c>
      <c r="M871" s="86">
        <f t="shared" si="925"/>
        <v>135</v>
      </c>
    </row>
    <row r="872" ht="15.75" customHeight="1">
      <c r="A872" s="69"/>
      <c r="B872" s="69"/>
      <c r="C872" s="71"/>
      <c r="D872" s="81" t="str">
        <f>if(isblank(I872),"",vlookup(I872,Pacing!$A$1:$Z$213,21))</f>
        <v>Exit Ticket</v>
      </c>
      <c r="E872" s="81" t="str">
        <f>if(isblank(J872),"",vlookup(J872,Pacing!$A$1:$Z$213,21))</f>
        <v/>
      </c>
      <c r="F872" s="81" t="str">
        <f>if(isblank(K872),"",vlookup(K872,Pacing!$A$1:$Z$213,21))</f>
        <v/>
      </c>
      <c r="G872" s="89" t="str">
        <f>if(isblank(L872),"",vlookup(L872,Pacing!$A$1:$Z$213,21))</f>
        <v/>
      </c>
      <c r="H872" s="89" t="str">
        <f>if(isblank(M872),"",vlookup(M872,Pacing!$A$1:$Z$213,21))</f>
        <v/>
      </c>
      <c r="I872" s="86">
        <f t="shared" ref="I872:M872" si="926">I871</f>
        <v>131</v>
      </c>
      <c r="J872" s="86">
        <f t="shared" si="926"/>
        <v>132</v>
      </c>
      <c r="K872" s="86">
        <f t="shared" si="926"/>
        <v>133</v>
      </c>
      <c r="L872" s="86">
        <f t="shared" si="926"/>
        <v>134</v>
      </c>
      <c r="M872" s="86">
        <f t="shared" si="926"/>
        <v>135</v>
      </c>
    </row>
    <row r="873" ht="15.75" customHeight="1">
      <c r="A873" s="69"/>
      <c r="B873" s="69"/>
      <c r="C873" s="71"/>
      <c r="D873" s="81" t="str">
        <f>if(isblank(I873),"",vlookup(I873,Pacing!$A$1:$Z$213,22))</f>
        <v>Practice 2</v>
      </c>
      <c r="E873" s="91" t="str">
        <f>if(isblank(J873),"",vlookup(J873,Pacing!$A$1:$Z$213,22))</f>
        <v/>
      </c>
      <c r="F873" s="91" t="str">
        <f>if(isblank(K873),"",vlookup(K873,Pacing!$A$1:$Z$213,22))</f>
        <v/>
      </c>
      <c r="G873" s="91" t="str">
        <f>if(isblank(L873),"",vlookup(L873,Pacing!$A$1:$Z$213,22))</f>
        <v/>
      </c>
      <c r="H873" s="91" t="str">
        <f>if(isblank(M873),"",vlookup(M873,Pacing!$A$1:$Z$213,22))</f>
        <v/>
      </c>
      <c r="I873" s="86">
        <f t="shared" ref="I873:M873" si="927">I872</f>
        <v>131</v>
      </c>
      <c r="J873" s="86">
        <f t="shared" si="927"/>
        <v>132</v>
      </c>
      <c r="K873" s="86">
        <f t="shared" si="927"/>
        <v>133</v>
      </c>
      <c r="L873" s="86">
        <f t="shared" si="927"/>
        <v>134</v>
      </c>
      <c r="M873" s="86">
        <f t="shared" si="927"/>
        <v>135</v>
      </c>
    </row>
    <row r="874" ht="15.75" customHeight="1">
      <c r="A874" s="69"/>
      <c r="B874" s="69"/>
      <c r="C874" s="71"/>
      <c r="D874" s="81" t="str">
        <f>if(isblank(I874),"",vlookup(I874,Pacing!$A$1:$Z$213,23))</f>
        <v>Practice 3</v>
      </c>
      <c r="E874" s="89" t="str">
        <f>if(isblank(J874),"",vlookup(J874,Pacing!$A$1:$Z$213,23))</f>
        <v/>
      </c>
      <c r="F874" s="89" t="str">
        <f>if(isblank(K874),"",vlookup(K874,Pacing!$A$1:$Z$213,23))</f>
        <v/>
      </c>
      <c r="G874" s="89" t="str">
        <f>if(isblank(L874),"",vlookup(L874,Pacing!$A$1:$Z$213,23))</f>
        <v/>
      </c>
      <c r="H874" s="89" t="str">
        <f>if(isblank(M874),"",vlookup(M874,Pacing!$A$1:$Z$213,23))</f>
        <v/>
      </c>
      <c r="I874" s="86">
        <f t="shared" ref="I874:M874" si="928">I873</f>
        <v>131</v>
      </c>
      <c r="J874" s="86">
        <f t="shared" si="928"/>
        <v>132</v>
      </c>
      <c r="K874" s="86">
        <f t="shared" si="928"/>
        <v>133</v>
      </c>
      <c r="L874" s="86">
        <f t="shared" si="928"/>
        <v>134</v>
      </c>
      <c r="M874" s="86">
        <f t="shared" si="928"/>
        <v>135</v>
      </c>
    </row>
    <row r="875" ht="15.75" customHeight="1">
      <c r="A875" s="69"/>
      <c r="B875" s="69"/>
      <c r="C875" s="71"/>
      <c r="D875" s="81" t="str">
        <f>if(isblank(I875),"",vlookup(I875,Pacing!$A$1:$Z$213,24))</f>
        <v>Sum Assess</v>
      </c>
      <c r="E875" s="81" t="str">
        <f>if(isblank(J875),"",vlookup(J875,Pacing!$A$1:$Z$213,24))</f>
        <v/>
      </c>
      <c r="F875" s="81" t="str">
        <f>if(isblank(K875),"",vlookup(K875,Pacing!$A$1:$Z$213,24))</f>
        <v/>
      </c>
      <c r="G875" s="89" t="str">
        <f>if(isblank(L875),"",vlookup(L875,Pacing!$A$1:$Z$213,24))</f>
        <v/>
      </c>
      <c r="H875" s="89" t="str">
        <f>if(isblank(M875),"",vlookup(M875,Pacing!$A$1:$Z$213,24))</f>
        <v/>
      </c>
      <c r="I875" s="86">
        <f t="shared" ref="I875:M875" si="929">I874</f>
        <v>131</v>
      </c>
      <c r="J875" s="86">
        <f t="shared" si="929"/>
        <v>132</v>
      </c>
      <c r="K875" s="86">
        <f t="shared" si="929"/>
        <v>133</v>
      </c>
      <c r="L875" s="86">
        <f t="shared" si="929"/>
        <v>134</v>
      </c>
      <c r="M875" s="86">
        <f t="shared" si="929"/>
        <v>135</v>
      </c>
    </row>
    <row r="876" ht="15.75" customHeight="1">
      <c r="A876" s="69"/>
      <c r="B876" s="69"/>
      <c r="C876" s="71"/>
      <c r="D876" s="81" t="str">
        <f>if(isblank(I876),"",vlookup(I876,Pacing!$A$1:$Z$213,25))</f>
        <v>Bank</v>
      </c>
      <c r="E876" s="81" t="str">
        <f>if(isblank(J876),"",vlookup(J876,Pacing!$A$1:$Z$213,25))</f>
        <v/>
      </c>
      <c r="F876" s="81" t="str">
        <f>if(isblank(K876),"",vlookup(K876,Pacing!$A$1:$Z$213,25))</f>
        <v/>
      </c>
      <c r="G876" s="89" t="str">
        <f>if(isblank(L876),"",vlookup(L876,Pacing!$A$1:$Z$213,25))</f>
        <v/>
      </c>
      <c r="H876" s="89" t="str">
        <f>if(isblank(M876),"",vlookup(M876,Pacing!$A$1:$Z$213,25))</f>
        <v/>
      </c>
      <c r="I876" s="86">
        <f t="shared" ref="I876:M876" si="930">I875</f>
        <v>131</v>
      </c>
      <c r="J876" s="86">
        <f t="shared" si="930"/>
        <v>132</v>
      </c>
      <c r="K876" s="86">
        <f t="shared" si="930"/>
        <v>133</v>
      </c>
      <c r="L876" s="86">
        <f t="shared" si="930"/>
        <v>134</v>
      </c>
      <c r="M876" s="86">
        <f t="shared" si="930"/>
        <v>135</v>
      </c>
    </row>
    <row r="877" ht="15.75" customHeight="1">
      <c r="A877" s="69"/>
      <c r="B877" s="69"/>
      <c r="C877" s="71"/>
      <c r="D877" s="91" t="str">
        <f>if(isblank(I877),"",vlookup(I877,Pacing!$A$1:$Z$213,26))</f>
        <v/>
      </c>
      <c r="E877" s="89" t="str">
        <f>if(isblank(J877),"",vlookup(J877,Pacing!$A$1:$Z$213,26))</f>
        <v/>
      </c>
      <c r="F877" s="89" t="str">
        <f>if(isblank(K877),"",vlookup(K877,Pacing!$A$1:$Z$213,26))</f>
        <v/>
      </c>
      <c r="G877" s="89" t="str">
        <f>if(isblank(L877),"",vlookup(L877,Pacing!$A$1:$Z$213,26))</f>
        <v/>
      </c>
      <c r="H877" s="89" t="str">
        <f>if(isblank(M877),"",vlookup(M877,Pacing!$A$1:$Z$213,26))</f>
        <v/>
      </c>
      <c r="I877" s="86">
        <f t="shared" ref="I877:M877" si="931">I876</f>
        <v>131</v>
      </c>
      <c r="J877" s="86">
        <f t="shared" si="931"/>
        <v>132</v>
      </c>
      <c r="K877" s="86">
        <f t="shared" si="931"/>
        <v>133</v>
      </c>
      <c r="L877" s="86">
        <f t="shared" si="931"/>
        <v>134</v>
      </c>
      <c r="M877" s="86">
        <f t="shared" si="931"/>
        <v>135</v>
      </c>
    </row>
    <row r="878" ht="15.75" customHeight="1">
      <c r="A878" s="137"/>
      <c r="B878" s="137"/>
      <c r="C878" s="138"/>
      <c r="D878" s="139">
        <f>H851+1</f>
        <v>136</v>
      </c>
      <c r="E878" s="139">
        <f t="shared" ref="E878:H878" si="932">D878+1</f>
        <v>137</v>
      </c>
      <c r="F878" s="139">
        <f t="shared" si="932"/>
        <v>138</v>
      </c>
      <c r="G878" s="139">
        <f t="shared" si="932"/>
        <v>139</v>
      </c>
      <c r="H878" s="139">
        <f t="shared" si="932"/>
        <v>140</v>
      </c>
      <c r="I878" s="55">
        <f t="shared" ref="I878:M878" si="933">D878</f>
        <v>136</v>
      </c>
      <c r="J878" s="55">
        <f t="shared" si="933"/>
        <v>137</v>
      </c>
      <c r="K878" s="55">
        <f t="shared" si="933"/>
        <v>138</v>
      </c>
      <c r="L878" s="55">
        <f t="shared" si="933"/>
        <v>139</v>
      </c>
      <c r="M878" s="55">
        <f t="shared" si="933"/>
        <v>140</v>
      </c>
    </row>
    <row r="879" ht="15.75" customHeight="1">
      <c r="A879" s="69">
        <f>B879+1</f>
        <v>331</v>
      </c>
      <c r="B879" s="69">
        <f t="shared" ref="B879:B886" si="935">$C$879*10</f>
        <v>330</v>
      </c>
      <c r="C879" s="71">
        <f>C852+1</f>
        <v>33</v>
      </c>
      <c r="D879" s="72">
        <f>D852+7</f>
        <v>46489</v>
      </c>
      <c r="E879" s="72">
        <f t="shared" ref="E879:H879" si="934">D879+1</f>
        <v>46490</v>
      </c>
      <c r="F879" s="72">
        <f t="shared" si="934"/>
        <v>46491</v>
      </c>
      <c r="G879" s="72">
        <f t="shared" si="934"/>
        <v>46492</v>
      </c>
      <c r="H879" s="72">
        <f t="shared" si="934"/>
        <v>46493</v>
      </c>
      <c r="I879" s="62" t="s">
        <v>42</v>
      </c>
    </row>
    <row r="880" ht="15.75" customHeight="1">
      <c r="A880" s="75">
        <f>B880+2</f>
        <v>332</v>
      </c>
      <c r="B880" s="75">
        <f t="shared" si="935"/>
        <v>330</v>
      </c>
      <c r="C880" s="76"/>
      <c r="D880" s="131" t="str">
        <f>if(isblank(I880),"",vlookup(I880,Pacing!$A$1:$Z$213,2))</f>
        <v/>
      </c>
      <c r="E880" s="131" t="str">
        <f>if(isblank(J880),"",vlookup(J880,Pacing!$A$1:$Z$213,2))</f>
        <v/>
      </c>
      <c r="F880" s="131" t="str">
        <f>if(isblank(K880),"",vlookup(K880,Pacing!$A$1:$Z$213,2))</f>
        <v/>
      </c>
      <c r="G880" s="131" t="str">
        <f>if(isblank(L880),"",vlookup(L880,Pacing!$A$1:$Z$213,2))</f>
        <v/>
      </c>
      <c r="H880" s="131" t="str">
        <f>if(isblank(M880),"",vlookup(M880,Pacing!$A$1:$Z$213,2))</f>
        <v/>
      </c>
      <c r="I880" s="78">
        <f t="shared" ref="I880:M880" si="936">I878</f>
        <v>136</v>
      </c>
      <c r="J880" s="78">
        <f t="shared" si="936"/>
        <v>137</v>
      </c>
      <c r="K880" s="78">
        <f t="shared" si="936"/>
        <v>138</v>
      </c>
      <c r="L880" s="78">
        <f t="shared" si="936"/>
        <v>139</v>
      </c>
      <c r="M880" s="78">
        <f t="shared" si="936"/>
        <v>140</v>
      </c>
    </row>
    <row r="881" ht="15.75" customHeight="1">
      <c r="A881" s="69">
        <f>B881+3</f>
        <v>333</v>
      </c>
      <c r="B881" s="69">
        <f t="shared" si="935"/>
        <v>330</v>
      </c>
      <c r="C881" s="76"/>
      <c r="D881" s="91" t="str">
        <f>if(isblank(I881),"",vlookup(I881,Pacing!$A$1:$Z$213,3))</f>
        <v/>
      </c>
      <c r="E881" s="89" t="str">
        <f>if(isblank(J881),"",vlookup(J881,Pacing!$A$1:$Z$213,3))</f>
        <v/>
      </c>
      <c r="F881" s="89" t="str">
        <f>if(isblank(K881),"",vlookup(K881,Pacing!$A$1:$Z$213,3))</f>
        <v/>
      </c>
      <c r="G881" s="89" t="str">
        <f>if(isblank(L881),"",vlookup(L881,Pacing!$A$1:$Z$213,3))</f>
        <v/>
      </c>
      <c r="H881" s="89" t="str">
        <f>if(isblank(M881),"",vlookup(M881,Pacing!$A$1:$Z$213,3))</f>
        <v/>
      </c>
      <c r="I881" s="86">
        <f t="shared" ref="I881:M881" si="937">I880</f>
        <v>136</v>
      </c>
      <c r="J881" s="86">
        <f t="shared" si="937"/>
        <v>137</v>
      </c>
      <c r="K881" s="86">
        <f t="shared" si="937"/>
        <v>138</v>
      </c>
      <c r="L881" s="86">
        <f t="shared" si="937"/>
        <v>139</v>
      </c>
      <c r="M881" s="86">
        <f t="shared" si="937"/>
        <v>140</v>
      </c>
    </row>
    <row r="882" ht="15.75" customHeight="1">
      <c r="A882" s="69">
        <f>B882+4</f>
        <v>334</v>
      </c>
      <c r="B882" s="69">
        <f t="shared" si="935"/>
        <v>330</v>
      </c>
      <c r="C882" s="76"/>
      <c r="D882" s="91" t="str">
        <f>if(isblank(I882),"",vlookup(I882,Pacing!$A$1:$Z$213,4))</f>
        <v/>
      </c>
      <c r="E882" s="89" t="str">
        <f>if(isblank(J882),"",vlookup(J882,Pacing!$A$1:$Z$213,4))</f>
        <v/>
      </c>
      <c r="F882" s="89" t="str">
        <f>if(isblank(K882),"",vlookup(K882,Pacing!$A$1:$Z$213,4))</f>
        <v/>
      </c>
      <c r="G882" s="89" t="str">
        <f>if(isblank(L882),"",vlookup(L882,Pacing!$A$1:$Z$213,4))</f>
        <v/>
      </c>
      <c r="H882" s="89" t="str">
        <f>if(isblank(M882),"",vlookup(M882,Pacing!$A$1:$Z$213,4))</f>
        <v/>
      </c>
      <c r="I882" s="86">
        <f t="shared" ref="I882:M882" si="938">I881</f>
        <v>136</v>
      </c>
      <c r="J882" s="86">
        <f t="shared" si="938"/>
        <v>137</v>
      </c>
      <c r="K882" s="86">
        <f t="shared" si="938"/>
        <v>138</v>
      </c>
      <c r="L882" s="86">
        <f t="shared" si="938"/>
        <v>139</v>
      </c>
      <c r="M882" s="86">
        <f t="shared" si="938"/>
        <v>140</v>
      </c>
    </row>
    <row r="883" ht="15.75" customHeight="1">
      <c r="A883" s="69">
        <f>B883+5</f>
        <v>335</v>
      </c>
      <c r="B883" s="69">
        <f t="shared" si="935"/>
        <v>330</v>
      </c>
      <c r="C883" s="76"/>
      <c r="D883" s="91" t="str">
        <f>if(isblank(I883),"",vlookup(I883,Pacing!$A$1:$Z$213,5))</f>
        <v/>
      </c>
      <c r="E883" s="89" t="str">
        <f>if(isblank(J883),"",vlookup(J883,Pacing!$A$1:$Z$213,5))</f>
        <v/>
      </c>
      <c r="F883" s="89" t="str">
        <f>if(isblank(K883),"",vlookup(K883,Pacing!$A$1:$Z$213,5))</f>
        <v/>
      </c>
      <c r="G883" s="89" t="str">
        <f>if(isblank(L883),"",vlookup(L883,Pacing!$A$1:$Z$213,5))</f>
        <v/>
      </c>
      <c r="H883" s="89" t="str">
        <f>if(isblank(M883),"",vlookup(M883,Pacing!$A$1:$Z$213,5))</f>
        <v/>
      </c>
      <c r="I883" s="86">
        <f t="shared" ref="I883:M883" si="939">I882</f>
        <v>136</v>
      </c>
      <c r="J883" s="86">
        <f t="shared" si="939"/>
        <v>137</v>
      </c>
      <c r="K883" s="86">
        <f t="shared" si="939"/>
        <v>138</v>
      </c>
      <c r="L883" s="86">
        <f t="shared" si="939"/>
        <v>139</v>
      </c>
      <c r="M883" s="86">
        <f t="shared" si="939"/>
        <v>140</v>
      </c>
    </row>
    <row r="884" ht="15.75" customHeight="1">
      <c r="A884" s="69">
        <f>B884+6</f>
        <v>336</v>
      </c>
      <c r="B884" s="69">
        <f t="shared" si="935"/>
        <v>330</v>
      </c>
      <c r="C884" s="76"/>
      <c r="D884" s="91" t="str">
        <f>if(isblank(I884),"",vlookup(I884,Pacing!$A$1:$Z$213,6))</f>
        <v/>
      </c>
      <c r="E884" s="89" t="str">
        <f>if(isblank(J884),"",vlookup(J884,Pacing!$A$1:$Z$213,6))</f>
        <v/>
      </c>
      <c r="F884" s="89" t="str">
        <f>if(isblank(K884),"",vlookup(K884,Pacing!$A$1:$Z$213,6))</f>
        <v/>
      </c>
      <c r="G884" s="89" t="str">
        <f>if(isblank(L884),"",vlookup(L884,Pacing!$A$1:$Z$213,6))</f>
        <v/>
      </c>
      <c r="H884" s="89" t="str">
        <f>if(isblank(M884),"",vlookup(M884,Pacing!$A$1:$Z$213,6))</f>
        <v/>
      </c>
      <c r="I884" s="86">
        <f t="shared" ref="I884:M884" si="940">I883</f>
        <v>136</v>
      </c>
      <c r="J884" s="86">
        <f t="shared" si="940"/>
        <v>137</v>
      </c>
      <c r="K884" s="86">
        <f t="shared" si="940"/>
        <v>138</v>
      </c>
      <c r="L884" s="86">
        <f t="shared" si="940"/>
        <v>139</v>
      </c>
      <c r="M884" s="86">
        <f t="shared" si="940"/>
        <v>140</v>
      </c>
    </row>
    <row r="885" ht="15.75" customHeight="1">
      <c r="A885" s="69">
        <f>B885+7</f>
        <v>337</v>
      </c>
      <c r="B885" s="69">
        <f t="shared" si="935"/>
        <v>330</v>
      </c>
      <c r="C885" s="76"/>
      <c r="D885" s="91" t="str">
        <f>if(isblank(I885),"",vlookup(I885,Pacing!$A$1:$Z$213,7))</f>
        <v/>
      </c>
      <c r="E885" s="89" t="str">
        <f>if(isblank(J885),"",vlookup(J885,Pacing!$A$1:$Z$213,7))</f>
        <v/>
      </c>
      <c r="F885" s="89" t="str">
        <f>if(isblank(K885),"",vlookup(K885,Pacing!$A$1:$Z$213,7))</f>
        <v/>
      </c>
      <c r="G885" s="89" t="str">
        <f>if(isblank(L885),"",vlookup(L885,Pacing!$A$1:$Z$213,7))</f>
        <v/>
      </c>
      <c r="H885" s="89" t="str">
        <f>if(isblank(M885),"",vlookup(M885,Pacing!$A$1:$Z$213,7))</f>
        <v/>
      </c>
      <c r="I885" s="86">
        <f t="shared" ref="I885:M885" si="941">I884</f>
        <v>136</v>
      </c>
      <c r="J885" s="86">
        <f t="shared" si="941"/>
        <v>137</v>
      </c>
      <c r="K885" s="86">
        <f t="shared" si="941"/>
        <v>138</v>
      </c>
      <c r="L885" s="86">
        <f t="shared" si="941"/>
        <v>139</v>
      </c>
      <c r="M885" s="86">
        <f t="shared" si="941"/>
        <v>140</v>
      </c>
    </row>
    <row r="886" ht="15.75" customHeight="1">
      <c r="A886" s="69">
        <f>B886+8</f>
        <v>338</v>
      </c>
      <c r="B886" s="69">
        <f t="shared" si="935"/>
        <v>330</v>
      </c>
      <c r="C886" s="95"/>
      <c r="D886" s="91" t="str">
        <f>if(isblank(I886),"",vlookup(I886,Pacing!$A$1:$Z$213,8))</f>
        <v/>
      </c>
      <c r="E886" s="89" t="str">
        <f>if(isblank(J886),"",vlookup(J886,Pacing!$A$1:$Z$213,8))</f>
        <v/>
      </c>
      <c r="F886" s="89" t="str">
        <f>if(isblank(K886),"",vlookup(K886,Pacing!$A$1:$Z$213,8))</f>
        <v/>
      </c>
      <c r="G886" s="89" t="str">
        <f>if(isblank(L886),"",vlookup(L886,Pacing!$A$1:$Z$213,8))</f>
        <v/>
      </c>
      <c r="H886" s="89" t="str">
        <f>if(isblank(M886),"",vlookup(M886,Pacing!$A$1:$Z$213,8))</f>
        <v/>
      </c>
      <c r="I886" s="86">
        <f t="shared" ref="I886:M886" si="942">I885</f>
        <v>136</v>
      </c>
      <c r="J886" s="86">
        <f t="shared" si="942"/>
        <v>137</v>
      </c>
      <c r="K886" s="86">
        <f t="shared" si="942"/>
        <v>138</v>
      </c>
      <c r="L886" s="86">
        <f t="shared" si="942"/>
        <v>139</v>
      </c>
      <c r="M886" s="86">
        <f t="shared" si="942"/>
        <v>140</v>
      </c>
    </row>
    <row r="887" ht="15.75" customHeight="1">
      <c r="A887" s="69"/>
      <c r="B887" s="69"/>
      <c r="C887" s="71"/>
      <c r="D887" s="91" t="str">
        <f>if(isblank(I887),"",vlookup(I887,Pacing!$A$1:$Z$213,9))</f>
        <v/>
      </c>
      <c r="E887" s="89" t="str">
        <f>if(isblank(J887),"",vlookup(J887,Pacing!$A$1:$Z$213,9))</f>
        <v/>
      </c>
      <c r="F887" s="89" t="str">
        <f>if(isblank(K887),"",vlookup(K887,Pacing!$A$1:$Z$213,9))</f>
        <v/>
      </c>
      <c r="G887" s="89" t="str">
        <f>if(isblank(L887),"",vlookup(L887,Pacing!$A$1:$Z$213,9))</f>
        <v/>
      </c>
      <c r="H887" s="89" t="str">
        <f>if(isblank(M887),"",vlookup(M887,Pacing!$A$1:$Z$213,9))</f>
        <v/>
      </c>
      <c r="I887" s="86">
        <f t="shared" ref="I887:M887" si="943">I886</f>
        <v>136</v>
      </c>
      <c r="J887" s="86">
        <f t="shared" si="943"/>
        <v>137</v>
      </c>
      <c r="K887" s="86">
        <f t="shared" si="943"/>
        <v>138</v>
      </c>
      <c r="L887" s="86">
        <f t="shared" si="943"/>
        <v>139</v>
      </c>
      <c r="M887" s="86">
        <f t="shared" si="943"/>
        <v>140</v>
      </c>
    </row>
    <row r="888" ht="15.75" customHeight="1">
      <c r="A888" s="69"/>
      <c r="B888" s="69"/>
      <c r="C888" s="71"/>
      <c r="D888" s="91" t="str">
        <f>if(isblank(I888),"",vlookup(I888,Pacing!$A$1:$Z$213,10))</f>
        <v/>
      </c>
      <c r="E888" s="89" t="str">
        <f>if(isblank(J888),"",vlookup(J888,Pacing!$A$1:$Z$213,10))</f>
        <v/>
      </c>
      <c r="F888" s="89" t="str">
        <f>if(isblank(K888),"",vlookup(K888,Pacing!$A$1:$Z$213,10))</f>
        <v/>
      </c>
      <c r="G888" s="89" t="str">
        <f>if(isblank(L888),"",vlookup(L888,Pacing!$A$1:$Z$213,10))</f>
        <v/>
      </c>
      <c r="H888" s="89" t="str">
        <f>if(isblank(M888),"",vlookup(M888,Pacing!$A$1:$Z$213,10))</f>
        <v/>
      </c>
      <c r="I888" s="86">
        <f t="shared" ref="I888:M888" si="944">I887</f>
        <v>136</v>
      </c>
      <c r="J888" s="86">
        <f t="shared" si="944"/>
        <v>137</v>
      </c>
      <c r="K888" s="86">
        <f t="shared" si="944"/>
        <v>138</v>
      </c>
      <c r="L888" s="86">
        <f t="shared" si="944"/>
        <v>139</v>
      </c>
      <c r="M888" s="86">
        <f t="shared" si="944"/>
        <v>140</v>
      </c>
    </row>
    <row r="889" ht="15.75" customHeight="1">
      <c r="A889" s="69"/>
      <c r="B889" s="69"/>
      <c r="C889" s="71"/>
      <c r="D889" s="91" t="str">
        <f>if(isblank(I889),"",vlookup(I889,Pacing!$A$1:$Z$213,11))</f>
        <v/>
      </c>
      <c r="E889" s="89" t="str">
        <f>if(isblank(J889),"",vlookup(J889,Pacing!$A$1:$Z$213,11))</f>
        <v/>
      </c>
      <c r="F889" s="89" t="str">
        <f>if(isblank(K889),"",vlookup(K889,Pacing!$A$1:$Z$213,11))</f>
        <v/>
      </c>
      <c r="G889" s="89" t="str">
        <f>if(isblank(L889),"",vlookup(L889,Pacing!$A$1:$Z$213,11))</f>
        <v/>
      </c>
      <c r="H889" s="89" t="str">
        <f>if(isblank(M889),"",vlookup(M889,Pacing!$A$1:$Z$213,11))</f>
        <v/>
      </c>
      <c r="I889" s="86">
        <f t="shared" ref="I889:M889" si="945">I888</f>
        <v>136</v>
      </c>
      <c r="J889" s="86">
        <f t="shared" si="945"/>
        <v>137</v>
      </c>
      <c r="K889" s="86">
        <f t="shared" si="945"/>
        <v>138</v>
      </c>
      <c r="L889" s="86">
        <f t="shared" si="945"/>
        <v>139</v>
      </c>
      <c r="M889" s="86">
        <f t="shared" si="945"/>
        <v>140</v>
      </c>
    </row>
    <row r="890" ht="15.75" customHeight="1">
      <c r="A890" s="69"/>
      <c r="B890" s="69"/>
      <c r="C890" s="71"/>
      <c r="D890" s="91" t="str">
        <f>if(isblank(I890),"",vlookup(I890,Pacing!$A$1:$Z$213,12))</f>
        <v/>
      </c>
      <c r="E890" s="91" t="str">
        <f>if(isblank(J890),"",vlookup(J890,Pacing!$A$1:$Z$213,12))</f>
        <v/>
      </c>
      <c r="F890" s="91" t="str">
        <f>if(isblank(K890),"",vlookup(K890,Pacing!$A$1:$Z$213,12))</f>
        <v/>
      </c>
      <c r="G890" s="91" t="str">
        <f>if(isblank(L890),"",vlookup(L890,Pacing!$A$1:$Z$213,12))</f>
        <v/>
      </c>
      <c r="H890" s="91" t="str">
        <f>if(isblank(M890),"",vlookup(M890,Pacing!$A$1:$Z$213,12))</f>
        <v/>
      </c>
      <c r="I890" s="86">
        <f t="shared" ref="I890:M890" si="946">I889</f>
        <v>136</v>
      </c>
      <c r="J890" s="86">
        <f t="shared" si="946"/>
        <v>137</v>
      </c>
      <c r="K890" s="86">
        <f t="shared" si="946"/>
        <v>138</v>
      </c>
      <c r="L890" s="86">
        <f t="shared" si="946"/>
        <v>139</v>
      </c>
      <c r="M890" s="86">
        <f t="shared" si="946"/>
        <v>140</v>
      </c>
    </row>
    <row r="891" ht="15.75" customHeight="1">
      <c r="A891" s="69"/>
      <c r="B891" s="69"/>
      <c r="C891" s="71"/>
      <c r="D891" s="91" t="str">
        <f>if(isblank(I891),"",vlookup(I891,Pacing!$A$1:$Z$213,13))</f>
        <v/>
      </c>
      <c r="E891" s="91" t="str">
        <f>if(isblank(J891),"",vlookup(J891,Pacing!$A$1:$Z$213,13))</f>
        <v/>
      </c>
      <c r="F891" s="91" t="str">
        <f>if(isblank(K891),"",vlookup(K891,Pacing!$A$1:$Z$213,13))</f>
        <v/>
      </c>
      <c r="G891" s="91" t="str">
        <f>if(isblank(L891),"",vlookup(L891,Pacing!$A$1:$Z$213,13))</f>
        <v/>
      </c>
      <c r="H891" s="91" t="str">
        <f>if(isblank(M891),"",vlookup(M891,Pacing!$A$1:$Z$213,13))</f>
        <v/>
      </c>
      <c r="I891" s="86">
        <f t="shared" ref="I891:M891" si="947">I890</f>
        <v>136</v>
      </c>
      <c r="J891" s="86">
        <f t="shared" si="947"/>
        <v>137</v>
      </c>
      <c r="K891" s="86">
        <f t="shared" si="947"/>
        <v>138</v>
      </c>
      <c r="L891" s="86">
        <f t="shared" si="947"/>
        <v>139</v>
      </c>
      <c r="M891" s="86">
        <f t="shared" si="947"/>
        <v>140</v>
      </c>
    </row>
    <row r="892" ht="15.75" customHeight="1">
      <c r="A892" s="69"/>
      <c r="B892" s="69"/>
      <c r="C892" s="71"/>
      <c r="D892" s="91" t="str">
        <f>if(isblank(I892),"",vlookup(I892,Pacing!$A$1:$Z$213,14))</f>
        <v/>
      </c>
      <c r="E892" s="89" t="str">
        <f>if(isblank(J892),"",vlookup(J892,Pacing!$A$1:$Z$213,14))</f>
        <v/>
      </c>
      <c r="F892" s="89" t="str">
        <f>if(isblank(K892),"",vlookup(K892,Pacing!$A$1:$Z$213,14))</f>
        <v/>
      </c>
      <c r="G892" s="89" t="str">
        <f>if(isblank(L892),"",vlookup(L892,Pacing!$A$1:$Z$213,14))</f>
        <v/>
      </c>
      <c r="H892" s="89" t="str">
        <f>if(isblank(M892),"",vlookup(M892,Pacing!$A$1:$Z$213,14))</f>
        <v/>
      </c>
      <c r="I892" s="86">
        <f t="shared" ref="I892:M892" si="948">I891</f>
        <v>136</v>
      </c>
      <c r="J892" s="86">
        <f t="shared" si="948"/>
        <v>137</v>
      </c>
      <c r="K892" s="86">
        <f t="shared" si="948"/>
        <v>138</v>
      </c>
      <c r="L892" s="86">
        <f t="shared" si="948"/>
        <v>139</v>
      </c>
      <c r="M892" s="86">
        <f t="shared" si="948"/>
        <v>140</v>
      </c>
    </row>
    <row r="893" ht="15.75" customHeight="1">
      <c r="A893" s="69"/>
      <c r="B893" s="69"/>
      <c r="C893" s="71"/>
      <c r="D893" s="91" t="str">
        <f>if(isblank(I893),"",vlookup(I893,Pacing!$A$1:$Z$213,15))</f>
        <v/>
      </c>
      <c r="E893" s="89" t="str">
        <f>if(isblank(J893),"",vlookup(J893,Pacing!$A$1:$Z$213,15))</f>
        <v/>
      </c>
      <c r="F893" s="89" t="str">
        <f>if(isblank(K893),"",vlookup(K893,Pacing!$A$1:$Z$213,15))</f>
        <v/>
      </c>
      <c r="G893" s="89" t="str">
        <f>if(isblank(L893),"",vlookup(L893,Pacing!$A$1:$Z$213,15))</f>
        <v/>
      </c>
      <c r="H893" s="89" t="str">
        <f>if(isblank(M893),"",vlookup(M893,Pacing!$A$1:$Z$213,15))</f>
        <v/>
      </c>
      <c r="I893" s="86">
        <f t="shared" ref="I893:M893" si="949">I892</f>
        <v>136</v>
      </c>
      <c r="J893" s="86">
        <f t="shared" si="949"/>
        <v>137</v>
      </c>
      <c r="K893" s="86">
        <f t="shared" si="949"/>
        <v>138</v>
      </c>
      <c r="L893" s="86">
        <f t="shared" si="949"/>
        <v>139</v>
      </c>
      <c r="M893" s="86">
        <f t="shared" si="949"/>
        <v>140</v>
      </c>
    </row>
    <row r="894" ht="15.75" customHeight="1">
      <c r="A894" s="69"/>
      <c r="B894" s="69"/>
      <c r="C894" s="71"/>
      <c r="D894" s="91" t="str">
        <f>if(isblank(I894),"",vlookup(I894,Pacing!$A$1:$Z$213,16))</f>
        <v/>
      </c>
      <c r="E894" s="89" t="str">
        <f>if(isblank(J894),"",vlookup(J894,Pacing!$A$1:$Z$213,16))</f>
        <v/>
      </c>
      <c r="F894" s="89" t="str">
        <f>if(isblank(K894),"",vlookup(K894,Pacing!$A$1:$Z$213,16))</f>
        <v/>
      </c>
      <c r="G894" s="89" t="str">
        <f>if(isblank(L894),"",vlookup(L894,Pacing!$A$1:$Z$213,16))</f>
        <v/>
      </c>
      <c r="H894" s="89" t="str">
        <f>if(isblank(M894),"",vlookup(M894,Pacing!$A$1:$Z$213,16))</f>
        <v/>
      </c>
      <c r="I894" s="86">
        <f t="shared" ref="I894:M894" si="950">I893</f>
        <v>136</v>
      </c>
      <c r="J894" s="86">
        <f t="shared" si="950"/>
        <v>137</v>
      </c>
      <c r="K894" s="86">
        <f t="shared" si="950"/>
        <v>138</v>
      </c>
      <c r="L894" s="86">
        <f t="shared" si="950"/>
        <v>139</v>
      </c>
      <c r="M894" s="86">
        <f t="shared" si="950"/>
        <v>140</v>
      </c>
    </row>
    <row r="895" ht="15.75" customHeight="1">
      <c r="A895" s="69"/>
      <c r="B895" s="69"/>
      <c r="C895" s="71"/>
      <c r="D895" s="91" t="str">
        <f>if(isblank(I895),"",vlookup(I895,Pacing!$A$1:$Z$213,17))</f>
        <v/>
      </c>
      <c r="E895" s="89" t="str">
        <f>if(isblank(J895),"",vlookup(J895,Pacing!$A$1:$Z$213,17))</f>
        <v/>
      </c>
      <c r="F895" s="89" t="str">
        <f>if(isblank(K895),"",vlookup(K895,Pacing!$A$1:$Z$213,17))</f>
        <v/>
      </c>
      <c r="G895" s="89" t="str">
        <f>if(isblank(L895),"",vlookup(L895,Pacing!$A$1:$Z$213,17))</f>
        <v/>
      </c>
      <c r="H895" s="89" t="str">
        <f>if(isblank(M895),"",vlookup(M895,Pacing!$A$1:$Z$213,17))</f>
        <v/>
      </c>
      <c r="I895" s="86">
        <f t="shared" ref="I895:M895" si="951">I894</f>
        <v>136</v>
      </c>
      <c r="J895" s="86">
        <f t="shared" si="951"/>
        <v>137</v>
      </c>
      <c r="K895" s="86">
        <f t="shared" si="951"/>
        <v>138</v>
      </c>
      <c r="L895" s="86">
        <f t="shared" si="951"/>
        <v>139</v>
      </c>
      <c r="M895" s="86">
        <f t="shared" si="951"/>
        <v>140</v>
      </c>
    </row>
    <row r="896" ht="15.75" customHeight="1">
      <c r="A896" s="69"/>
      <c r="B896" s="69"/>
      <c r="C896" s="71"/>
      <c r="D896" s="91" t="str">
        <f>if(isblank(I896),"",vlookup(I896,Pacing!$A$1:$Z$213,18))</f>
        <v/>
      </c>
      <c r="E896" s="91" t="str">
        <f>if(isblank(J896),"",vlookup(J896,Pacing!$A$1:$Z$213,18))</f>
        <v/>
      </c>
      <c r="F896" s="91" t="str">
        <f>if(isblank(K896),"",vlookup(K896,Pacing!$A$1:$Z$213,18))</f>
        <v/>
      </c>
      <c r="G896" s="91" t="str">
        <f>if(isblank(L896),"",vlookup(L896,Pacing!$A$1:$Z$213,18))</f>
        <v/>
      </c>
      <c r="H896" s="91" t="str">
        <f>if(isblank(M896),"",vlookup(M896,Pacing!$A$1:$Z$213,18))</f>
        <v/>
      </c>
      <c r="I896" s="86">
        <f t="shared" ref="I896:M896" si="952">I895</f>
        <v>136</v>
      </c>
      <c r="J896" s="86">
        <f t="shared" si="952"/>
        <v>137</v>
      </c>
      <c r="K896" s="86">
        <f t="shared" si="952"/>
        <v>138</v>
      </c>
      <c r="L896" s="86">
        <f t="shared" si="952"/>
        <v>139</v>
      </c>
      <c r="M896" s="86">
        <f t="shared" si="952"/>
        <v>140</v>
      </c>
    </row>
    <row r="897" ht="15.75" customHeight="1">
      <c r="A897" s="69"/>
      <c r="B897" s="69"/>
      <c r="C897" s="71"/>
      <c r="D897" s="91" t="str">
        <f>if(isblank(I897),"",vlookup(I897,Pacing!$A$1:$Z$213,19))</f>
        <v/>
      </c>
      <c r="E897" s="89" t="str">
        <f>if(isblank(J897),"",vlookup(J897,Pacing!$A$1:$Z$213,19))</f>
        <v/>
      </c>
      <c r="F897" s="89" t="str">
        <f>if(isblank(K897),"",vlookup(K897,Pacing!$A$1:$Z$213,19))</f>
        <v/>
      </c>
      <c r="G897" s="89" t="str">
        <f>if(isblank(L897),"",vlookup(L897,Pacing!$A$1:$Z$213,19))</f>
        <v/>
      </c>
      <c r="H897" s="89" t="str">
        <f>if(isblank(M897),"",vlookup(M897,Pacing!$A$1:$Z$213,19))</f>
        <v/>
      </c>
      <c r="I897" s="86">
        <f t="shared" ref="I897:M897" si="953">I896</f>
        <v>136</v>
      </c>
      <c r="J897" s="86">
        <f t="shared" si="953"/>
        <v>137</v>
      </c>
      <c r="K897" s="86">
        <f t="shared" si="953"/>
        <v>138</v>
      </c>
      <c r="L897" s="86">
        <f t="shared" si="953"/>
        <v>139</v>
      </c>
      <c r="M897" s="86">
        <f t="shared" si="953"/>
        <v>140</v>
      </c>
    </row>
    <row r="898" ht="15.75" customHeight="1">
      <c r="A898" s="69"/>
      <c r="B898" s="69"/>
      <c r="C898" s="71"/>
      <c r="D898" s="91" t="str">
        <f>if(isblank(I898),"",vlookup(I898,Pacing!$A$1:$Z$213,20))</f>
        <v/>
      </c>
      <c r="E898" s="89" t="str">
        <f>if(isblank(J898),"",vlookup(J898,Pacing!$A$1:$Z$213,20))</f>
        <v/>
      </c>
      <c r="F898" s="89" t="str">
        <f>if(isblank(K898),"",vlookup(K898,Pacing!$A$1:$Z$213,20))</f>
        <v/>
      </c>
      <c r="G898" s="89" t="str">
        <f>if(isblank(L898),"",vlookup(L898,Pacing!$A$1:$Z$213,20))</f>
        <v/>
      </c>
      <c r="H898" s="89" t="str">
        <f>if(isblank(M898),"",vlookup(M898,Pacing!$A$1:$Z$213,20))</f>
        <v/>
      </c>
      <c r="I898" s="86">
        <f t="shared" ref="I898:M898" si="954">I897</f>
        <v>136</v>
      </c>
      <c r="J898" s="86">
        <f t="shared" si="954"/>
        <v>137</v>
      </c>
      <c r="K898" s="86">
        <f t="shared" si="954"/>
        <v>138</v>
      </c>
      <c r="L898" s="86">
        <f t="shared" si="954"/>
        <v>139</v>
      </c>
      <c r="M898" s="86">
        <f t="shared" si="954"/>
        <v>140</v>
      </c>
    </row>
    <row r="899" ht="15.75" customHeight="1">
      <c r="A899" s="69"/>
      <c r="B899" s="69"/>
      <c r="C899" s="71"/>
      <c r="D899" s="91" t="str">
        <f>if(isblank(I899),"",vlookup(I899,Pacing!$A$1:$Z$213,21))</f>
        <v/>
      </c>
      <c r="E899" s="89" t="str">
        <f>if(isblank(J899),"",vlookup(J899,Pacing!$A$1:$Z$213,21))</f>
        <v/>
      </c>
      <c r="F899" s="89" t="str">
        <f>if(isblank(K899),"",vlookup(K899,Pacing!$A$1:$Z$213,21))</f>
        <v/>
      </c>
      <c r="G899" s="89" t="str">
        <f>if(isblank(L899),"",vlookup(L899,Pacing!$A$1:$Z$213,21))</f>
        <v/>
      </c>
      <c r="H899" s="89" t="str">
        <f>if(isblank(M899),"",vlookup(M899,Pacing!$A$1:$Z$213,21))</f>
        <v/>
      </c>
      <c r="I899" s="86">
        <f t="shared" ref="I899:M899" si="955">I898</f>
        <v>136</v>
      </c>
      <c r="J899" s="86">
        <f t="shared" si="955"/>
        <v>137</v>
      </c>
      <c r="K899" s="86">
        <f t="shared" si="955"/>
        <v>138</v>
      </c>
      <c r="L899" s="86">
        <f t="shared" si="955"/>
        <v>139</v>
      </c>
      <c r="M899" s="86">
        <f t="shared" si="955"/>
        <v>140</v>
      </c>
    </row>
    <row r="900" ht="15.75" customHeight="1">
      <c r="A900" s="69"/>
      <c r="B900" s="69"/>
      <c r="C900" s="71"/>
      <c r="D900" s="91" t="str">
        <f>if(isblank(I900),"",vlookup(I900,Pacing!$A$1:$Z$213,22))</f>
        <v/>
      </c>
      <c r="E900" s="91" t="str">
        <f>if(isblank(J900),"",vlookup(J900,Pacing!$A$1:$Z$213,22))</f>
        <v/>
      </c>
      <c r="F900" s="91" t="str">
        <f>if(isblank(K900),"",vlookup(K900,Pacing!$A$1:$Z$213,22))</f>
        <v/>
      </c>
      <c r="G900" s="91" t="str">
        <f>if(isblank(L900),"",vlookup(L900,Pacing!$A$1:$Z$213,22))</f>
        <v/>
      </c>
      <c r="H900" s="91" t="str">
        <f>if(isblank(M900),"",vlookup(M900,Pacing!$A$1:$Z$213,22))</f>
        <v/>
      </c>
      <c r="I900" s="86">
        <f t="shared" ref="I900:M900" si="956">I899</f>
        <v>136</v>
      </c>
      <c r="J900" s="86">
        <f t="shared" si="956"/>
        <v>137</v>
      </c>
      <c r="K900" s="86">
        <f t="shared" si="956"/>
        <v>138</v>
      </c>
      <c r="L900" s="86">
        <f t="shared" si="956"/>
        <v>139</v>
      </c>
      <c r="M900" s="86">
        <f t="shared" si="956"/>
        <v>140</v>
      </c>
    </row>
    <row r="901" ht="15.75" customHeight="1">
      <c r="A901" s="69"/>
      <c r="B901" s="69"/>
      <c r="C901" s="71"/>
      <c r="D901" s="91" t="str">
        <f>if(isblank(I901),"",vlookup(I901,Pacing!$A$1:$Z$213,23))</f>
        <v/>
      </c>
      <c r="E901" s="89" t="str">
        <f>if(isblank(J901),"",vlookup(J901,Pacing!$A$1:$Z$213,23))</f>
        <v/>
      </c>
      <c r="F901" s="89" t="str">
        <f>if(isblank(K901),"",vlookup(K901,Pacing!$A$1:$Z$213,23))</f>
        <v/>
      </c>
      <c r="G901" s="89" t="str">
        <f>if(isblank(L901),"",vlookup(L901,Pacing!$A$1:$Z$213,23))</f>
        <v/>
      </c>
      <c r="H901" s="89" t="str">
        <f>if(isblank(M901),"",vlookup(M901,Pacing!$A$1:$Z$213,23))</f>
        <v/>
      </c>
      <c r="I901" s="86">
        <f t="shared" ref="I901:M901" si="957">I900</f>
        <v>136</v>
      </c>
      <c r="J901" s="86">
        <f t="shared" si="957"/>
        <v>137</v>
      </c>
      <c r="K901" s="86">
        <f t="shared" si="957"/>
        <v>138</v>
      </c>
      <c r="L901" s="86">
        <f t="shared" si="957"/>
        <v>139</v>
      </c>
      <c r="M901" s="86">
        <f t="shared" si="957"/>
        <v>140</v>
      </c>
    </row>
    <row r="902" ht="15.75" customHeight="1">
      <c r="A902" s="69"/>
      <c r="B902" s="69"/>
      <c r="C902" s="71"/>
      <c r="D902" s="91" t="str">
        <f>if(isblank(I902),"",vlookup(I902,Pacing!$A$1:$Z$213,24))</f>
        <v/>
      </c>
      <c r="E902" s="89" t="str">
        <f>if(isblank(J902),"",vlookup(J902,Pacing!$A$1:$Z$213,24))</f>
        <v/>
      </c>
      <c r="F902" s="89" t="str">
        <f>if(isblank(K902),"",vlookup(K902,Pacing!$A$1:$Z$213,24))</f>
        <v/>
      </c>
      <c r="G902" s="89" t="str">
        <f>if(isblank(L902),"",vlookup(L902,Pacing!$A$1:$Z$213,24))</f>
        <v/>
      </c>
      <c r="H902" s="89" t="str">
        <f>if(isblank(M902),"",vlookup(M902,Pacing!$A$1:$Z$213,24))</f>
        <v/>
      </c>
      <c r="I902" s="86">
        <f t="shared" ref="I902:M902" si="958">I901</f>
        <v>136</v>
      </c>
      <c r="J902" s="86">
        <f t="shared" si="958"/>
        <v>137</v>
      </c>
      <c r="K902" s="86">
        <f t="shared" si="958"/>
        <v>138</v>
      </c>
      <c r="L902" s="86">
        <f t="shared" si="958"/>
        <v>139</v>
      </c>
      <c r="M902" s="86">
        <f t="shared" si="958"/>
        <v>140</v>
      </c>
    </row>
    <row r="903" ht="15.75" customHeight="1">
      <c r="A903" s="69"/>
      <c r="B903" s="69"/>
      <c r="C903" s="71"/>
      <c r="D903" s="91" t="str">
        <f>if(isblank(I903),"",vlookup(I903,Pacing!$A$1:$Z$213,25))</f>
        <v/>
      </c>
      <c r="E903" s="89" t="str">
        <f>if(isblank(J903),"",vlookup(J903,Pacing!$A$1:$Z$213,25))</f>
        <v/>
      </c>
      <c r="F903" s="89" t="str">
        <f>if(isblank(K903),"",vlookup(K903,Pacing!$A$1:$Z$213,25))</f>
        <v/>
      </c>
      <c r="G903" s="89" t="str">
        <f>if(isblank(L903),"",vlookup(L903,Pacing!$A$1:$Z$213,25))</f>
        <v/>
      </c>
      <c r="H903" s="89" t="str">
        <f>if(isblank(M903),"",vlookup(M903,Pacing!$A$1:$Z$213,25))</f>
        <v/>
      </c>
      <c r="I903" s="86">
        <f t="shared" ref="I903:M903" si="959">I902</f>
        <v>136</v>
      </c>
      <c r="J903" s="86">
        <f t="shared" si="959"/>
        <v>137</v>
      </c>
      <c r="K903" s="86">
        <f t="shared" si="959"/>
        <v>138</v>
      </c>
      <c r="L903" s="86">
        <f t="shared" si="959"/>
        <v>139</v>
      </c>
      <c r="M903" s="86">
        <f t="shared" si="959"/>
        <v>140</v>
      </c>
    </row>
    <row r="904" ht="15.75" customHeight="1">
      <c r="A904" s="69"/>
      <c r="B904" s="69"/>
      <c r="C904" s="71"/>
      <c r="D904" s="91" t="str">
        <f>if(isblank(I904),"",vlookup(I904,Pacing!$A$1:$Z$213,26))</f>
        <v/>
      </c>
      <c r="E904" s="89" t="str">
        <f>if(isblank(J904),"",vlookup(J904,Pacing!$A$1:$Z$213,26))</f>
        <v/>
      </c>
      <c r="F904" s="89" t="str">
        <f>if(isblank(K904),"",vlookup(K904,Pacing!$A$1:$Z$213,26))</f>
        <v/>
      </c>
      <c r="G904" s="89" t="str">
        <f>if(isblank(L904),"",vlookup(L904,Pacing!$A$1:$Z$213,26))</f>
        <v/>
      </c>
      <c r="H904" s="89" t="str">
        <f>if(isblank(M904),"",vlookup(M904,Pacing!$A$1:$Z$213,26))</f>
        <v/>
      </c>
      <c r="I904" s="86">
        <f t="shared" ref="I904:M904" si="960">I903</f>
        <v>136</v>
      </c>
      <c r="J904" s="86">
        <f t="shared" si="960"/>
        <v>137</v>
      </c>
      <c r="K904" s="86">
        <f t="shared" si="960"/>
        <v>138</v>
      </c>
      <c r="L904" s="86">
        <f t="shared" si="960"/>
        <v>139</v>
      </c>
      <c r="M904" s="86">
        <f t="shared" si="960"/>
        <v>140</v>
      </c>
    </row>
    <row r="905" ht="15.75" customHeight="1">
      <c r="A905" s="137"/>
      <c r="B905" s="137"/>
      <c r="C905" s="138"/>
      <c r="D905" s="139">
        <f>H878+1</f>
        <v>141</v>
      </c>
      <c r="E905" s="139">
        <f t="shared" ref="E905:H905" si="961">D905+1</f>
        <v>142</v>
      </c>
      <c r="F905" s="139">
        <f t="shared" si="961"/>
        <v>143</v>
      </c>
      <c r="G905" s="139">
        <f t="shared" si="961"/>
        <v>144</v>
      </c>
      <c r="H905" s="139">
        <f t="shared" si="961"/>
        <v>145</v>
      </c>
      <c r="I905" s="55">
        <f t="shared" ref="I905:M905" si="962">D905</f>
        <v>141</v>
      </c>
      <c r="J905" s="55">
        <f t="shared" si="962"/>
        <v>142</v>
      </c>
      <c r="K905" s="55">
        <f t="shared" si="962"/>
        <v>143</v>
      </c>
      <c r="L905" s="55">
        <f t="shared" si="962"/>
        <v>144</v>
      </c>
      <c r="M905" s="55">
        <f t="shared" si="962"/>
        <v>145</v>
      </c>
    </row>
    <row r="906" ht="15.75" customHeight="1">
      <c r="A906" s="69">
        <f>B906+1</f>
        <v>341</v>
      </c>
      <c r="B906" s="69">
        <f t="shared" ref="B906:B913" si="964">$C$906*10</f>
        <v>340</v>
      </c>
      <c r="C906" s="71">
        <f>C879+1</f>
        <v>34</v>
      </c>
      <c r="D906" s="72">
        <f>D879+7</f>
        <v>46496</v>
      </c>
      <c r="E906" s="72">
        <f t="shared" ref="E906:H906" si="963">D906+1</f>
        <v>46497</v>
      </c>
      <c r="F906" s="72">
        <f t="shared" si="963"/>
        <v>46498</v>
      </c>
      <c r="G906" s="72">
        <f t="shared" si="963"/>
        <v>46499</v>
      </c>
      <c r="H906" s="72">
        <f t="shared" si="963"/>
        <v>46500</v>
      </c>
      <c r="I906" s="62" t="s">
        <v>42</v>
      </c>
    </row>
    <row r="907" ht="15.75" customHeight="1">
      <c r="A907" s="75">
        <f>B907+2</f>
        <v>342</v>
      </c>
      <c r="B907" s="75">
        <f t="shared" si="964"/>
        <v>340</v>
      </c>
      <c r="C907" s="76"/>
      <c r="D907" s="131" t="str">
        <f>if(isblank(I907),"",vlookup(I907,Pacing!$A$1:$Z$213,2))</f>
        <v/>
      </c>
      <c r="E907" s="131" t="str">
        <f>if(isblank(J907),"",vlookup(J907,Pacing!$A$1:$Z$213,2))</f>
        <v/>
      </c>
      <c r="F907" s="131" t="str">
        <f>if(isblank(K907),"",vlookup(K907,Pacing!$A$1:$Z$213,2))</f>
        <v/>
      </c>
      <c r="G907" s="131" t="str">
        <f>if(isblank(L907),"",vlookup(L907,Pacing!$A$1:$Z$213,2))</f>
        <v/>
      </c>
      <c r="H907" s="131" t="str">
        <f>if(isblank(M907),"",vlookup(M907,Pacing!$A$1:$Z$213,2))</f>
        <v/>
      </c>
      <c r="I907" s="78">
        <f t="shared" ref="I907:M907" si="965">I905</f>
        <v>141</v>
      </c>
      <c r="J907" s="78">
        <f t="shared" si="965"/>
        <v>142</v>
      </c>
      <c r="K907" s="78">
        <f t="shared" si="965"/>
        <v>143</v>
      </c>
      <c r="L907" s="78">
        <f t="shared" si="965"/>
        <v>144</v>
      </c>
      <c r="M907" s="78">
        <f t="shared" si="965"/>
        <v>145</v>
      </c>
    </row>
    <row r="908" ht="15.75" customHeight="1">
      <c r="A908" s="69">
        <f>B908+3</f>
        <v>343</v>
      </c>
      <c r="B908" s="69">
        <f t="shared" si="964"/>
        <v>340</v>
      </c>
      <c r="C908" s="76"/>
      <c r="D908" s="91" t="str">
        <f>if(isblank(I908),"",vlookup(I908,Pacing!$A$1:$Z$213,3))</f>
        <v/>
      </c>
      <c r="E908" s="89" t="str">
        <f>if(isblank(J908),"",vlookup(J908,Pacing!$A$1:$Z$213,3))</f>
        <v/>
      </c>
      <c r="F908" s="89" t="str">
        <f>if(isblank(K908),"",vlookup(K908,Pacing!$A$1:$Z$213,3))</f>
        <v/>
      </c>
      <c r="G908" s="89" t="str">
        <f>if(isblank(L908),"",vlookup(L908,Pacing!$A$1:$Z$213,3))</f>
        <v/>
      </c>
      <c r="H908" s="89" t="str">
        <f>if(isblank(M908),"",vlookup(M908,Pacing!$A$1:$Z$213,3))</f>
        <v/>
      </c>
      <c r="I908" s="86">
        <f t="shared" ref="I908:M908" si="966">I907</f>
        <v>141</v>
      </c>
      <c r="J908" s="86">
        <f t="shared" si="966"/>
        <v>142</v>
      </c>
      <c r="K908" s="86">
        <f t="shared" si="966"/>
        <v>143</v>
      </c>
      <c r="L908" s="86">
        <f t="shared" si="966"/>
        <v>144</v>
      </c>
      <c r="M908" s="86">
        <f t="shared" si="966"/>
        <v>145</v>
      </c>
    </row>
    <row r="909" ht="15.75" customHeight="1">
      <c r="A909" s="69">
        <f>B909+4</f>
        <v>344</v>
      </c>
      <c r="B909" s="69">
        <f t="shared" si="964"/>
        <v>340</v>
      </c>
      <c r="C909" s="76"/>
      <c r="D909" s="91" t="str">
        <f>if(isblank(I909),"",vlookup(I909,Pacing!$A$1:$Z$213,4))</f>
        <v/>
      </c>
      <c r="E909" s="89" t="str">
        <f>if(isblank(J909),"",vlookup(J909,Pacing!$A$1:$Z$213,4))</f>
        <v/>
      </c>
      <c r="F909" s="89" t="str">
        <f>if(isblank(K909),"",vlookup(K909,Pacing!$A$1:$Z$213,4))</f>
        <v/>
      </c>
      <c r="G909" s="89" t="str">
        <f>if(isblank(L909),"",vlookup(L909,Pacing!$A$1:$Z$213,4))</f>
        <v/>
      </c>
      <c r="H909" s="89" t="str">
        <f>if(isblank(M909),"",vlookup(M909,Pacing!$A$1:$Z$213,4))</f>
        <v/>
      </c>
      <c r="I909" s="86">
        <f t="shared" ref="I909:M909" si="967">I908</f>
        <v>141</v>
      </c>
      <c r="J909" s="86">
        <f t="shared" si="967"/>
        <v>142</v>
      </c>
      <c r="K909" s="86">
        <f t="shared" si="967"/>
        <v>143</v>
      </c>
      <c r="L909" s="86">
        <f t="shared" si="967"/>
        <v>144</v>
      </c>
      <c r="M909" s="86">
        <f t="shared" si="967"/>
        <v>145</v>
      </c>
    </row>
    <row r="910" ht="15.75" customHeight="1">
      <c r="A910" s="69">
        <f>B910+5</f>
        <v>345</v>
      </c>
      <c r="B910" s="69">
        <f t="shared" si="964"/>
        <v>340</v>
      </c>
      <c r="C910" s="76"/>
      <c r="D910" s="91" t="str">
        <f>if(isblank(I910),"",vlookup(I910,Pacing!$A$1:$Z$213,5))</f>
        <v/>
      </c>
      <c r="E910" s="89" t="str">
        <f>if(isblank(J910),"",vlookup(J910,Pacing!$A$1:$Z$213,5))</f>
        <v/>
      </c>
      <c r="F910" s="89" t="str">
        <f>if(isblank(K910),"",vlookup(K910,Pacing!$A$1:$Z$213,5))</f>
        <v/>
      </c>
      <c r="G910" s="89" t="str">
        <f>if(isblank(L910),"",vlookup(L910,Pacing!$A$1:$Z$213,5))</f>
        <v/>
      </c>
      <c r="H910" s="89" t="str">
        <f>if(isblank(M910),"",vlookup(M910,Pacing!$A$1:$Z$213,5))</f>
        <v/>
      </c>
      <c r="I910" s="86">
        <f t="shared" ref="I910:M910" si="968">I909</f>
        <v>141</v>
      </c>
      <c r="J910" s="86">
        <f t="shared" si="968"/>
        <v>142</v>
      </c>
      <c r="K910" s="86">
        <f t="shared" si="968"/>
        <v>143</v>
      </c>
      <c r="L910" s="86">
        <f t="shared" si="968"/>
        <v>144</v>
      </c>
      <c r="M910" s="86">
        <f t="shared" si="968"/>
        <v>145</v>
      </c>
    </row>
    <row r="911" ht="15.75" customHeight="1">
      <c r="A911" s="69">
        <f>B911+6</f>
        <v>346</v>
      </c>
      <c r="B911" s="69">
        <f t="shared" si="964"/>
        <v>340</v>
      </c>
      <c r="C911" s="76"/>
      <c r="D911" s="91" t="str">
        <f>if(isblank(I911),"",vlookup(I911,Pacing!$A$1:$Z$213,6))</f>
        <v/>
      </c>
      <c r="E911" s="89" t="str">
        <f>if(isblank(J911),"",vlookup(J911,Pacing!$A$1:$Z$213,6))</f>
        <v/>
      </c>
      <c r="F911" s="89" t="str">
        <f>if(isblank(K911),"",vlookup(K911,Pacing!$A$1:$Z$213,6))</f>
        <v/>
      </c>
      <c r="G911" s="89" t="str">
        <f>if(isblank(L911),"",vlookup(L911,Pacing!$A$1:$Z$213,6))</f>
        <v/>
      </c>
      <c r="H911" s="89" t="str">
        <f>if(isblank(M911),"",vlookup(M911,Pacing!$A$1:$Z$213,6))</f>
        <v/>
      </c>
      <c r="I911" s="86">
        <f t="shared" ref="I911:M911" si="969">I910</f>
        <v>141</v>
      </c>
      <c r="J911" s="86">
        <f t="shared" si="969"/>
        <v>142</v>
      </c>
      <c r="K911" s="86">
        <f t="shared" si="969"/>
        <v>143</v>
      </c>
      <c r="L911" s="86">
        <f t="shared" si="969"/>
        <v>144</v>
      </c>
      <c r="M911" s="86">
        <f t="shared" si="969"/>
        <v>145</v>
      </c>
    </row>
    <row r="912" ht="15.75" customHeight="1">
      <c r="A912" s="69">
        <f>B912+7</f>
        <v>347</v>
      </c>
      <c r="B912" s="69">
        <f t="shared" si="964"/>
        <v>340</v>
      </c>
      <c r="C912" s="76"/>
      <c r="D912" s="91" t="str">
        <f>if(isblank(I912),"",vlookup(I912,Pacing!$A$1:$Z$213,7))</f>
        <v/>
      </c>
      <c r="E912" s="89" t="str">
        <f>if(isblank(J912),"",vlookup(J912,Pacing!$A$1:$Z$213,7))</f>
        <v/>
      </c>
      <c r="F912" s="89" t="str">
        <f>if(isblank(K912),"",vlookup(K912,Pacing!$A$1:$Z$213,7))</f>
        <v/>
      </c>
      <c r="G912" s="89" t="str">
        <f>if(isblank(L912),"",vlookup(L912,Pacing!$A$1:$Z$213,7))</f>
        <v/>
      </c>
      <c r="H912" s="89" t="str">
        <f>if(isblank(M912),"",vlookup(M912,Pacing!$A$1:$Z$213,7))</f>
        <v/>
      </c>
      <c r="I912" s="86">
        <f t="shared" ref="I912:M912" si="970">I911</f>
        <v>141</v>
      </c>
      <c r="J912" s="86">
        <f t="shared" si="970"/>
        <v>142</v>
      </c>
      <c r="K912" s="86">
        <f t="shared" si="970"/>
        <v>143</v>
      </c>
      <c r="L912" s="86">
        <f t="shared" si="970"/>
        <v>144</v>
      </c>
      <c r="M912" s="86">
        <f t="shared" si="970"/>
        <v>145</v>
      </c>
    </row>
    <row r="913" ht="15.75" customHeight="1">
      <c r="A913" s="69">
        <f>B913+8</f>
        <v>348</v>
      </c>
      <c r="B913" s="69">
        <f t="shared" si="964"/>
        <v>340</v>
      </c>
      <c r="C913" s="95"/>
      <c r="D913" s="91" t="str">
        <f>if(isblank(I913),"",vlookup(I913,Pacing!$A$1:$Z$213,8))</f>
        <v/>
      </c>
      <c r="E913" s="89" t="str">
        <f>if(isblank(J913),"",vlookup(J913,Pacing!$A$1:$Z$213,8))</f>
        <v/>
      </c>
      <c r="F913" s="89" t="str">
        <f>if(isblank(K913),"",vlookup(K913,Pacing!$A$1:$Z$213,8))</f>
        <v/>
      </c>
      <c r="G913" s="89" t="str">
        <f>if(isblank(L913),"",vlookup(L913,Pacing!$A$1:$Z$213,8))</f>
        <v/>
      </c>
      <c r="H913" s="89" t="str">
        <f>if(isblank(M913),"",vlookup(M913,Pacing!$A$1:$Z$213,8))</f>
        <v/>
      </c>
      <c r="I913" s="86">
        <f t="shared" ref="I913:M913" si="971">I912</f>
        <v>141</v>
      </c>
      <c r="J913" s="86">
        <f t="shared" si="971"/>
        <v>142</v>
      </c>
      <c r="K913" s="86">
        <f t="shared" si="971"/>
        <v>143</v>
      </c>
      <c r="L913" s="86">
        <f t="shared" si="971"/>
        <v>144</v>
      </c>
      <c r="M913" s="86">
        <f t="shared" si="971"/>
        <v>145</v>
      </c>
    </row>
    <row r="914" ht="15.75" customHeight="1">
      <c r="A914" s="69"/>
      <c r="B914" s="69"/>
      <c r="C914" s="71"/>
      <c r="D914" s="91" t="str">
        <f>if(isblank(I914),"",vlookup(I914,Pacing!$A$1:$Z$213,9))</f>
        <v/>
      </c>
      <c r="E914" s="89" t="str">
        <f>if(isblank(J914),"",vlookup(J914,Pacing!$A$1:$Z$213,9))</f>
        <v/>
      </c>
      <c r="F914" s="89" t="str">
        <f>if(isblank(K914),"",vlookup(K914,Pacing!$A$1:$Z$213,9))</f>
        <v/>
      </c>
      <c r="G914" s="89" t="str">
        <f>if(isblank(L914),"",vlookup(L914,Pacing!$A$1:$Z$213,9))</f>
        <v/>
      </c>
      <c r="H914" s="89" t="str">
        <f>if(isblank(M914),"",vlookup(M914,Pacing!$A$1:$Z$213,9))</f>
        <v/>
      </c>
      <c r="I914" s="86">
        <f t="shared" ref="I914:M914" si="972">I913</f>
        <v>141</v>
      </c>
      <c r="J914" s="86">
        <f t="shared" si="972"/>
        <v>142</v>
      </c>
      <c r="K914" s="86">
        <f t="shared" si="972"/>
        <v>143</v>
      </c>
      <c r="L914" s="86">
        <f t="shared" si="972"/>
        <v>144</v>
      </c>
      <c r="M914" s="86">
        <f t="shared" si="972"/>
        <v>145</v>
      </c>
    </row>
    <row r="915" ht="15.75" customHeight="1">
      <c r="A915" s="69"/>
      <c r="B915" s="69"/>
      <c r="C915" s="71"/>
      <c r="D915" s="91" t="str">
        <f>if(isblank(I915),"",vlookup(I915,Pacing!$A$1:$Z$213,10))</f>
        <v/>
      </c>
      <c r="E915" s="89" t="str">
        <f>if(isblank(J915),"",vlookup(J915,Pacing!$A$1:$Z$213,10))</f>
        <v/>
      </c>
      <c r="F915" s="89" t="str">
        <f>if(isblank(K915),"",vlookup(K915,Pacing!$A$1:$Z$213,10))</f>
        <v/>
      </c>
      <c r="G915" s="89" t="str">
        <f>if(isblank(L915),"",vlookup(L915,Pacing!$A$1:$Z$213,10))</f>
        <v/>
      </c>
      <c r="H915" s="89" t="str">
        <f>if(isblank(M915),"",vlookup(M915,Pacing!$A$1:$Z$213,10))</f>
        <v/>
      </c>
      <c r="I915" s="86">
        <f t="shared" ref="I915:M915" si="973">I914</f>
        <v>141</v>
      </c>
      <c r="J915" s="86">
        <f t="shared" si="973"/>
        <v>142</v>
      </c>
      <c r="K915" s="86">
        <f t="shared" si="973"/>
        <v>143</v>
      </c>
      <c r="L915" s="86">
        <f t="shared" si="973"/>
        <v>144</v>
      </c>
      <c r="M915" s="86">
        <f t="shared" si="973"/>
        <v>145</v>
      </c>
    </row>
    <row r="916" ht="15.75" customHeight="1">
      <c r="A916" s="69"/>
      <c r="B916" s="69"/>
      <c r="C916" s="71"/>
      <c r="D916" s="91" t="str">
        <f>if(isblank(I916),"",vlookup(I916,Pacing!$A$1:$Z$213,11))</f>
        <v/>
      </c>
      <c r="E916" s="89" t="str">
        <f>if(isblank(J916),"",vlookup(J916,Pacing!$A$1:$Z$213,11))</f>
        <v/>
      </c>
      <c r="F916" s="89" t="str">
        <f>if(isblank(K916),"",vlookup(K916,Pacing!$A$1:$Z$213,11))</f>
        <v/>
      </c>
      <c r="G916" s="89" t="str">
        <f>if(isblank(L916),"",vlookup(L916,Pacing!$A$1:$Z$213,11))</f>
        <v/>
      </c>
      <c r="H916" s="89" t="str">
        <f>if(isblank(M916),"",vlookup(M916,Pacing!$A$1:$Z$213,11))</f>
        <v/>
      </c>
      <c r="I916" s="86">
        <f t="shared" ref="I916:M916" si="974">I915</f>
        <v>141</v>
      </c>
      <c r="J916" s="86">
        <f t="shared" si="974"/>
        <v>142</v>
      </c>
      <c r="K916" s="86">
        <f t="shared" si="974"/>
        <v>143</v>
      </c>
      <c r="L916" s="86">
        <f t="shared" si="974"/>
        <v>144</v>
      </c>
      <c r="M916" s="86">
        <f t="shared" si="974"/>
        <v>145</v>
      </c>
    </row>
    <row r="917" ht="15.75" customHeight="1">
      <c r="A917" s="69"/>
      <c r="B917" s="69"/>
      <c r="C917" s="71"/>
      <c r="D917" s="91" t="str">
        <f>if(isblank(I917),"",vlookup(I917,Pacing!$A$1:$Z$213,12))</f>
        <v/>
      </c>
      <c r="E917" s="91" t="str">
        <f>if(isblank(J917),"",vlookup(J917,Pacing!$A$1:$Z$213,12))</f>
        <v/>
      </c>
      <c r="F917" s="91" t="str">
        <f>if(isblank(K917),"",vlookup(K917,Pacing!$A$1:$Z$213,12))</f>
        <v/>
      </c>
      <c r="G917" s="91" t="str">
        <f>if(isblank(L917),"",vlookup(L917,Pacing!$A$1:$Z$213,12))</f>
        <v/>
      </c>
      <c r="H917" s="91" t="str">
        <f>if(isblank(M917),"",vlookup(M917,Pacing!$A$1:$Z$213,12))</f>
        <v/>
      </c>
      <c r="I917" s="86">
        <f t="shared" ref="I917:M917" si="975">I916</f>
        <v>141</v>
      </c>
      <c r="J917" s="86">
        <f t="shared" si="975"/>
        <v>142</v>
      </c>
      <c r="K917" s="86">
        <f t="shared" si="975"/>
        <v>143</v>
      </c>
      <c r="L917" s="86">
        <f t="shared" si="975"/>
        <v>144</v>
      </c>
      <c r="M917" s="86">
        <f t="shared" si="975"/>
        <v>145</v>
      </c>
    </row>
    <row r="918" ht="15.75" customHeight="1">
      <c r="A918" s="69"/>
      <c r="B918" s="69"/>
      <c r="C918" s="71"/>
      <c r="D918" s="91" t="str">
        <f>if(isblank(I918),"",vlookup(I918,Pacing!$A$1:$Z$213,13))</f>
        <v/>
      </c>
      <c r="E918" s="91" t="str">
        <f>if(isblank(J918),"",vlookup(J918,Pacing!$A$1:$Z$213,13))</f>
        <v/>
      </c>
      <c r="F918" s="91" t="str">
        <f>if(isblank(K918),"",vlookup(K918,Pacing!$A$1:$Z$213,13))</f>
        <v/>
      </c>
      <c r="G918" s="91" t="str">
        <f>if(isblank(L918),"",vlookup(L918,Pacing!$A$1:$Z$213,13))</f>
        <v/>
      </c>
      <c r="H918" s="91" t="str">
        <f>if(isblank(M918),"",vlookup(M918,Pacing!$A$1:$Z$213,13))</f>
        <v/>
      </c>
      <c r="I918" s="86">
        <f t="shared" ref="I918:M918" si="976">I917</f>
        <v>141</v>
      </c>
      <c r="J918" s="86">
        <f t="shared" si="976"/>
        <v>142</v>
      </c>
      <c r="K918" s="86">
        <f t="shared" si="976"/>
        <v>143</v>
      </c>
      <c r="L918" s="86">
        <f t="shared" si="976"/>
        <v>144</v>
      </c>
      <c r="M918" s="86">
        <f t="shared" si="976"/>
        <v>145</v>
      </c>
    </row>
    <row r="919" ht="15.75" customHeight="1">
      <c r="A919" s="69"/>
      <c r="B919" s="69"/>
      <c r="C919" s="71"/>
      <c r="D919" s="91" t="str">
        <f>if(isblank(I919),"",vlookup(I919,Pacing!$A$1:$Z$213,14))</f>
        <v/>
      </c>
      <c r="E919" s="89" t="str">
        <f>if(isblank(J919),"",vlookup(J919,Pacing!$A$1:$Z$213,14))</f>
        <v/>
      </c>
      <c r="F919" s="89" t="str">
        <f>if(isblank(K919),"",vlookup(K919,Pacing!$A$1:$Z$213,14))</f>
        <v/>
      </c>
      <c r="G919" s="89" t="str">
        <f>if(isblank(L919),"",vlookup(L919,Pacing!$A$1:$Z$213,14))</f>
        <v/>
      </c>
      <c r="H919" s="89" t="str">
        <f>if(isblank(M919),"",vlookup(M919,Pacing!$A$1:$Z$213,14))</f>
        <v/>
      </c>
      <c r="I919" s="86">
        <f t="shared" ref="I919:M919" si="977">I918</f>
        <v>141</v>
      </c>
      <c r="J919" s="86">
        <f t="shared" si="977"/>
        <v>142</v>
      </c>
      <c r="K919" s="86">
        <f t="shared" si="977"/>
        <v>143</v>
      </c>
      <c r="L919" s="86">
        <f t="shared" si="977"/>
        <v>144</v>
      </c>
      <c r="M919" s="86">
        <f t="shared" si="977"/>
        <v>145</v>
      </c>
    </row>
    <row r="920" ht="15.75" customHeight="1">
      <c r="A920" s="69"/>
      <c r="B920" s="69"/>
      <c r="C920" s="71"/>
      <c r="D920" s="91" t="str">
        <f>if(isblank(I920),"",vlookup(I920,Pacing!$A$1:$Z$213,15))</f>
        <v/>
      </c>
      <c r="E920" s="89" t="str">
        <f>if(isblank(J920),"",vlookup(J920,Pacing!$A$1:$Z$213,15))</f>
        <v/>
      </c>
      <c r="F920" s="89" t="str">
        <f>if(isblank(K920),"",vlookup(K920,Pacing!$A$1:$Z$213,15))</f>
        <v/>
      </c>
      <c r="G920" s="89" t="str">
        <f>if(isblank(L920),"",vlookup(L920,Pacing!$A$1:$Z$213,15))</f>
        <v/>
      </c>
      <c r="H920" s="89" t="str">
        <f>if(isblank(M920),"",vlookup(M920,Pacing!$A$1:$Z$213,15))</f>
        <v/>
      </c>
      <c r="I920" s="86">
        <f t="shared" ref="I920:M920" si="978">I919</f>
        <v>141</v>
      </c>
      <c r="J920" s="86">
        <f t="shared" si="978"/>
        <v>142</v>
      </c>
      <c r="K920" s="86">
        <f t="shared" si="978"/>
        <v>143</v>
      </c>
      <c r="L920" s="86">
        <f t="shared" si="978"/>
        <v>144</v>
      </c>
      <c r="M920" s="86">
        <f t="shared" si="978"/>
        <v>145</v>
      </c>
    </row>
    <row r="921" ht="15.75" customHeight="1">
      <c r="A921" s="69"/>
      <c r="B921" s="69"/>
      <c r="C921" s="71"/>
      <c r="D921" s="91" t="str">
        <f>if(isblank(I921),"",vlookup(I921,Pacing!$A$1:$Z$213,16))</f>
        <v/>
      </c>
      <c r="E921" s="89" t="str">
        <f>if(isblank(J921),"",vlookup(J921,Pacing!$A$1:$Z$213,16))</f>
        <v/>
      </c>
      <c r="F921" s="89" t="str">
        <f>if(isblank(K921),"",vlookup(K921,Pacing!$A$1:$Z$213,16))</f>
        <v/>
      </c>
      <c r="G921" s="89" t="str">
        <f>if(isblank(L921),"",vlookup(L921,Pacing!$A$1:$Z$213,16))</f>
        <v/>
      </c>
      <c r="H921" s="89" t="str">
        <f>if(isblank(M921),"",vlookup(M921,Pacing!$A$1:$Z$213,16))</f>
        <v/>
      </c>
      <c r="I921" s="86">
        <f t="shared" ref="I921:M921" si="979">I920</f>
        <v>141</v>
      </c>
      <c r="J921" s="86">
        <f t="shared" si="979"/>
        <v>142</v>
      </c>
      <c r="K921" s="86">
        <f t="shared" si="979"/>
        <v>143</v>
      </c>
      <c r="L921" s="86">
        <f t="shared" si="979"/>
        <v>144</v>
      </c>
      <c r="M921" s="86">
        <f t="shared" si="979"/>
        <v>145</v>
      </c>
    </row>
    <row r="922" ht="15.75" customHeight="1">
      <c r="A922" s="69"/>
      <c r="B922" s="69"/>
      <c r="C922" s="71"/>
      <c r="D922" s="91" t="str">
        <f>if(isblank(I922),"",vlookup(I922,Pacing!$A$1:$Z$213,17))</f>
        <v/>
      </c>
      <c r="E922" s="89" t="str">
        <f>if(isblank(J922),"",vlookup(J922,Pacing!$A$1:$Z$213,17))</f>
        <v/>
      </c>
      <c r="F922" s="89" t="str">
        <f>if(isblank(K922),"",vlookup(K922,Pacing!$A$1:$Z$213,17))</f>
        <v/>
      </c>
      <c r="G922" s="89" t="str">
        <f>if(isblank(L922),"",vlookup(L922,Pacing!$A$1:$Z$213,17))</f>
        <v/>
      </c>
      <c r="H922" s="89" t="str">
        <f>if(isblank(M922),"",vlookup(M922,Pacing!$A$1:$Z$213,17))</f>
        <v/>
      </c>
      <c r="I922" s="86">
        <f t="shared" ref="I922:M922" si="980">I921</f>
        <v>141</v>
      </c>
      <c r="J922" s="86">
        <f t="shared" si="980"/>
        <v>142</v>
      </c>
      <c r="K922" s="86">
        <f t="shared" si="980"/>
        <v>143</v>
      </c>
      <c r="L922" s="86">
        <f t="shared" si="980"/>
        <v>144</v>
      </c>
      <c r="M922" s="86">
        <f t="shared" si="980"/>
        <v>145</v>
      </c>
    </row>
    <row r="923" ht="15.75" customHeight="1">
      <c r="A923" s="69"/>
      <c r="B923" s="69"/>
      <c r="C923" s="71"/>
      <c r="D923" s="91" t="str">
        <f>if(isblank(I923),"",vlookup(I923,Pacing!$A$1:$Z$213,18))</f>
        <v/>
      </c>
      <c r="E923" s="91" t="str">
        <f>if(isblank(J923),"",vlookup(J923,Pacing!$A$1:$Z$213,18))</f>
        <v/>
      </c>
      <c r="F923" s="91" t="str">
        <f>if(isblank(K923),"",vlookup(K923,Pacing!$A$1:$Z$213,18))</f>
        <v/>
      </c>
      <c r="G923" s="91" t="str">
        <f>if(isblank(L923),"",vlookup(L923,Pacing!$A$1:$Z$213,18))</f>
        <v/>
      </c>
      <c r="H923" s="91" t="str">
        <f>if(isblank(M923),"",vlookup(M923,Pacing!$A$1:$Z$213,18))</f>
        <v/>
      </c>
      <c r="I923" s="86">
        <f t="shared" ref="I923:M923" si="981">I922</f>
        <v>141</v>
      </c>
      <c r="J923" s="86">
        <f t="shared" si="981"/>
        <v>142</v>
      </c>
      <c r="K923" s="86">
        <f t="shared" si="981"/>
        <v>143</v>
      </c>
      <c r="L923" s="86">
        <f t="shared" si="981"/>
        <v>144</v>
      </c>
      <c r="M923" s="86">
        <f t="shared" si="981"/>
        <v>145</v>
      </c>
    </row>
    <row r="924" ht="15.75" customHeight="1">
      <c r="A924" s="69"/>
      <c r="B924" s="69"/>
      <c r="C924" s="71"/>
      <c r="D924" s="91" t="str">
        <f>if(isblank(I924),"",vlookup(I924,Pacing!$A$1:$Z$213,19))</f>
        <v/>
      </c>
      <c r="E924" s="89" t="str">
        <f>if(isblank(J924),"",vlookup(J924,Pacing!$A$1:$Z$213,19))</f>
        <v/>
      </c>
      <c r="F924" s="89" t="str">
        <f>if(isblank(K924),"",vlookup(K924,Pacing!$A$1:$Z$213,19))</f>
        <v/>
      </c>
      <c r="G924" s="89" t="str">
        <f>if(isblank(L924),"",vlookup(L924,Pacing!$A$1:$Z$213,19))</f>
        <v/>
      </c>
      <c r="H924" s="89" t="str">
        <f>if(isblank(M924),"",vlookup(M924,Pacing!$A$1:$Z$213,19))</f>
        <v/>
      </c>
      <c r="I924" s="86">
        <f t="shared" ref="I924:M924" si="982">I923</f>
        <v>141</v>
      </c>
      <c r="J924" s="86">
        <f t="shared" si="982"/>
        <v>142</v>
      </c>
      <c r="K924" s="86">
        <f t="shared" si="982"/>
        <v>143</v>
      </c>
      <c r="L924" s="86">
        <f t="shared" si="982"/>
        <v>144</v>
      </c>
      <c r="M924" s="86">
        <f t="shared" si="982"/>
        <v>145</v>
      </c>
    </row>
    <row r="925" ht="15.75" customHeight="1">
      <c r="A925" s="69"/>
      <c r="B925" s="69"/>
      <c r="C925" s="71"/>
      <c r="D925" s="91" t="str">
        <f>if(isblank(I925),"",vlookup(I925,Pacing!$A$1:$Z$213,20))</f>
        <v/>
      </c>
      <c r="E925" s="89" t="str">
        <f>if(isblank(J925),"",vlookup(J925,Pacing!$A$1:$Z$213,20))</f>
        <v/>
      </c>
      <c r="F925" s="89" t="str">
        <f>if(isblank(K925),"",vlookup(K925,Pacing!$A$1:$Z$213,20))</f>
        <v/>
      </c>
      <c r="G925" s="89" t="str">
        <f>if(isblank(L925),"",vlookup(L925,Pacing!$A$1:$Z$213,20))</f>
        <v/>
      </c>
      <c r="H925" s="89" t="str">
        <f>if(isblank(M925),"",vlookup(M925,Pacing!$A$1:$Z$213,20))</f>
        <v/>
      </c>
      <c r="I925" s="86">
        <f t="shared" ref="I925:M925" si="983">I924</f>
        <v>141</v>
      </c>
      <c r="J925" s="86">
        <f t="shared" si="983"/>
        <v>142</v>
      </c>
      <c r="K925" s="86">
        <f t="shared" si="983"/>
        <v>143</v>
      </c>
      <c r="L925" s="86">
        <f t="shared" si="983"/>
        <v>144</v>
      </c>
      <c r="M925" s="86">
        <f t="shared" si="983"/>
        <v>145</v>
      </c>
    </row>
    <row r="926" ht="15.75" customHeight="1">
      <c r="A926" s="69"/>
      <c r="B926" s="69"/>
      <c r="C926" s="71"/>
      <c r="D926" s="91" t="str">
        <f>if(isblank(I926),"",vlookup(I926,Pacing!$A$1:$Z$213,21))</f>
        <v/>
      </c>
      <c r="E926" s="89" t="str">
        <f>if(isblank(J926),"",vlookup(J926,Pacing!$A$1:$Z$213,21))</f>
        <v/>
      </c>
      <c r="F926" s="89" t="str">
        <f>if(isblank(K926),"",vlookup(K926,Pacing!$A$1:$Z$213,21))</f>
        <v/>
      </c>
      <c r="G926" s="89" t="str">
        <f>if(isblank(L926),"",vlookup(L926,Pacing!$A$1:$Z$213,21))</f>
        <v/>
      </c>
      <c r="H926" s="89" t="str">
        <f>if(isblank(M926),"",vlookup(M926,Pacing!$A$1:$Z$213,21))</f>
        <v/>
      </c>
      <c r="I926" s="86">
        <f t="shared" ref="I926:M926" si="984">I925</f>
        <v>141</v>
      </c>
      <c r="J926" s="86">
        <f t="shared" si="984"/>
        <v>142</v>
      </c>
      <c r="K926" s="86">
        <f t="shared" si="984"/>
        <v>143</v>
      </c>
      <c r="L926" s="86">
        <f t="shared" si="984"/>
        <v>144</v>
      </c>
      <c r="M926" s="86">
        <f t="shared" si="984"/>
        <v>145</v>
      </c>
    </row>
    <row r="927" ht="15.75" customHeight="1">
      <c r="A927" s="69"/>
      <c r="B927" s="69"/>
      <c r="C927" s="71"/>
      <c r="D927" s="91" t="str">
        <f>if(isblank(I927),"",vlookup(I927,Pacing!$A$1:$Z$213,22))</f>
        <v/>
      </c>
      <c r="E927" s="91" t="str">
        <f>if(isblank(J927),"",vlookup(J927,Pacing!$A$1:$Z$213,22))</f>
        <v/>
      </c>
      <c r="F927" s="91" t="str">
        <f>if(isblank(K927),"",vlookup(K927,Pacing!$A$1:$Z$213,22))</f>
        <v/>
      </c>
      <c r="G927" s="91" t="str">
        <f>if(isblank(L927),"",vlookup(L927,Pacing!$A$1:$Z$213,22))</f>
        <v/>
      </c>
      <c r="H927" s="91" t="str">
        <f>if(isblank(M927),"",vlookup(M927,Pacing!$A$1:$Z$213,22))</f>
        <v/>
      </c>
      <c r="I927" s="86">
        <f t="shared" ref="I927:M927" si="985">I926</f>
        <v>141</v>
      </c>
      <c r="J927" s="86">
        <f t="shared" si="985"/>
        <v>142</v>
      </c>
      <c r="K927" s="86">
        <f t="shared" si="985"/>
        <v>143</v>
      </c>
      <c r="L927" s="86">
        <f t="shared" si="985"/>
        <v>144</v>
      </c>
      <c r="M927" s="86">
        <f t="shared" si="985"/>
        <v>145</v>
      </c>
    </row>
    <row r="928" ht="15.75" customHeight="1">
      <c r="A928" s="69"/>
      <c r="B928" s="69"/>
      <c r="C928" s="71"/>
      <c r="D928" s="91" t="str">
        <f>if(isblank(I928),"",vlookup(I928,Pacing!$A$1:$Z$213,23))</f>
        <v/>
      </c>
      <c r="E928" s="89" t="str">
        <f>if(isblank(J928),"",vlookup(J928,Pacing!$A$1:$Z$213,23))</f>
        <v/>
      </c>
      <c r="F928" s="89" t="str">
        <f>if(isblank(K928),"",vlookup(K928,Pacing!$A$1:$Z$213,23))</f>
        <v/>
      </c>
      <c r="G928" s="89" t="str">
        <f>if(isblank(L928),"",vlookup(L928,Pacing!$A$1:$Z$213,23))</f>
        <v/>
      </c>
      <c r="H928" s="89" t="str">
        <f>if(isblank(M928),"",vlookup(M928,Pacing!$A$1:$Z$213,23))</f>
        <v/>
      </c>
      <c r="I928" s="86">
        <f t="shared" ref="I928:M928" si="986">I927</f>
        <v>141</v>
      </c>
      <c r="J928" s="86">
        <f t="shared" si="986"/>
        <v>142</v>
      </c>
      <c r="K928" s="86">
        <f t="shared" si="986"/>
        <v>143</v>
      </c>
      <c r="L928" s="86">
        <f t="shared" si="986"/>
        <v>144</v>
      </c>
      <c r="M928" s="86">
        <f t="shared" si="986"/>
        <v>145</v>
      </c>
    </row>
    <row r="929" ht="15.75" customHeight="1">
      <c r="A929" s="69"/>
      <c r="B929" s="69"/>
      <c r="C929" s="71"/>
      <c r="D929" s="91" t="str">
        <f>if(isblank(I929),"",vlookup(I929,Pacing!$A$1:$Z$213,24))</f>
        <v/>
      </c>
      <c r="E929" s="89" t="str">
        <f>if(isblank(J929),"",vlookup(J929,Pacing!$A$1:$Z$213,24))</f>
        <v/>
      </c>
      <c r="F929" s="89" t="str">
        <f>if(isblank(K929),"",vlookup(K929,Pacing!$A$1:$Z$213,24))</f>
        <v/>
      </c>
      <c r="G929" s="89" t="str">
        <f>if(isblank(L929),"",vlookup(L929,Pacing!$A$1:$Z$213,24))</f>
        <v/>
      </c>
      <c r="H929" s="89" t="str">
        <f>if(isblank(M929),"",vlookup(M929,Pacing!$A$1:$Z$213,24))</f>
        <v/>
      </c>
      <c r="I929" s="86">
        <f t="shared" ref="I929:M929" si="987">I928</f>
        <v>141</v>
      </c>
      <c r="J929" s="86">
        <f t="shared" si="987"/>
        <v>142</v>
      </c>
      <c r="K929" s="86">
        <f t="shared" si="987"/>
        <v>143</v>
      </c>
      <c r="L929" s="86">
        <f t="shared" si="987"/>
        <v>144</v>
      </c>
      <c r="M929" s="86">
        <f t="shared" si="987"/>
        <v>145</v>
      </c>
    </row>
    <row r="930" ht="15.75" customHeight="1">
      <c r="A930" s="69"/>
      <c r="B930" s="69"/>
      <c r="C930" s="71"/>
      <c r="D930" s="91" t="str">
        <f>if(isblank(I930),"",vlookup(I930,Pacing!$A$1:$Z$213,25))</f>
        <v/>
      </c>
      <c r="E930" s="89" t="str">
        <f>if(isblank(J930),"",vlookup(J930,Pacing!$A$1:$Z$213,25))</f>
        <v/>
      </c>
      <c r="F930" s="89" t="str">
        <f>if(isblank(K930),"",vlookup(K930,Pacing!$A$1:$Z$213,25))</f>
        <v/>
      </c>
      <c r="G930" s="89" t="str">
        <f>if(isblank(L930),"",vlookup(L930,Pacing!$A$1:$Z$213,25))</f>
        <v/>
      </c>
      <c r="H930" s="89" t="str">
        <f>if(isblank(M930),"",vlookup(M930,Pacing!$A$1:$Z$213,25))</f>
        <v/>
      </c>
      <c r="I930" s="86">
        <f t="shared" ref="I930:M930" si="988">I929</f>
        <v>141</v>
      </c>
      <c r="J930" s="86">
        <f t="shared" si="988"/>
        <v>142</v>
      </c>
      <c r="K930" s="86">
        <f t="shared" si="988"/>
        <v>143</v>
      </c>
      <c r="L930" s="86">
        <f t="shared" si="988"/>
        <v>144</v>
      </c>
      <c r="M930" s="86">
        <f t="shared" si="988"/>
        <v>145</v>
      </c>
    </row>
    <row r="931" ht="15.75" customHeight="1">
      <c r="A931" s="69"/>
      <c r="B931" s="69"/>
      <c r="C931" s="71"/>
      <c r="D931" s="91" t="str">
        <f>if(isblank(I931),"",vlookup(I931,Pacing!$A$1:$Z$213,26))</f>
        <v/>
      </c>
      <c r="E931" s="89" t="str">
        <f>if(isblank(J931),"",vlookup(J931,Pacing!$A$1:$Z$213,26))</f>
        <v/>
      </c>
      <c r="F931" s="89" t="str">
        <f>if(isblank(K931),"",vlookup(K931,Pacing!$A$1:$Z$213,26))</f>
        <v/>
      </c>
      <c r="G931" s="89" t="str">
        <f>if(isblank(L931),"",vlookup(L931,Pacing!$A$1:$Z$213,26))</f>
        <v/>
      </c>
      <c r="H931" s="89" t="str">
        <f>if(isblank(M931),"",vlookup(M931,Pacing!$A$1:$Z$213,26))</f>
        <v/>
      </c>
      <c r="I931" s="86">
        <f t="shared" ref="I931:M931" si="989">I930</f>
        <v>141</v>
      </c>
      <c r="J931" s="86">
        <f t="shared" si="989"/>
        <v>142</v>
      </c>
      <c r="K931" s="86">
        <f t="shared" si="989"/>
        <v>143</v>
      </c>
      <c r="L931" s="86">
        <f t="shared" si="989"/>
        <v>144</v>
      </c>
      <c r="M931" s="86">
        <f t="shared" si="989"/>
        <v>145</v>
      </c>
    </row>
    <row r="932" ht="15.75" customHeight="1">
      <c r="A932" s="137"/>
      <c r="B932" s="137"/>
      <c r="C932" s="138"/>
      <c r="D932" s="139">
        <f>H905+1</f>
        <v>146</v>
      </c>
      <c r="E932" s="139">
        <f t="shared" ref="E932:H932" si="990">D932+1</f>
        <v>147</v>
      </c>
      <c r="F932" s="139">
        <f t="shared" si="990"/>
        <v>148</v>
      </c>
      <c r="G932" s="139">
        <f t="shared" si="990"/>
        <v>149</v>
      </c>
      <c r="H932" s="139">
        <f t="shared" si="990"/>
        <v>150</v>
      </c>
      <c r="I932" s="55">
        <f t="shared" ref="I932:M932" si="991">D932</f>
        <v>146</v>
      </c>
      <c r="J932" s="55">
        <f t="shared" si="991"/>
        <v>147</v>
      </c>
      <c r="K932" s="55">
        <f t="shared" si="991"/>
        <v>148</v>
      </c>
      <c r="L932" s="55">
        <f t="shared" si="991"/>
        <v>149</v>
      </c>
      <c r="M932" s="55">
        <f t="shared" si="991"/>
        <v>150</v>
      </c>
    </row>
    <row r="933" ht="15.75" customHeight="1">
      <c r="A933" s="69">
        <f>B933+1</f>
        <v>351</v>
      </c>
      <c r="B933" s="69">
        <f t="shared" ref="B933:B940" si="993">$C$933*10</f>
        <v>350</v>
      </c>
      <c r="C933" s="71">
        <f>C906+1</f>
        <v>35</v>
      </c>
      <c r="D933" s="72">
        <f>D906+7</f>
        <v>46503</v>
      </c>
      <c r="E933" s="72">
        <f t="shared" ref="E933:H933" si="992">D933+1</f>
        <v>46504</v>
      </c>
      <c r="F933" s="72">
        <f t="shared" si="992"/>
        <v>46505</v>
      </c>
      <c r="G933" s="72">
        <f t="shared" si="992"/>
        <v>46506</v>
      </c>
      <c r="H933" s="72">
        <f t="shared" si="992"/>
        <v>46507</v>
      </c>
      <c r="I933" s="62" t="s">
        <v>42</v>
      </c>
    </row>
    <row r="934" ht="15.75" customHeight="1">
      <c r="A934" s="75">
        <f>B934+2</f>
        <v>352</v>
      </c>
      <c r="B934" s="75">
        <f t="shared" si="993"/>
        <v>350</v>
      </c>
      <c r="C934" s="76"/>
      <c r="D934" s="131" t="str">
        <f>if(isblank(I934),"",vlookup(I934,Pacing!$A$1:$Z$213,2))</f>
        <v/>
      </c>
      <c r="E934" s="131" t="str">
        <f>if(isblank(J934),"",vlookup(J934,Pacing!$A$1:$Z$213,2))</f>
        <v/>
      </c>
      <c r="F934" s="131" t="str">
        <f>if(isblank(K934),"",vlookup(K934,Pacing!$A$1:$Z$213,2))</f>
        <v/>
      </c>
      <c r="G934" s="131" t="str">
        <f>if(isblank(L934),"",vlookup(L934,Pacing!$A$1:$Z$213,2))</f>
        <v/>
      </c>
      <c r="H934" s="131" t="str">
        <f>if(isblank(M934),"",vlookup(M934,Pacing!$A$1:$Z$213,2))</f>
        <v/>
      </c>
      <c r="I934" s="78">
        <f t="shared" ref="I934:M934" si="994">I932</f>
        <v>146</v>
      </c>
      <c r="J934" s="78">
        <f t="shared" si="994"/>
        <v>147</v>
      </c>
      <c r="K934" s="78">
        <f t="shared" si="994"/>
        <v>148</v>
      </c>
      <c r="L934" s="78">
        <f t="shared" si="994"/>
        <v>149</v>
      </c>
      <c r="M934" s="78">
        <f t="shared" si="994"/>
        <v>150</v>
      </c>
    </row>
    <row r="935" ht="15.75" customHeight="1">
      <c r="A935" s="69">
        <f>B935+3</f>
        <v>353</v>
      </c>
      <c r="B935" s="69">
        <f t="shared" si="993"/>
        <v>350</v>
      </c>
      <c r="C935" s="76"/>
      <c r="D935" s="91" t="str">
        <f>if(isblank(I935),"",vlookup(I935,Pacing!$A$1:$Z$213,3))</f>
        <v/>
      </c>
      <c r="E935" s="89" t="str">
        <f>if(isblank(J935),"",vlookup(J935,Pacing!$A$1:$Z$213,3))</f>
        <v/>
      </c>
      <c r="F935" s="89" t="str">
        <f>if(isblank(K935),"",vlookup(K935,Pacing!$A$1:$Z$213,3))</f>
        <v/>
      </c>
      <c r="G935" s="89" t="str">
        <f>if(isblank(L935),"",vlookup(L935,Pacing!$A$1:$Z$213,3))</f>
        <v/>
      </c>
      <c r="H935" s="89" t="str">
        <f>if(isblank(M935),"",vlookup(M935,Pacing!$A$1:$Z$213,3))</f>
        <v/>
      </c>
      <c r="I935" s="86">
        <f t="shared" ref="I935:M935" si="995">I934</f>
        <v>146</v>
      </c>
      <c r="J935" s="86">
        <f t="shared" si="995"/>
        <v>147</v>
      </c>
      <c r="K935" s="86">
        <f t="shared" si="995"/>
        <v>148</v>
      </c>
      <c r="L935" s="86">
        <f t="shared" si="995"/>
        <v>149</v>
      </c>
      <c r="M935" s="86">
        <f t="shared" si="995"/>
        <v>150</v>
      </c>
    </row>
    <row r="936" ht="15.75" customHeight="1">
      <c r="A936" s="69">
        <f>B936+4</f>
        <v>354</v>
      </c>
      <c r="B936" s="69">
        <f t="shared" si="993"/>
        <v>350</v>
      </c>
      <c r="C936" s="76"/>
      <c r="D936" s="91" t="str">
        <f>if(isblank(I936),"",vlookup(I936,Pacing!$A$1:$Z$213,4))</f>
        <v/>
      </c>
      <c r="E936" s="89" t="str">
        <f>if(isblank(J936),"",vlookup(J936,Pacing!$A$1:$Z$213,4))</f>
        <v/>
      </c>
      <c r="F936" s="89" t="str">
        <f>if(isblank(K936),"",vlookup(K936,Pacing!$A$1:$Z$213,4))</f>
        <v/>
      </c>
      <c r="G936" s="89" t="str">
        <f>if(isblank(L936),"",vlookup(L936,Pacing!$A$1:$Z$213,4))</f>
        <v/>
      </c>
      <c r="H936" s="89" t="str">
        <f>if(isblank(M936),"",vlookup(M936,Pacing!$A$1:$Z$213,4))</f>
        <v/>
      </c>
      <c r="I936" s="86">
        <f t="shared" ref="I936:M936" si="996">I935</f>
        <v>146</v>
      </c>
      <c r="J936" s="86">
        <f t="shared" si="996"/>
        <v>147</v>
      </c>
      <c r="K936" s="86">
        <f t="shared" si="996"/>
        <v>148</v>
      </c>
      <c r="L936" s="86">
        <f t="shared" si="996"/>
        <v>149</v>
      </c>
      <c r="M936" s="86">
        <f t="shared" si="996"/>
        <v>150</v>
      </c>
    </row>
    <row r="937" ht="15.75" customHeight="1">
      <c r="A937" s="69">
        <f>B937+5</f>
        <v>355</v>
      </c>
      <c r="B937" s="69">
        <f t="shared" si="993"/>
        <v>350</v>
      </c>
      <c r="C937" s="76"/>
      <c r="D937" s="91" t="str">
        <f>if(isblank(I937),"",vlookup(I937,Pacing!$A$1:$Z$213,5))</f>
        <v/>
      </c>
      <c r="E937" s="89" t="str">
        <f>if(isblank(J937),"",vlookup(J937,Pacing!$A$1:$Z$213,5))</f>
        <v/>
      </c>
      <c r="F937" s="89" t="str">
        <f>if(isblank(K937),"",vlookup(K937,Pacing!$A$1:$Z$213,5))</f>
        <v/>
      </c>
      <c r="G937" s="89" t="str">
        <f>if(isblank(L937),"",vlookup(L937,Pacing!$A$1:$Z$213,5))</f>
        <v/>
      </c>
      <c r="H937" s="89" t="str">
        <f>if(isblank(M937),"",vlookup(M937,Pacing!$A$1:$Z$213,5))</f>
        <v/>
      </c>
      <c r="I937" s="86">
        <f t="shared" ref="I937:M937" si="997">I936</f>
        <v>146</v>
      </c>
      <c r="J937" s="86">
        <f t="shared" si="997"/>
        <v>147</v>
      </c>
      <c r="K937" s="86">
        <f t="shared" si="997"/>
        <v>148</v>
      </c>
      <c r="L937" s="86">
        <f t="shared" si="997"/>
        <v>149</v>
      </c>
      <c r="M937" s="86">
        <f t="shared" si="997"/>
        <v>150</v>
      </c>
    </row>
    <row r="938" ht="15.75" customHeight="1">
      <c r="A938" s="69">
        <f>B938+6</f>
        <v>356</v>
      </c>
      <c r="B938" s="69">
        <f t="shared" si="993"/>
        <v>350</v>
      </c>
      <c r="C938" s="76"/>
      <c r="D938" s="91" t="str">
        <f>if(isblank(I938),"",vlookup(I938,Pacing!$A$1:$Z$213,6))</f>
        <v/>
      </c>
      <c r="E938" s="89" t="str">
        <f>if(isblank(J938),"",vlookup(J938,Pacing!$A$1:$Z$213,6))</f>
        <v/>
      </c>
      <c r="F938" s="89" t="str">
        <f>if(isblank(K938),"",vlookup(K938,Pacing!$A$1:$Z$213,6))</f>
        <v/>
      </c>
      <c r="G938" s="89" t="str">
        <f>if(isblank(L938),"",vlookup(L938,Pacing!$A$1:$Z$213,6))</f>
        <v/>
      </c>
      <c r="H938" s="89" t="str">
        <f>if(isblank(M938),"",vlookup(M938,Pacing!$A$1:$Z$213,6))</f>
        <v/>
      </c>
      <c r="I938" s="86">
        <f t="shared" ref="I938:M938" si="998">I937</f>
        <v>146</v>
      </c>
      <c r="J938" s="86">
        <f t="shared" si="998"/>
        <v>147</v>
      </c>
      <c r="K938" s="86">
        <f t="shared" si="998"/>
        <v>148</v>
      </c>
      <c r="L938" s="86">
        <f t="shared" si="998"/>
        <v>149</v>
      </c>
      <c r="M938" s="86">
        <f t="shared" si="998"/>
        <v>150</v>
      </c>
    </row>
    <row r="939" ht="15.75" customHeight="1">
      <c r="A939" s="69">
        <f>B939+7</f>
        <v>357</v>
      </c>
      <c r="B939" s="69">
        <f t="shared" si="993"/>
        <v>350</v>
      </c>
      <c r="C939" s="76"/>
      <c r="D939" s="91" t="str">
        <f>if(isblank(I939),"",vlookup(I939,Pacing!$A$1:$Z$213,7))</f>
        <v/>
      </c>
      <c r="E939" s="89" t="str">
        <f>if(isblank(J939),"",vlookup(J939,Pacing!$A$1:$Z$213,7))</f>
        <v/>
      </c>
      <c r="F939" s="89" t="str">
        <f>if(isblank(K939),"",vlookup(K939,Pacing!$A$1:$Z$213,7))</f>
        <v/>
      </c>
      <c r="G939" s="89" t="str">
        <f>if(isblank(L939),"",vlookup(L939,Pacing!$A$1:$Z$213,7))</f>
        <v/>
      </c>
      <c r="H939" s="89" t="str">
        <f>if(isblank(M939),"",vlookup(M939,Pacing!$A$1:$Z$213,7))</f>
        <v/>
      </c>
      <c r="I939" s="86">
        <f t="shared" ref="I939:M939" si="999">I938</f>
        <v>146</v>
      </c>
      <c r="J939" s="86">
        <f t="shared" si="999"/>
        <v>147</v>
      </c>
      <c r="K939" s="86">
        <f t="shared" si="999"/>
        <v>148</v>
      </c>
      <c r="L939" s="86">
        <f t="shared" si="999"/>
        <v>149</v>
      </c>
      <c r="M939" s="86">
        <f t="shared" si="999"/>
        <v>150</v>
      </c>
    </row>
    <row r="940" ht="15.75" customHeight="1">
      <c r="A940" s="69">
        <f>B940+8</f>
        <v>358</v>
      </c>
      <c r="B940" s="69">
        <f t="shared" si="993"/>
        <v>350</v>
      </c>
      <c r="C940" s="95"/>
      <c r="D940" s="91" t="str">
        <f>if(isblank(I940),"",vlookup(I940,Pacing!$A$1:$Z$213,8))</f>
        <v/>
      </c>
      <c r="E940" s="89" t="str">
        <f>if(isblank(J940),"",vlookup(J940,Pacing!$A$1:$Z$213,8))</f>
        <v/>
      </c>
      <c r="F940" s="89" t="str">
        <f>if(isblank(K940),"",vlookup(K940,Pacing!$A$1:$Z$213,8))</f>
        <v/>
      </c>
      <c r="G940" s="89" t="str">
        <f>if(isblank(L940),"",vlookup(L940,Pacing!$A$1:$Z$213,8))</f>
        <v/>
      </c>
      <c r="H940" s="89" t="str">
        <f>if(isblank(M940),"",vlookup(M940,Pacing!$A$1:$Z$213,8))</f>
        <v/>
      </c>
      <c r="I940" s="86">
        <f t="shared" ref="I940:M940" si="1000">I939</f>
        <v>146</v>
      </c>
      <c r="J940" s="86">
        <f t="shared" si="1000"/>
        <v>147</v>
      </c>
      <c r="K940" s="86">
        <f t="shared" si="1000"/>
        <v>148</v>
      </c>
      <c r="L940" s="86">
        <f t="shared" si="1000"/>
        <v>149</v>
      </c>
      <c r="M940" s="86">
        <f t="shared" si="1000"/>
        <v>150</v>
      </c>
    </row>
    <row r="941" ht="15.75" customHeight="1">
      <c r="A941" s="69"/>
      <c r="B941" s="69"/>
      <c r="C941" s="71"/>
      <c r="D941" s="91" t="str">
        <f>if(isblank(I941),"",vlookup(I941,Pacing!$A$1:$Z$213,9))</f>
        <v/>
      </c>
      <c r="E941" s="89" t="str">
        <f>if(isblank(J941),"",vlookup(J941,Pacing!$A$1:$Z$213,9))</f>
        <v/>
      </c>
      <c r="F941" s="89" t="str">
        <f>if(isblank(K941),"",vlookup(K941,Pacing!$A$1:$Z$213,9))</f>
        <v/>
      </c>
      <c r="G941" s="89" t="str">
        <f>if(isblank(L941),"",vlookup(L941,Pacing!$A$1:$Z$213,9))</f>
        <v/>
      </c>
      <c r="H941" s="89" t="str">
        <f>if(isblank(M941),"",vlookup(M941,Pacing!$A$1:$Z$213,9))</f>
        <v/>
      </c>
      <c r="I941" s="86">
        <f t="shared" ref="I941:M941" si="1001">I940</f>
        <v>146</v>
      </c>
      <c r="J941" s="86">
        <f t="shared" si="1001"/>
        <v>147</v>
      </c>
      <c r="K941" s="86">
        <f t="shared" si="1001"/>
        <v>148</v>
      </c>
      <c r="L941" s="86">
        <f t="shared" si="1001"/>
        <v>149</v>
      </c>
      <c r="M941" s="86">
        <f t="shared" si="1001"/>
        <v>150</v>
      </c>
    </row>
    <row r="942" ht="15.75" customHeight="1">
      <c r="A942" s="69"/>
      <c r="B942" s="69"/>
      <c r="C942" s="71"/>
      <c r="D942" s="91" t="str">
        <f>if(isblank(I942),"",vlookup(I942,Pacing!$A$1:$Z$213,10))</f>
        <v/>
      </c>
      <c r="E942" s="89" t="str">
        <f>if(isblank(J942),"",vlookup(J942,Pacing!$A$1:$Z$213,10))</f>
        <v/>
      </c>
      <c r="F942" s="89" t="str">
        <f>if(isblank(K942),"",vlookup(K942,Pacing!$A$1:$Z$213,10))</f>
        <v/>
      </c>
      <c r="G942" s="89" t="str">
        <f>if(isblank(L942),"",vlookup(L942,Pacing!$A$1:$Z$213,10))</f>
        <v/>
      </c>
      <c r="H942" s="89" t="str">
        <f>if(isblank(M942),"",vlookup(M942,Pacing!$A$1:$Z$213,10))</f>
        <v/>
      </c>
      <c r="I942" s="86">
        <f t="shared" ref="I942:M942" si="1002">I941</f>
        <v>146</v>
      </c>
      <c r="J942" s="86">
        <f t="shared" si="1002"/>
        <v>147</v>
      </c>
      <c r="K942" s="86">
        <f t="shared" si="1002"/>
        <v>148</v>
      </c>
      <c r="L942" s="86">
        <f t="shared" si="1002"/>
        <v>149</v>
      </c>
      <c r="M942" s="86">
        <f t="shared" si="1002"/>
        <v>150</v>
      </c>
    </row>
    <row r="943" ht="15.75" customHeight="1">
      <c r="A943" s="69"/>
      <c r="B943" s="69"/>
      <c r="C943" s="71"/>
      <c r="D943" s="91" t="str">
        <f>if(isblank(I943),"",vlookup(I943,Pacing!$A$1:$Z$213,11))</f>
        <v/>
      </c>
      <c r="E943" s="89" t="str">
        <f>if(isblank(J943),"",vlookup(J943,Pacing!$A$1:$Z$213,11))</f>
        <v/>
      </c>
      <c r="F943" s="89" t="str">
        <f>if(isblank(K943),"",vlookup(K943,Pacing!$A$1:$Z$213,11))</f>
        <v/>
      </c>
      <c r="G943" s="89" t="str">
        <f>if(isblank(L943),"",vlookup(L943,Pacing!$A$1:$Z$213,11))</f>
        <v/>
      </c>
      <c r="H943" s="89" t="str">
        <f>if(isblank(M943),"",vlookup(M943,Pacing!$A$1:$Z$213,11))</f>
        <v/>
      </c>
      <c r="I943" s="86">
        <f t="shared" ref="I943:M943" si="1003">I942</f>
        <v>146</v>
      </c>
      <c r="J943" s="86">
        <f t="shared" si="1003"/>
        <v>147</v>
      </c>
      <c r="K943" s="86">
        <f t="shared" si="1003"/>
        <v>148</v>
      </c>
      <c r="L943" s="86">
        <f t="shared" si="1003"/>
        <v>149</v>
      </c>
      <c r="M943" s="86">
        <f t="shared" si="1003"/>
        <v>150</v>
      </c>
    </row>
    <row r="944" ht="15.75" customHeight="1">
      <c r="A944" s="69"/>
      <c r="B944" s="69"/>
      <c r="C944" s="71"/>
      <c r="D944" s="91" t="str">
        <f>if(isblank(I944),"",vlookup(I944,Pacing!$A$1:$Z$213,12))</f>
        <v/>
      </c>
      <c r="E944" s="91" t="str">
        <f>if(isblank(J944),"",vlookup(J944,Pacing!$A$1:$Z$213,12))</f>
        <v/>
      </c>
      <c r="F944" s="91" t="str">
        <f>if(isblank(K944),"",vlookup(K944,Pacing!$A$1:$Z$213,12))</f>
        <v/>
      </c>
      <c r="G944" s="91" t="str">
        <f>if(isblank(L944),"",vlookup(L944,Pacing!$A$1:$Z$213,12))</f>
        <v/>
      </c>
      <c r="H944" s="91" t="str">
        <f>if(isblank(M944),"",vlookup(M944,Pacing!$A$1:$Z$213,12))</f>
        <v/>
      </c>
      <c r="I944" s="86">
        <f t="shared" ref="I944:M944" si="1004">I943</f>
        <v>146</v>
      </c>
      <c r="J944" s="86">
        <f t="shared" si="1004"/>
        <v>147</v>
      </c>
      <c r="K944" s="86">
        <f t="shared" si="1004"/>
        <v>148</v>
      </c>
      <c r="L944" s="86">
        <f t="shared" si="1004"/>
        <v>149</v>
      </c>
      <c r="M944" s="86">
        <f t="shared" si="1004"/>
        <v>150</v>
      </c>
    </row>
    <row r="945" ht="15.75" customHeight="1">
      <c r="A945" s="69"/>
      <c r="B945" s="69"/>
      <c r="C945" s="71"/>
      <c r="D945" s="91" t="str">
        <f>if(isblank(I945),"",vlookup(I945,Pacing!$A$1:$Z$213,13))</f>
        <v/>
      </c>
      <c r="E945" s="91" t="str">
        <f>if(isblank(J945),"",vlookup(J945,Pacing!$A$1:$Z$213,13))</f>
        <v/>
      </c>
      <c r="F945" s="91" t="str">
        <f>if(isblank(K945),"",vlookup(K945,Pacing!$A$1:$Z$213,13))</f>
        <v/>
      </c>
      <c r="G945" s="91" t="str">
        <f>if(isblank(L945),"",vlookup(L945,Pacing!$A$1:$Z$213,13))</f>
        <v/>
      </c>
      <c r="H945" s="91" t="str">
        <f>if(isblank(M945),"",vlookup(M945,Pacing!$A$1:$Z$213,13))</f>
        <v/>
      </c>
      <c r="I945" s="86">
        <f t="shared" ref="I945:M945" si="1005">I944</f>
        <v>146</v>
      </c>
      <c r="J945" s="86">
        <f t="shared" si="1005"/>
        <v>147</v>
      </c>
      <c r="K945" s="86">
        <f t="shared" si="1005"/>
        <v>148</v>
      </c>
      <c r="L945" s="86">
        <f t="shared" si="1005"/>
        <v>149</v>
      </c>
      <c r="M945" s="86">
        <f t="shared" si="1005"/>
        <v>150</v>
      </c>
    </row>
    <row r="946" ht="15.75" customHeight="1">
      <c r="A946" s="69"/>
      <c r="B946" s="69"/>
      <c r="C946" s="71"/>
      <c r="D946" s="91" t="str">
        <f>if(isblank(I946),"",vlookup(I946,Pacing!$A$1:$Z$213,14))</f>
        <v/>
      </c>
      <c r="E946" s="89" t="str">
        <f>if(isblank(J946),"",vlookup(J946,Pacing!$A$1:$Z$213,14))</f>
        <v/>
      </c>
      <c r="F946" s="89" t="str">
        <f>if(isblank(K946),"",vlookup(K946,Pacing!$A$1:$Z$213,14))</f>
        <v/>
      </c>
      <c r="G946" s="89" t="str">
        <f>if(isblank(L946),"",vlookup(L946,Pacing!$A$1:$Z$213,14))</f>
        <v/>
      </c>
      <c r="H946" s="89" t="str">
        <f>if(isblank(M946),"",vlookup(M946,Pacing!$A$1:$Z$213,14))</f>
        <v/>
      </c>
      <c r="I946" s="86">
        <f t="shared" ref="I946:M946" si="1006">I945</f>
        <v>146</v>
      </c>
      <c r="J946" s="86">
        <f t="shared" si="1006"/>
        <v>147</v>
      </c>
      <c r="K946" s="86">
        <f t="shared" si="1006"/>
        <v>148</v>
      </c>
      <c r="L946" s="86">
        <f t="shared" si="1006"/>
        <v>149</v>
      </c>
      <c r="M946" s="86">
        <f t="shared" si="1006"/>
        <v>150</v>
      </c>
    </row>
    <row r="947" ht="15.75" customHeight="1">
      <c r="A947" s="69"/>
      <c r="B947" s="69"/>
      <c r="C947" s="71"/>
      <c r="D947" s="91" t="str">
        <f>if(isblank(I947),"",vlookup(I947,Pacing!$A$1:$Z$213,15))</f>
        <v/>
      </c>
      <c r="E947" s="89" t="str">
        <f>if(isblank(J947),"",vlookup(J947,Pacing!$A$1:$Z$213,15))</f>
        <v/>
      </c>
      <c r="F947" s="89" t="str">
        <f>if(isblank(K947),"",vlookup(K947,Pacing!$A$1:$Z$213,15))</f>
        <v/>
      </c>
      <c r="G947" s="89" t="str">
        <f>if(isblank(L947),"",vlookup(L947,Pacing!$A$1:$Z$213,15))</f>
        <v/>
      </c>
      <c r="H947" s="89" t="str">
        <f>if(isblank(M947),"",vlookup(M947,Pacing!$A$1:$Z$213,15))</f>
        <v/>
      </c>
      <c r="I947" s="86">
        <f t="shared" ref="I947:M947" si="1007">I946</f>
        <v>146</v>
      </c>
      <c r="J947" s="86">
        <f t="shared" si="1007"/>
        <v>147</v>
      </c>
      <c r="K947" s="86">
        <f t="shared" si="1007"/>
        <v>148</v>
      </c>
      <c r="L947" s="86">
        <f t="shared" si="1007"/>
        <v>149</v>
      </c>
      <c r="M947" s="86">
        <f t="shared" si="1007"/>
        <v>150</v>
      </c>
    </row>
    <row r="948" ht="15.75" customHeight="1">
      <c r="A948" s="69"/>
      <c r="B948" s="69"/>
      <c r="C948" s="71"/>
      <c r="D948" s="91" t="str">
        <f>if(isblank(I948),"",vlookup(I948,Pacing!$A$1:$Z$213,16))</f>
        <v/>
      </c>
      <c r="E948" s="89" t="str">
        <f>if(isblank(J948),"",vlookup(J948,Pacing!$A$1:$Z$213,16))</f>
        <v/>
      </c>
      <c r="F948" s="89" t="str">
        <f>if(isblank(K948),"",vlookup(K948,Pacing!$A$1:$Z$213,16))</f>
        <v/>
      </c>
      <c r="G948" s="89" t="str">
        <f>if(isblank(L948),"",vlookup(L948,Pacing!$A$1:$Z$213,16))</f>
        <v/>
      </c>
      <c r="H948" s="89" t="str">
        <f>if(isblank(M948),"",vlookup(M948,Pacing!$A$1:$Z$213,16))</f>
        <v/>
      </c>
      <c r="I948" s="86">
        <f t="shared" ref="I948:M948" si="1008">I947</f>
        <v>146</v>
      </c>
      <c r="J948" s="86">
        <f t="shared" si="1008"/>
        <v>147</v>
      </c>
      <c r="K948" s="86">
        <f t="shared" si="1008"/>
        <v>148</v>
      </c>
      <c r="L948" s="86">
        <f t="shared" si="1008"/>
        <v>149</v>
      </c>
      <c r="M948" s="86">
        <f t="shared" si="1008"/>
        <v>150</v>
      </c>
    </row>
    <row r="949" ht="15.75" customHeight="1">
      <c r="A949" s="69"/>
      <c r="B949" s="69"/>
      <c r="C949" s="71"/>
      <c r="D949" s="91" t="str">
        <f>if(isblank(I949),"",vlookup(I949,Pacing!$A$1:$Z$213,17))</f>
        <v/>
      </c>
      <c r="E949" s="89" t="str">
        <f>if(isblank(J949),"",vlookup(J949,Pacing!$A$1:$Z$213,17))</f>
        <v/>
      </c>
      <c r="F949" s="89" t="str">
        <f>if(isblank(K949),"",vlookup(K949,Pacing!$A$1:$Z$213,17))</f>
        <v/>
      </c>
      <c r="G949" s="89" t="str">
        <f>if(isblank(L949),"",vlookup(L949,Pacing!$A$1:$Z$213,17))</f>
        <v/>
      </c>
      <c r="H949" s="89" t="str">
        <f>if(isblank(M949),"",vlookup(M949,Pacing!$A$1:$Z$213,17))</f>
        <v/>
      </c>
      <c r="I949" s="86">
        <f t="shared" ref="I949:M949" si="1009">I948</f>
        <v>146</v>
      </c>
      <c r="J949" s="86">
        <f t="shared" si="1009"/>
        <v>147</v>
      </c>
      <c r="K949" s="86">
        <f t="shared" si="1009"/>
        <v>148</v>
      </c>
      <c r="L949" s="86">
        <f t="shared" si="1009"/>
        <v>149</v>
      </c>
      <c r="M949" s="86">
        <f t="shared" si="1009"/>
        <v>150</v>
      </c>
    </row>
    <row r="950" ht="15.75" customHeight="1">
      <c r="A950" s="69"/>
      <c r="B950" s="69"/>
      <c r="C950" s="71"/>
      <c r="D950" s="91" t="str">
        <f>if(isblank(I950),"",vlookup(I950,Pacing!$A$1:$Z$213,18))</f>
        <v/>
      </c>
      <c r="E950" s="91" t="str">
        <f>if(isblank(J950),"",vlookup(J950,Pacing!$A$1:$Z$213,18))</f>
        <v/>
      </c>
      <c r="F950" s="91" t="str">
        <f>if(isblank(K950),"",vlookup(K950,Pacing!$A$1:$Z$213,18))</f>
        <v/>
      </c>
      <c r="G950" s="91" t="str">
        <f>if(isblank(L950),"",vlookup(L950,Pacing!$A$1:$Z$213,18))</f>
        <v/>
      </c>
      <c r="H950" s="91" t="str">
        <f>if(isblank(M950),"",vlookup(M950,Pacing!$A$1:$Z$213,18))</f>
        <v/>
      </c>
      <c r="I950" s="86">
        <f t="shared" ref="I950:M950" si="1010">I949</f>
        <v>146</v>
      </c>
      <c r="J950" s="86">
        <f t="shared" si="1010"/>
        <v>147</v>
      </c>
      <c r="K950" s="86">
        <f t="shared" si="1010"/>
        <v>148</v>
      </c>
      <c r="L950" s="86">
        <f t="shared" si="1010"/>
        <v>149</v>
      </c>
      <c r="M950" s="86">
        <f t="shared" si="1010"/>
        <v>150</v>
      </c>
    </row>
    <row r="951" ht="15.75" customHeight="1">
      <c r="A951" s="69"/>
      <c r="B951" s="69"/>
      <c r="C951" s="71"/>
      <c r="D951" s="91" t="str">
        <f>if(isblank(I951),"",vlookup(I951,Pacing!$A$1:$Z$213,19))</f>
        <v/>
      </c>
      <c r="E951" s="89" t="str">
        <f>if(isblank(J951),"",vlookup(J951,Pacing!$A$1:$Z$213,19))</f>
        <v/>
      </c>
      <c r="F951" s="89" t="str">
        <f>if(isblank(K951),"",vlookup(K951,Pacing!$A$1:$Z$213,19))</f>
        <v/>
      </c>
      <c r="G951" s="89" t="str">
        <f>if(isblank(L951),"",vlookup(L951,Pacing!$A$1:$Z$213,19))</f>
        <v/>
      </c>
      <c r="H951" s="89" t="str">
        <f>if(isblank(M951),"",vlookup(M951,Pacing!$A$1:$Z$213,19))</f>
        <v/>
      </c>
      <c r="I951" s="86">
        <f t="shared" ref="I951:M951" si="1011">I950</f>
        <v>146</v>
      </c>
      <c r="J951" s="86">
        <f t="shared" si="1011"/>
        <v>147</v>
      </c>
      <c r="K951" s="86">
        <f t="shared" si="1011"/>
        <v>148</v>
      </c>
      <c r="L951" s="86">
        <f t="shared" si="1011"/>
        <v>149</v>
      </c>
      <c r="M951" s="86">
        <f t="shared" si="1011"/>
        <v>150</v>
      </c>
    </row>
    <row r="952" ht="15.75" customHeight="1">
      <c r="A952" s="69"/>
      <c r="B952" s="69"/>
      <c r="C952" s="71"/>
      <c r="D952" s="91" t="str">
        <f>if(isblank(I952),"",vlookup(I952,Pacing!$A$1:$Z$213,20))</f>
        <v/>
      </c>
      <c r="E952" s="89" t="str">
        <f>if(isblank(J952),"",vlookup(J952,Pacing!$A$1:$Z$213,20))</f>
        <v/>
      </c>
      <c r="F952" s="89" t="str">
        <f>if(isblank(K952),"",vlookup(K952,Pacing!$A$1:$Z$213,20))</f>
        <v/>
      </c>
      <c r="G952" s="89" t="str">
        <f>if(isblank(L952),"",vlookup(L952,Pacing!$A$1:$Z$213,20))</f>
        <v/>
      </c>
      <c r="H952" s="89" t="str">
        <f>if(isblank(M952),"",vlookup(M952,Pacing!$A$1:$Z$213,20))</f>
        <v/>
      </c>
      <c r="I952" s="86">
        <f t="shared" ref="I952:M952" si="1012">I951</f>
        <v>146</v>
      </c>
      <c r="J952" s="86">
        <f t="shared" si="1012"/>
        <v>147</v>
      </c>
      <c r="K952" s="86">
        <f t="shared" si="1012"/>
        <v>148</v>
      </c>
      <c r="L952" s="86">
        <f t="shared" si="1012"/>
        <v>149</v>
      </c>
      <c r="M952" s="86">
        <f t="shared" si="1012"/>
        <v>150</v>
      </c>
    </row>
    <row r="953" ht="15.75" customHeight="1">
      <c r="A953" s="69"/>
      <c r="B953" s="69"/>
      <c r="C953" s="71"/>
      <c r="D953" s="91" t="str">
        <f>if(isblank(I953),"",vlookup(I953,Pacing!$A$1:$Z$213,21))</f>
        <v/>
      </c>
      <c r="E953" s="89" t="str">
        <f>if(isblank(J953),"",vlookup(J953,Pacing!$A$1:$Z$213,21))</f>
        <v/>
      </c>
      <c r="F953" s="89" t="str">
        <f>if(isblank(K953),"",vlookup(K953,Pacing!$A$1:$Z$213,21))</f>
        <v/>
      </c>
      <c r="G953" s="89" t="str">
        <f>if(isblank(L953),"",vlookup(L953,Pacing!$A$1:$Z$213,21))</f>
        <v/>
      </c>
      <c r="H953" s="89" t="str">
        <f>if(isblank(M953),"",vlookup(M953,Pacing!$A$1:$Z$213,21))</f>
        <v/>
      </c>
      <c r="I953" s="86">
        <f t="shared" ref="I953:M953" si="1013">I952</f>
        <v>146</v>
      </c>
      <c r="J953" s="86">
        <f t="shared" si="1013"/>
        <v>147</v>
      </c>
      <c r="K953" s="86">
        <f t="shared" si="1013"/>
        <v>148</v>
      </c>
      <c r="L953" s="86">
        <f t="shared" si="1013"/>
        <v>149</v>
      </c>
      <c r="M953" s="86">
        <f t="shared" si="1013"/>
        <v>150</v>
      </c>
    </row>
    <row r="954" ht="15.75" customHeight="1">
      <c r="A954" s="69"/>
      <c r="B954" s="69"/>
      <c r="C954" s="71"/>
      <c r="D954" s="91" t="str">
        <f>if(isblank(I954),"",vlookup(I954,Pacing!$A$1:$Z$213,22))</f>
        <v/>
      </c>
      <c r="E954" s="91" t="str">
        <f>if(isblank(J954),"",vlookup(J954,Pacing!$A$1:$Z$213,22))</f>
        <v/>
      </c>
      <c r="F954" s="91" t="str">
        <f>if(isblank(K954),"",vlookup(K954,Pacing!$A$1:$Z$213,22))</f>
        <v/>
      </c>
      <c r="G954" s="91" t="str">
        <f>if(isblank(L954),"",vlookup(L954,Pacing!$A$1:$Z$213,22))</f>
        <v/>
      </c>
      <c r="H954" s="91" t="str">
        <f>if(isblank(M954),"",vlookup(M954,Pacing!$A$1:$Z$213,22))</f>
        <v/>
      </c>
      <c r="I954" s="86">
        <f t="shared" ref="I954:M954" si="1014">I953</f>
        <v>146</v>
      </c>
      <c r="J954" s="86">
        <f t="shared" si="1014"/>
        <v>147</v>
      </c>
      <c r="K954" s="86">
        <f t="shared" si="1014"/>
        <v>148</v>
      </c>
      <c r="L954" s="86">
        <f t="shared" si="1014"/>
        <v>149</v>
      </c>
      <c r="M954" s="86">
        <f t="shared" si="1014"/>
        <v>150</v>
      </c>
    </row>
    <row r="955" ht="15.75" customHeight="1">
      <c r="A955" s="69"/>
      <c r="B955" s="69"/>
      <c r="C955" s="71"/>
      <c r="D955" s="91" t="str">
        <f>if(isblank(I955),"",vlookup(I955,Pacing!$A$1:$Z$213,23))</f>
        <v/>
      </c>
      <c r="E955" s="89" t="str">
        <f>if(isblank(J955),"",vlookup(J955,Pacing!$A$1:$Z$213,23))</f>
        <v/>
      </c>
      <c r="F955" s="89" t="str">
        <f>if(isblank(K955),"",vlookup(K955,Pacing!$A$1:$Z$213,23))</f>
        <v/>
      </c>
      <c r="G955" s="89" t="str">
        <f>if(isblank(L955),"",vlookup(L955,Pacing!$A$1:$Z$213,23))</f>
        <v/>
      </c>
      <c r="H955" s="89" t="str">
        <f>if(isblank(M955),"",vlookup(M955,Pacing!$A$1:$Z$213,23))</f>
        <v/>
      </c>
      <c r="I955" s="86">
        <f t="shared" ref="I955:M955" si="1015">I954</f>
        <v>146</v>
      </c>
      <c r="J955" s="86">
        <f t="shared" si="1015"/>
        <v>147</v>
      </c>
      <c r="K955" s="86">
        <f t="shared" si="1015"/>
        <v>148</v>
      </c>
      <c r="L955" s="86">
        <f t="shared" si="1015"/>
        <v>149</v>
      </c>
      <c r="M955" s="86">
        <f t="shared" si="1015"/>
        <v>150</v>
      </c>
    </row>
    <row r="956" ht="15.75" customHeight="1">
      <c r="A956" s="69"/>
      <c r="B956" s="69"/>
      <c r="C956" s="71"/>
      <c r="D956" s="91" t="str">
        <f>if(isblank(I956),"",vlookup(I956,Pacing!$A$1:$Z$213,24))</f>
        <v/>
      </c>
      <c r="E956" s="89" t="str">
        <f>if(isblank(J956),"",vlookup(J956,Pacing!$A$1:$Z$213,24))</f>
        <v/>
      </c>
      <c r="F956" s="89" t="str">
        <f>if(isblank(K956),"",vlookup(K956,Pacing!$A$1:$Z$213,24))</f>
        <v/>
      </c>
      <c r="G956" s="89" t="str">
        <f>if(isblank(L956),"",vlookup(L956,Pacing!$A$1:$Z$213,24))</f>
        <v/>
      </c>
      <c r="H956" s="89" t="str">
        <f>if(isblank(M956),"",vlookup(M956,Pacing!$A$1:$Z$213,24))</f>
        <v/>
      </c>
      <c r="I956" s="86">
        <f t="shared" ref="I956:M956" si="1016">I955</f>
        <v>146</v>
      </c>
      <c r="J956" s="86">
        <f t="shared" si="1016"/>
        <v>147</v>
      </c>
      <c r="K956" s="86">
        <f t="shared" si="1016"/>
        <v>148</v>
      </c>
      <c r="L956" s="86">
        <f t="shared" si="1016"/>
        <v>149</v>
      </c>
      <c r="M956" s="86">
        <f t="shared" si="1016"/>
        <v>150</v>
      </c>
    </row>
    <row r="957" ht="15.75" customHeight="1">
      <c r="A957" s="69"/>
      <c r="B957" s="69"/>
      <c r="C957" s="71"/>
      <c r="D957" s="91" t="str">
        <f>if(isblank(I957),"",vlookup(I957,Pacing!$A$1:$Z$213,25))</f>
        <v/>
      </c>
      <c r="E957" s="89" t="str">
        <f>if(isblank(J957),"",vlookup(J957,Pacing!$A$1:$Z$213,25))</f>
        <v/>
      </c>
      <c r="F957" s="89" t="str">
        <f>if(isblank(K957),"",vlookup(K957,Pacing!$A$1:$Z$213,25))</f>
        <v/>
      </c>
      <c r="G957" s="89" t="str">
        <f>if(isblank(L957),"",vlookup(L957,Pacing!$A$1:$Z$213,25))</f>
        <v/>
      </c>
      <c r="H957" s="89" t="str">
        <f>if(isblank(M957),"",vlookup(M957,Pacing!$A$1:$Z$213,25))</f>
        <v/>
      </c>
      <c r="I957" s="86">
        <f t="shared" ref="I957:M957" si="1017">I956</f>
        <v>146</v>
      </c>
      <c r="J957" s="86">
        <f t="shared" si="1017"/>
        <v>147</v>
      </c>
      <c r="K957" s="86">
        <f t="shared" si="1017"/>
        <v>148</v>
      </c>
      <c r="L957" s="86">
        <f t="shared" si="1017"/>
        <v>149</v>
      </c>
      <c r="M957" s="86">
        <f t="shared" si="1017"/>
        <v>150</v>
      </c>
    </row>
    <row r="958" ht="15.75" customHeight="1">
      <c r="A958" s="69"/>
      <c r="B958" s="69"/>
      <c r="C958" s="71"/>
      <c r="D958" s="91" t="str">
        <f>if(isblank(I958),"",vlookup(I958,Pacing!$A$1:$Z$213,26))</f>
        <v/>
      </c>
      <c r="E958" s="89" t="str">
        <f>if(isblank(J958),"",vlookup(J958,Pacing!$A$1:$Z$213,26))</f>
        <v/>
      </c>
      <c r="F958" s="89" t="str">
        <f>if(isblank(K958),"",vlookup(K958,Pacing!$A$1:$Z$213,26))</f>
        <v/>
      </c>
      <c r="G958" s="89" t="str">
        <f>if(isblank(L958),"",vlookup(L958,Pacing!$A$1:$Z$213,26))</f>
        <v/>
      </c>
      <c r="H958" s="89" t="str">
        <f>if(isblank(M958),"",vlookup(M958,Pacing!$A$1:$Z$213,26))</f>
        <v/>
      </c>
      <c r="I958" s="86">
        <f t="shared" ref="I958:M958" si="1018">I957</f>
        <v>146</v>
      </c>
      <c r="J958" s="86">
        <f t="shared" si="1018"/>
        <v>147</v>
      </c>
      <c r="K958" s="86">
        <f t="shared" si="1018"/>
        <v>148</v>
      </c>
      <c r="L958" s="86">
        <f t="shared" si="1018"/>
        <v>149</v>
      </c>
      <c r="M958" s="86">
        <f t="shared" si="1018"/>
        <v>150</v>
      </c>
    </row>
    <row r="959" ht="15.75" customHeight="1">
      <c r="A959" s="137"/>
      <c r="B959" s="137"/>
      <c r="C959" s="138"/>
      <c r="D959" s="139">
        <f>H932+1</f>
        <v>151</v>
      </c>
      <c r="E959" s="139">
        <f t="shared" ref="E959:H959" si="1019">D959+1</f>
        <v>152</v>
      </c>
      <c r="F959" s="139">
        <f t="shared" si="1019"/>
        <v>153</v>
      </c>
      <c r="G959" s="139">
        <f t="shared" si="1019"/>
        <v>154</v>
      </c>
      <c r="H959" s="139">
        <f t="shared" si="1019"/>
        <v>155</v>
      </c>
      <c r="I959" s="55">
        <f t="shared" ref="I959:M959" si="1020">D959</f>
        <v>151</v>
      </c>
      <c r="J959" s="55">
        <f t="shared" si="1020"/>
        <v>152</v>
      </c>
      <c r="K959" s="55">
        <f t="shared" si="1020"/>
        <v>153</v>
      </c>
      <c r="L959" s="55">
        <f t="shared" si="1020"/>
        <v>154</v>
      </c>
      <c r="M959" s="55">
        <f t="shared" si="1020"/>
        <v>155</v>
      </c>
    </row>
    <row r="960" ht="15.75" customHeight="1">
      <c r="A960" s="69">
        <f>B960+1</f>
        <v>361</v>
      </c>
      <c r="B960" s="69">
        <f t="shared" ref="B960:B967" si="1022">$C$960*10</f>
        <v>360</v>
      </c>
      <c r="C960" s="71">
        <f>C933+1</f>
        <v>36</v>
      </c>
      <c r="D960" s="72">
        <f>D933+7</f>
        <v>46510</v>
      </c>
      <c r="E960" s="72">
        <f t="shared" ref="E960:H960" si="1021">D960+1</f>
        <v>46511</v>
      </c>
      <c r="F960" s="72">
        <f t="shared" si="1021"/>
        <v>46512</v>
      </c>
      <c r="G960" s="72">
        <f t="shared" si="1021"/>
        <v>46513</v>
      </c>
      <c r="H960" s="72">
        <f t="shared" si="1021"/>
        <v>46514</v>
      </c>
      <c r="I960" s="62" t="s">
        <v>42</v>
      </c>
    </row>
    <row r="961" ht="15.75" customHeight="1">
      <c r="A961" s="75">
        <f>B961+2</f>
        <v>362</v>
      </c>
      <c r="B961" s="75">
        <f t="shared" si="1022"/>
        <v>360</v>
      </c>
      <c r="C961" s="76"/>
      <c r="D961" s="131" t="str">
        <f>if(isblank(I961),"",vlookup(I961,Pacing!$A$1:$Z$213,2))</f>
        <v/>
      </c>
      <c r="E961" s="131" t="str">
        <f>if(isblank(J961),"",vlookup(J961,Pacing!$A$1:$Z$213,2))</f>
        <v/>
      </c>
      <c r="F961" s="131" t="str">
        <f>if(isblank(K961),"",vlookup(K961,Pacing!$A$1:$Z$213,2))</f>
        <v/>
      </c>
      <c r="G961" s="131" t="str">
        <f>if(isblank(L961),"",vlookup(L961,Pacing!$A$1:$Z$213,2))</f>
        <v/>
      </c>
      <c r="H961" s="131" t="str">
        <f>if(isblank(M961),"",vlookup(M961,Pacing!$A$1:$Z$213,2))</f>
        <v/>
      </c>
      <c r="I961" s="78">
        <f t="shared" ref="I961:M961" si="1023">I959</f>
        <v>151</v>
      </c>
      <c r="J961" s="78">
        <f t="shared" si="1023"/>
        <v>152</v>
      </c>
      <c r="K961" s="78">
        <f t="shared" si="1023"/>
        <v>153</v>
      </c>
      <c r="L961" s="78">
        <f t="shared" si="1023"/>
        <v>154</v>
      </c>
      <c r="M961" s="78">
        <f t="shared" si="1023"/>
        <v>155</v>
      </c>
    </row>
    <row r="962" ht="15.75" customHeight="1">
      <c r="A962" s="69">
        <f>B962+3</f>
        <v>363</v>
      </c>
      <c r="B962" s="69">
        <f t="shared" si="1022"/>
        <v>360</v>
      </c>
      <c r="C962" s="76"/>
      <c r="D962" s="91" t="str">
        <f>if(isblank(I962),"",vlookup(I962,Pacing!$A$1:$Z$213,3))</f>
        <v/>
      </c>
      <c r="E962" s="89" t="str">
        <f>if(isblank(J962),"",vlookup(J962,Pacing!$A$1:$Z$213,3))</f>
        <v/>
      </c>
      <c r="F962" s="89" t="str">
        <f>if(isblank(K962),"",vlookup(K962,Pacing!$A$1:$Z$213,3))</f>
        <v/>
      </c>
      <c r="G962" s="89" t="str">
        <f>if(isblank(L962),"",vlookup(L962,Pacing!$A$1:$Z$213,3))</f>
        <v/>
      </c>
      <c r="H962" s="89" t="str">
        <f>if(isblank(M962),"",vlookup(M962,Pacing!$A$1:$Z$213,3))</f>
        <v/>
      </c>
      <c r="I962" s="86">
        <f t="shared" ref="I962:M962" si="1024">I961</f>
        <v>151</v>
      </c>
      <c r="J962" s="86">
        <f t="shared" si="1024"/>
        <v>152</v>
      </c>
      <c r="K962" s="86">
        <f t="shared" si="1024"/>
        <v>153</v>
      </c>
      <c r="L962" s="86">
        <f t="shared" si="1024"/>
        <v>154</v>
      </c>
      <c r="M962" s="86">
        <f t="shared" si="1024"/>
        <v>155</v>
      </c>
    </row>
    <row r="963" ht="15.75" customHeight="1">
      <c r="A963" s="69">
        <f>B963+4</f>
        <v>364</v>
      </c>
      <c r="B963" s="69">
        <f t="shared" si="1022"/>
        <v>360</v>
      </c>
      <c r="C963" s="76"/>
      <c r="D963" s="91" t="str">
        <f>if(isblank(I963),"",vlookup(I963,Pacing!$A$1:$Z$213,4))</f>
        <v/>
      </c>
      <c r="E963" s="89" t="str">
        <f>if(isblank(J963),"",vlookup(J963,Pacing!$A$1:$Z$213,4))</f>
        <v/>
      </c>
      <c r="F963" s="89" t="str">
        <f>if(isblank(K963),"",vlookup(K963,Pacing!$A$1:$Z$213,4))</f>
        <v/>
      </c>
      <c r="G963" s="89" t="str">
        <f>if(isblank(L963),"",vlookup(L963,Pacing!$A$1:$Z$213,4))</f>
        <v/>
      </c>
      <c r="H963" s="89" t="str">
        <f>if(isblank(M963),"",vlookup(M963,Pacing!$A$1:$Z$213,4))</f>
        <v/>
      </c>
      <c r="I963" s="86">
        <f t="shared" ref="I963:M963" si="1025">I962</f>
        <v>151</v>
      </c>
      <c r="J963" s="86">
        <f t="shared" si="1025"/>
        <v>152</v>
      </c>
      <c r="K963" s="86">
        <f t="shared" si="1025"/>
        <v>153</v>
      </c>
      <c r="L963" s="86">
        <f t="shared" si="1025"/>
        <v>154</v>
      </c>
      <c r="M963" s="86">
        <f t="shared" si="1025"/>
        <v>155</v>
      </c>
    </row>
    <row r="964" ht="15.75" customHeight="1">
      <c r="A964" s="69">
        <f>B964+5</f>
        <v>365</v>
      </c>
      <c r="B964" s="69">
        <f t="shared" si="1022"/>
        <v>360</v>
      </c>
      <c r="C964" s="76"/>
      <c r="D964" s="91" t="str">
        <f>if(isblank(I964),"",vlookup(I964,Pacing!$A$1:$Z$213,5))</f>
        <v/>
      </c>
      <c r="E964" s="89" t="str">
        <f>if(isblank(J964),"",vlookup(J964,Pacing!$A$1:$Z$213,5))</f>
        <v/>
      </c>
      <c r="F964" s="89" t="str">
        <f>if(isblank(K964),"",vlookup(K964,Pacing!$A$1:$Z$213,5))</f>
        <v/>
      </c>
      <c r="G964" s="89" t="str">
        <f>if(isblank(L964),"",vlookup(L964,Pacing!$A$1:$Z$213,5))</f>
        <v/>
      </c>
      <c r="H964" s="89" t="str">
        <f>if(isblank(M964),"",vlookup(M964,Pacing!$A$1:$Z$213,5))</f>
        <v/>
      </c>
      <c r="I964" s="86">
        <f t="shared" ref="I964:M964" si="1026">I963</f>
        <v>151</v>
      </c>
      <c r="J964" s="86">
        <f t="shared" si="1026"/>
        <v>152</v>
      </c>
      <c r="K964" s="86">
        <f t="shared" si="1026"/>
        <v>153</v>
      </c>
      <c r="L964" s="86">
        <f t="shared" si="1026"/>
        <v>154</v>
      </c>
      <c r="M964" s="86">
        <f t="shared" si="1026"/>
        <v>155</v>
      </c>
    </row>
    <row r="965" ht="15.75" customHeight="1">
      <c r="A965" s="69">
        <f>B965+6</f>
        <v>366</v>
      </c>
      <c r="B965" s="69">
        <f t="shared" si="1022"/>
        <v>360</v>
      </c>
      <c r="C965" s="76"/>
      <c r="D965" s="91" t="str">
        <f>if(isblank(I965),"",vlookup(I965,Pacing!$A$1:$Z$213,6))</f>
        <v/>
      </c>
      <c r="E965" s="89" t="str">
        <f>if(isblank(J965),"",vlookup(J965,Pacing!$A$1:$Z$213,6))</f>
        <v/>
      </c>
      <c r="F965" s="89" t="str">
        <f>if(isblank(K965),"",vlookup(K965,Pacing!$A$1:$Z$213,6))</f>
        <v/>
      </c>
      <c r="G965" s="89" t="str">
        <f>if(isblank(L965),"",vlookup(L965,Pacing!$A$1:$Z$213,6))</f>
        <v/>
      </c>
      <c r="H965" s="89" t="str">
        <f>if(isblank(M965),"",vlookup(M965,Pacing!$A$1:$Z$213,6))</f>
        <v/>
      </c>
      <c r="I965" s="86">
        <f t="shared" ref="I965:M965" si="1027">I964</f>
        <v>151</v>
      </c>
      <c r="J965" s="86">
        <f t="shared" si="1027"/>
        <v>152</v>
      </c>
      <c r="K965" s="86">
        <f t="shared" si="1027"/>
        <v>153</v>
      </c>
      <c r="L965" s="86">
        <f t="shared" si="1027"/>
        <v>154</v>
      </c>
      <c r="M965" s="86">
        <f t="shared" si="1027"/>
        <v>155</v>
      </c>
    </row>
    <row r="966" ht="15.75" customHeight="1">
      <c r="A966" s="69">
        <f>B966+7</f>
        <v>367</v>
      </c>
      <c r="B966" s="69">
        <f t="shared" si="1022"/>
        <v>360</v>
      </c>
      <c r="C966" s="76"/>
      <c r="D966" s="91" t="str">
        <f>if(isblank(I966),"",vlookup(I966,Pacing!$A$1:$Z$213,7))</f>
        <v/>
      </c>
      <c r="E966" s="89" t="str">
        <f>if(isblank(J966),"",vlookup(J966,Pacing!$A$1:$Z$213,7))</f>
        <v/>
      </c>
      <c r="F966" s="89" t="str">
        <f>if(isblank(K966),"",vlookup(K966,Pacing!$A$1:$Z$213,7))</f>
        <v/>
      </c>
      <c r="G966" s="89" t="str">
        <f>if(isblank(L966),"",vlookup(L966,Pacing!$A$1:$Z$213,7))</f>
        <v/>
      </c>
      <c r="H966" s="89" t="str">
        <f>if(isblank(M966),"",vlookup(M966,Pacing!$A$1:$Z$213,7))</f>
        <v/>
      </c>
      <c r="I966" s="86">
        <f t="shared" ref="I966:M966" si="1028">I965</f>
        <v>151</v>
      </c>
      <c r="J966" s="86">
        <f t="shared" si="1028"/>
        <v>152</v>
      </c>
      <c r="K966" s="86">
        <f t="shared" si="1028"/>
        <v>153</v>
      </c>
      <c r="L966" s="86">
        <f t="shared" si="1028"/>
        <v>154</v>
      </c>
      <c r="M966" s="86">
        <f t="shared" si="1028"/>
        <v>155</v>
      </c>
    </row>
    <row r="967" ht="15.75" customHeight="1">
      <c r="A967" s="69">
        <f>B967+8</f>
        <v>368</v>
      </c>
      <c r="B967" s="69">
        <f t="shared" si="1022"/>
        <v>360</v>
      </c>
      <c r="C967" s="95"/>
      <c r="D967" s="91" t="str">
        <f>if(isblank(I967),"",vlookup(I967,Pacing!$A$1:$Z$213,8))</f>
        <v/>
      </c>
      <c r="E967" s="89" t="str">
        <f>if(isblank(J967),"",vlookup(J967,Pacing!$A$1:$Z$213,8))</f>
        <v/>
      </c>
      <c r="F967" s="89" t="str">
        <f>if(isblank(K967),"",vlookup(K967,Pacing!$A$1:$Z$213,8))</f>
        <v/>
      </c>
      <c r="G967" s="89" t="str">
        <f>if(isblank(L967),"",vlookup(L967,Pacing!$A$1:$Z$213,8))</f>
        <v/>
      </c>
      <c r="H967" s="89" t="str">
        <f>if(isblank(M967),"",vlookup(M967,Pacing!$A$1:$Z$213,8))</f>
        <v/>
      </c>
      <c r="I967" s="86">
        <f t="shared" ref="I967:M967" si="1029">I966</f>
        <v>151</v>
      </c>
      <c r="J967" s="86">
        <f t="shared" si="1029"/>
        <v>152</v>
      </c>
      <c r="K967" s="86">
        <f t="shared" si="1029"/>
        <v>153</v>
      </c>
      <c r="L967" s="86">
        <f t="shared" si="1029"/>
        <v>154</v>
      </c>
      <c r="M967" s="86">
        <f t="shared" si="1029"/>
        <v>155</v>
      </c>
    </row>
    <row r="968" ht="15.75" customHeight="1">
      <c r="A968" s="69"/>
      <c r="B968" s="69"/>
      <c r="C968" s="71"/>
      <c r="D968" s="91" t="str">
        <f>if(isblank(I968),"",vlookup(I968,Pacing!$A$1:$Z$213,9))</f>
        <v/>
      </c>
      <c r="E968" s="89" t="str">
        <f>if(isblank(J968),"",vlookup(J968,Pacing!$A$1:$Z$213,9))</f>
        <v/>
      </c>
      <c r="F968" s="89" t="str">
        <f>if(isblank(K968),"",vlookup(K968,Pacing!$A$1:$Z$213,9))</f>
        <v/>
      </c>
      <c r="G968" s="89" t="str">
        <f>if(isblank(L968),"",vlookup(L968,Pacing!$A$1:$Z$213,9))</f>
        <v/>
      </c>
      <c r="H968" s="89" t="str">
        <f>if(isblank(M968),"",vlookup(M968,Pacing!$A$1:$Z$213,9))</f>
        <v/>
      </c>
      <c r="I968" s="86">
        <f t="shared" ref="I968:M968" si="1030">I967</f>
        <v>151</v>
      </c>
      <c r="J968" s="86">
        <f t="shared" si="1030"/>
        <v>152</v>
      </c>
      <c r="K968" s="86">
        <f t="shared" si="1030"/>
        <v>153</v>
      </c>
      <c r="L968" s="86">
        <f t="shared" si="1030"/>
        <v>154</v>
      </c>
      <c r="M968" s="86">
        <f t="shared" si="1030"/>
        <v>155</v>
      </c>
    </row>
    <row r="969" ht="15.75" customHeight="1">
      <c r="A969" s="69"/>
      <c r="B969" s="69"/>
      <c r="C969" s="71"/>
      <c r="D969" s="91" t="str">
        <f>if(isblank(I969),"",vlookup(I969,Pacing!$A$1:$Z$213,10))</f>
        <v/>
      </c>
      <c r="E969" s="89" t="str">
        <f>if(isblank(J969),"",vlookup(J969,Pacing!$A$1:$Z$213,10))</f>
        <v/>
      </c>
      <c r="F969" s="89" t="str">
        <f>if(isblank(K969),"",vlookup(K969,Pacing!$A$1:$Z$213,10))</f>
        <v/>
      </c>
      <c r="G969" s="89" t="str">
        <f>if(isblank(L969),"",vlookup(L969,Pacing!$A$1:$Z$213,10))</f>
        <v/>
      </c>
      <c r="H969" s="89" t="str">
        <f>if(isblank(M969),"",vlookup(M969,Pacing!$A$1:$Z$213,10))</f>
        <v/>
      </c>
      <c r="I969" s="86">
        <f t="shared" ref="I969:M969" si="1031">I968</f>
        <v>151</v>
      </c>
      <c r="J969" s="86">
        <f t="shared" si="1031"/>
        <v>152</v>
      </c>
      <c r="K969" s="86">
        <f t="shared" si="1031"/>
        <v>153</v>
      </c>
      <c r="L969" s="86">
        <f t="shared" si="1031"/>
        <v>154</v>
      </c>
      <c r="M969" s="86">
        <f t="shared" si="1031"/>
        <v>155</v>
      </c>
    </row>
    <row r="970" ht="15.75" customHeight="1">
      <c r="A970" s="69"/>
      <c r="B970" s="69"/>
      <c r="C970" s="71"/>
      <c r="D970" s="91" t="str">
        <f>if(isblank(I970),"",vlookup(I970,Pacing!$A$1:$Z$213,11))</f>
        <v/>
      </c>
      <c r="E970" s="89" t="str">
        <f>if(isblank(J970),"",vlookup(J970,Pacing!$A$1:$Z$213,11))</f>
        <v/>
      </c>
      <c r="F970" s="89" t="str">
        <f>if(isblank(K970),"",vlookup(K970,Pacing!$A$1:$Z$213,11))</f>
        <v/>
      </c>
      <c r="G970" s="89" t="str">
        <f>if(isblank(L970),"",vlookup(L970,Pacing!$A$1:$Z$213,11))</f>
        <v/>
      </c>
      <c r="H970" s="89" t="str">
        <f>if(isblank(M970),"",vlookup(M970,Pacing!$A$1:$Z$213,11))</f>
        <v/>
      </c>
      <c r="I970" s="86">
        <f t="shared" ref="I970:M970" si="1032">I969</f>
        <v>151</v>
      </c>
      <c r="J970" s="86">
        <f t="shared" si="1032"/>
        <v>152</v>
      </c>
      <c r="K970" s="86">
        <f t="shared" si="1032"/>
        <v>153</v>
      </c>
      <c r="L970" s="86">
        <f t="shared" si="1032"/>
        <v>154</v>
      </c>
      <c r="M970" s="86">
        <f t="shared" si="1032"/>
        <v>155</v>
      </c>
    </row>
    <row r="971" ht="15.75" customHeight="1">
      <c r="A971" s="69"/>
      <c r="B971" s="69"/>
      <c r="C971" s="71"/>
      <c r="D971" s="91" t="str">
        <f>if(isblank(I971),"",vlookup(I971,Pacing!$A$1:$Z$213,12))</f>
        <v/>
      </c>
      <c r="E971" s="91" t="str">
        <f>if(isblank(J971),"",vlookup(J971,Pacing!$A$1:$Z$213,12))</f>
        <v/>
      </c>
      <c r="F971" s="91" t="str">
        <f>if(isblank(K971),"",vlookup(K971,Pacing!$A$1:$Z$213,12))</f>
        <v/>
      </c>
      <c r="G971" s="91" t="str">
        <f>if(isblank(L971),"",vlookup(L971,Pacing!$A$1:$Z$213,12))</f>
        <v/>
      </c>
      <c r="H971" s="91" t="str">
        <f>if(isblank(M971),"",vlookup(M971,Pacing!$A$1:$Z$213,12))</f>
        <v/>
      </c>
      <c r="I971" s="86">
        <f t="shared" ref="I971:M971" si="1033">I970</f>
        <v>151</v>
      </c>
      <c r="J971" s="86">
        <f t="shared" si="1033"/>
        <v>152</v>
      </c>
      <c r="K971" s="86">
        <f t="shared" si="1033"/>
        <v>153</v>
      </c>
      <c r="L971" s="86">
        <f t="shared" si="1033"/>
        <v>154</v>
      </c>
      <c r="M971" s="86">
        <f t="shared" si="1033"/>
        <v>155</v>
      </c>
    </row>
    <row r="972" ht="15.75" customHeight="1">
      <c r="A972" s="69"/>
      <c r="B972" s="69"/>
      <c r="C972" s="71"/>
      <c r="D972" s="91" t="str">
        <f>if(isblank(I972),"",vlookup(I972,Pacing!$A$1:$Z$213,13))</f>
        <v/>
      </c>
      <c r="E972" s="91" t="str">
        <f>if(isblank(J972),"",vlookup(J972,Pacing!$A$1:$Z$213,13))</f>
        <v/>
      </c>
      <c r="F972" s="91" t="str">
        <f>if(isblank(K972),"",vlookup(K972,Pacing!$A$1:$Z$213,13))</f>
        <v/>
      </c>
      <c r="G972" s="91" t="str">
        <f>if(isblank(L972),"",vlookup(L972,Pacing!$A$1:$Z$213,13))</f>
        <v/>
      </c>
      <c r="H972" s="91" t="str">
        <f>if(isblank(M972),"",vlookup(M972,Pacing!$A$1:$Z$213,13))</f>
        <v/>
      </c>
      <c r="I972" s="86">
        <f t="shared" ref="I972:M972" si="1034">I971</f>
        <v>151</v>
      </c>
      <c r="J972" s="86">
        <f t="shared" si="1034"/>
        <v>152</v>
      </c>
      <c r="K972" s="86">
        <f t="shared" si="1034"/>
        <v>153</v>
      </c>
      <c r="L972" s="86">
        <f t="shared" si="1034"/>
        <v>154</v>
      </c>
      <c r="M972" s="86">
        <f t="shared" si="1034"/>
        <v>155</v>
      </c>
    </row>
    <row r="973" ht="15.75" customHeight="1">
      <c r="A973" s="69"/>
      <c r="B973" s="69"/>
      <c r="C973" s="71"/>
      <c r="D973" s="91" t="str">
        <f>if(isblank(I973),"",vlookup(I973,Pacing!$A$1:$Z$213,14))</f>
        <v/>
      </c>
      <c r="E973" s="89" t="str">
        <f>if(isblank(J973),"",vlookup(J973,Pacing!$A$1:$Z$213,14))</f>
        <v/>
      </c>
      <c r="F973" s="89" t="str">
        <f>if(isblank(K973),"",vlookup(K973,Pacing!$A$1:$Z$213,14))</f>
        <v/>
      </c>
      <c r="G973" s="89" t="str">
        <f>if(isblank(L973),"",vlookup(L973,Pacing!$A$1:$Z$213,14))</f>
        <v/>
      </c>
      <c r="H973" s="89" t="str">
        <f>if(isblank(M973),"",vlookup(M973,Pacing!$A$1:$Z$213,14))</f>
        <v/>
      </c>
      <c r="I973" s="86">
        <f t="shared" ref="I973:M973" si="1035">I972</f>
        <v>151</v>
      </c>
      <c r="J973" s="86">
        <f t="shared" si="1035"/>
        <v>152</v>
      </c>
      <c r="K973" s="86">
        <f t="shared" si="1035"/>
        <v>153</v>
      </c>
      <c r="L973" s="86">
        <f t="shared" si="1035"/>
        <v>154</v>
      </c>
      <c r="M973" s="86">
        <f t="shared" si="1035"/>
        <v>155</v>
      </c>
    </row>
    <row r="974" ht="15.75" customHeight="1">
      <c r="A974" s="69"/>
      <c r="B974" s="69"/>
      <c r="C974" s="71"/>
      <c r="D974" s="91" t="str">
        <f>if(isblank(I974),"",vlookup(I974,Pacing!$A$1:$Z$213,15))</f>
        <v/>
      </c>
      <c r="E974" s="89" t="str">
        <f>if(isblank(J974),"",vlookup(J974,Pacing!$A$1:$Z$213,15))</f>
        <v/>
      </c>
      <c r="F974" s="89" t="str">
        <f>if(isblank(K974),"",vlookup(K974,Pacing!$A$1:$Z$213,15))</f>
        <v/>
      </c>
      <c r="G974" s="89" t="str">
        <f>if(isblank(L974),"",vlookup(L974,Pacing!$A$1:$Z$213,15))</f>
        <v/>
      </c>
      <c r="H974" s="89" t="str">
        <f>if(isblank(M974),"",vlookup(M974,Pacing!$A$1:$Z$213,15))</f>
        <v/>
      </c>
      <c r="I974" s="86">
        <f t="shared" ref="I974:M974" si="1036">I973</f>
        <v>151</v>
      </c>
      <c r="J974" s="86">
        <f t="shared" si="1036"/>
        <v>152</v>
      </c>
      <c r="K974" s="86">
        <f t="shared" si="1036"/>
        <v>153</v>
      </c>
      <c r="L974" s="86">
        <f t="shared" si="1036"/>
        <v>154</v>
      </c>
      <c r="M974" s="86">
        <f t="shared" si="1036"/>
        <v>155</v>
      </c>
    </row>
    <row r="975" ht="15.75" customHeight="1">
      <c r="A975" s="69"/>
      <c r="B975" s="69"/>
      <c r="C975" s="71"/>
      <c r="D975" s="91" t="str">
        <f>if(isblank(I975),"",vlookup(I975,Pacing!$A$1:$Z$213,16))</f>
        <v/>
      </c>
      <c r="E975" s="89" t="str">
        <f>if(isblank(J975),"",vlookup(J975,Pacing!$A$1:$Z$213,16))</f>
        <v/>
      </c>
      <c r="F975" s="89" t="str">
        <f>if(isblank(K975),"",vlookup(K975,Pacing!$A$1:$Z$213,16))</f>
        <v/>
      </c>
      <c r="G975" s="89" t="str">
        <f>if(isblank(L975),"",vlookup(L975,Pacing!$A$1:$Z$213,16))</f>
        <v/>
      </c>
      <c r="H975" s="89" t="str">
        <f>if(isblank(M975),"",vlookup(M975,Pacing!$A$1:$Z$213,16))</f>
        <v/>
      </c>
      <c r="I975" s="86">
        <f t="shared" ref="I975:M975" si="1037">I974</f>
        <v>151</v>
      </c>
      <c r="J975" s="86">
        <f t="shared" si="1037"/>
        <v>152</v>
      </c>
      <c r="K975" s="86">
        <f t="shared" si="1037"/>
        <v>153</v>
      </c>
      <c r="L975" s="86">
        <f t="shared" si="1037"/>
        <v>154</v>
      </c>
      <c r="M975" s="86">
        <f t="shared" si="1037"/>
        <v>155</v>
      </c>
    </row>
    <row r="976" ht="15.75" customHeight="1">
      <c r="A976" s="69"/>
      <c r="B976" s="69"/>
      <c r="C976" s="71"/>
      <c r="D976" s="91" t="str">
        <f>if(isblank(I976),"",vlookup(I976,Pacing!$A$1:$Z$213,17))</f>
        <v/>
      </c>
      <c r="E976" s="89" t="str">
        <f>if(isblank(J976),"",vlookup(J976,Pacing!$A$1:$Z$213,17))</f>
        <v/>
      </c>
      <c r="F976" s="89" t="str">
        <f>if(isblank(K976),"",vlookup(K976,Pacing!$A$1:$Z$213,17))</f>
        <v/>
      </c>
      <c r="G976" s="89" t="str">
        <f>if(isblank(L976),"",vlookup(L976,Pacing!$A$1:$Z$213,17))</f>
        <v/>
      </c>
      <c r="H976" s="89" t="str">
        <f>if(isblank(M976),"",vlookup(M976,Pacing!$A$1:$Z$213,17))</f>
        <v/>
      </c>
      <c r="I976" s="86">
        <f t="shared" ref="I976:M976" si="1038">I975</f>
        <v>151</v>
      </c>
      <c r="J976" s="86">
        <f t="shared" si="1038"/>
        <v>152</v>
      </c>
      <c r="K976" s="86">
        <f t="shared" si="1038"/>
        <v>153</v>
      </c>
      <c r="L976" s="86">
        <f t="shared" si="1038"/>
        <v>154</v>
      </c>
      <c r="M976" s="86">
        <f t="shared" si="1038"/>
        <v>155</v>
      </c>
    </row>
    <row r="977" ht="15.75" customHeight="1">
      <c r="A977" s="69"/>
      <c r="B977" s="69"/>
      <c r="C977" s="71"/>
      <c r="D977" s="91" t="str">
        <f>if(isblank(I977),"",vlookup(I977,Pacing!$A$1:$Z$213,18))</f>
        <v/>
      </c>
      <c r="E977" s="91" t="str">
        <f>if(isblank(J977),"",vlookup(J977,Pacing!$A$1:$Z$213,18))</f>
        <v/>
      </c>
      <c r="F977" s="91" t="str">
        <f>if(isblank(K977),"",vlookup(K977,Pacing!$A$1:$Z$213,18))</f>
        <v/>
      </c>
      <c r="G977" s="91" t="str">
        <f>if(isblank(L977),"",vlookup(L977,Pacing!$A$1:$Z$213,18))</f>
        <v/>
      </c>
      <c r="H977" s="91" t="str">
        <f>if(isblank(M977),"",vlookup(M977,Pacing!$A$1:$Z$213,18))</f>
        <v/>
      </c>
      <c r="I977" s="86">
        <f t="shared" ref="I977:M977" si="1039">I976</f>
        <v>151</v>
      </c>
      <c r="J977" s="86">
        <f t="shared" si="1039"/>
        <v>152</v>
      </c>
      <c r="K977" s="86">
        <f t="shared" si="1039"/>
        <v>153</v>
      </c>
      <c r="L977" s="86">
        <f t="shared" si="1039"/>
        <v>154</v>
      </c>
      <c r="M977" s="86">
        <f t="shared" si="1039"/>
        <v>155</v>
      </c>
    </row>
    <row r="978" ht="15.75" customHeight="1">
      <c r="A978" s="69"/>
      <c r="B978" s="69"/>
      <c r="C978" s="71"/>
      <c r="D978" s="91" t="str">
        <f>if(isblank(I978),"",vlookup(I978,Pacing!$A$1:$Z$213,19))</f>
        <v/>
      </c>
      <c r="E978" s="89" t="str">
        <f>if(isblank(J978),"",vlookup(J978,Pacing!$A$1:$Z$213,19))</f>
        <v/>
      </c>
      <c r="F978" s="89" t="str">
        <f>if(isblank(K978),"",vlookup(K978,Pacing!$A$1:$Z$213,19))</f>
        <v/>
      </c>
      <c r="G978" s="89" t="str">
        <f>if(isblank(L978),"",vlookup(L978,Pacing!$A$1:$Z$213,19))</f>
        <v/>
      </c>
      <c r="H978" s="89" t="str">
        <f>if(isblank(M978),"",vlookup(M978,Pacing!$A$1:$Z$213,19))</f>
        <v/>
      </c>
      <c r="I978" s="86">
        <f t="shared" ref="I978:M978" si="1040">I977</f>
        <v>151</v>
      </c>
      <c r="J978" s="86">
        <f t="shared" si="1040"/>
        <v>152</v>
      </c>
      <c r="K978" s="86">
        <f t="shared" si="1040"/>
        <v>153</v>
      </c>
      <c r="L978" s="86">
        <f t="shared" si="1040"/>
        <v>154</v>
      </c>
      <c r="M978" s="86">
        <f t="shared" si="1040"/>
        <v>155</v>
      </c>
    </row>
    <row r="979" ht="15.75" customHeight="1">
      <c r="A979" s="69"/>
      <c r="B979" s="69"/>
      <c r="C979" s="71"/>
      <c r="D979" s="91" t="str">
        <f>if(isblank(I979),"",vlookup(I979,Pacing!$A$1:$Z$213,20))</f>
        <v/>
      </c>
      <c r="E979" s="89" t="str">
        <f>if(isblank(J979),"",vlookup(J979,Pacing!$A$1:$Z$213,20))</f>
        <v/>
      </c>
      <c r="F979" s="89" t="str">
        <f>if(isblank(K979),"",vlookup(K979,Pacing!$A$1:$Z$213,20))</f>
        <v/>
      </c>
      <c r="G979" s="89" t="str">
        <f>if(isblank(L979),"",vlookup(L979,Pacing!$A$1:$Z$213,20))</f>
        <v/>
      </c>
      <c r="H979" s="89" t="str">
        <f>if(isblank(M979),"",vlookup(M979,Pacing!$A$1:$Z$213,20))</f>
        <v/>
      </c>
      <c r="I979" s="86">
        <f t="shared" ref="I979:M979" si="1041">I978</f>
        <v>151</v>
      </c>
      <c r="J979" s="86">
        <f t="shared" si="1041"/>
        <v>152</v>
      </c>
      <c r="K979" s="86">
        <f t="shared" si="1041"/>
        <v>153</v>
      </c>
      <c r="L979" s="86">
        <f t="shared" si="1041"/>
        <v>154</v>
      </c>
      <c r="M979" s="86">
        <f t="shared" si="1041"/>
        <v>155</v>
      </c>
    </row>
    <row r="980" ht="15.75" customHeight="1">
      <c r="A980" s="69"/>
      <c r="B980" s="69"/>
      <c r="C980" s="71"/>
      <c r="D980" s="91" t="str">
        <f>if(isblank(I980),"",vlookup(I980,Pacing!$A$1:$Z$213,21))</f>
        <v/>
      </c>
      <c r="E980" s="89" t="str">
        <f>if(isblank(J980),"",vlookup(J980,Pacing!$A$1:$Z$213,21))</f>
        <v/>
      </c>
      <c r="F980" s="89" t="str">
        <f>if(isblank(K980),"",vlookup(K980,Pacing!$A$1:$Z$213,21))</f>
        <v/>
      </c>
      <c r="G980" s="89" t="str">
        <f>if(isblank(L980),"",vlookup(L980,Pacing!$A$1:$Z$213,21))</f>
        <v/>
      </c>
      <c r="H980" s="89" t="str">
        <f>if(isblank(M980),"",vlookup(M980,Pacing!$A$1:$Z$213,21))</f>
        <v/>
      </c>
      <c r="I980" s="86">
        <f t="shared" ref="I980:M980" si="1042">I979</f>
        <v>151</v>
      </c>
      <c r="J980" s="86">
        <f t="shared" si="1042"/>
        <v>152</v>
      </c>
      <c r="K980" s="86">
        <f t="shared" si="1042"/>
        <v>153</v>
      </c>
      <c r="L980" s="86">
        <f t="shared" si="1042"/>
        <v>154</v>
      </c>
      <c r="M980" s="86">
        <f t="shared" si="1042"/>
        <v>155</v>
      </c>
    </row>
    <row r="981" ht="15.75" customHeight="1">
      <c r="A981" s="69"/>
      <c r="B981" s="69"/>
      <c r="C981" s="71"/>
      <c r="D981" s="91" t="str">
        <f>if(isblank(I981),"",vlookup(I981,Pacing!$A$1:$Z$213,22))</f>
        <v/>
      </c>
      <c r="E981" s="91" t="str">
        <f>if(isblank(J981),"",vlookup(J981,Pacing!$A$1:$Z$213,22))</f>
        <v/>
      </c>
      <c r="F981" s="91" t="str">
        <f>if(isblank(K981),"",vlookup(K981,Pacing!$A$1:$Z$213,22))</f>
        <v/>
      </c>
      <c r="G981" s="91" t="str">
        <f>if(isblank(L981),"",vlookup(L981,Pacing!$A$1:$Z$213,22))</f>
        <v/>
      </c>
      <c r="H981" s="91" t="str">
        <f>if(isblank(M981),"",vlookup(M981,Pacing!$A$1:$Z$213,22))</f>
        <v/>
      </c>
      <c r="I981" s="86">
        <f t="shared" ref="I981:M981" si="1043">I980</f>
        <v>151</v>
      </c>
      <c r="J981" s="86">
        <f t="shared" si="1043"/>
        <v>152</v>
      </c>
      <c r="K981" s="86">
        <f t="shared" si="1043"/>
        <v>153</v>
      </c>
      <c r="L981" s="86">
        <f t="shared" si="1043"/>
        <v>154</v>
      </c>
      <c r="M981" s="86">
        <f t="shared" si="1043"/>
        <v>155</v>
      </c>
    </row>
    <row r="982" ht="15.75" customHeight="1">
      <c r="A982" s="69"/>
      <c r="B982" s="69"/>
      <c r="C982" s="71"/>
      <c r="D982" s="91" t="str">
        <f>if(isblank(I982),"",vlookup(I982,Pacing!$A$1:$Z$213,23))</f>
        <v/>
      </c>
      <c r="E982" s="89" t="str">
        <f>if(isblank(J982),"",vlookup(J982,Pacing!$A$1:$Z$213,23))</f>
        <v/>
      </c>
      <c r="F982" s="89" t="str">
        <f>if(isblank(K982),"",vlookup(K982,Pacing!$A$1:$Z$213,23))</f>
        <v/>
      </c>
      <c r="G982" s="89" t="str">
        <f>if(isblank(L982),"",vlookup(L982,Pacing!$A$1:$Z$213,23))</f>
        <v/>
      </c>
      <c r="H982" s="89" t="str">
        <f>if(isblank(M982),"",vlookup(M982,Pacing!$A$1:$Z$213,23))</f>
        <v/>
      </c>
      <c r="I982" s="86">
        <f t="shared" ref="I982:M982" si="1044">I981</f>
        <v>151</v>
      </c>
      <c r="J982" s="86">
        <f t="shared" si="1044"/>
        <v>152</v>
      </c>
      <c r="K982" s="86">
        <f t="shared" si="1044"/>
        <v>153</v>
      </c>
      <c r="L982" s="86">
        <f t="shared" si="1044"/>
        <v>154</v>
      </c>
      <c r="M982" s="86">
        <f t="shared" si="1044"/>
        <v>155</v>
      </c>
    </row>
    <row r="983" ht="15.75" customHeight="1">
      <c r="A983" s="69"/>
      <c r="B983" s="69"/>
      <c r="C983" s="71"/>
      <c r="D983" s="91" t="str">
        <f>if(isblank(I983),"",vlookup(I983,Pacing!$A$1:$Z$213,24))</f>
        <v/>
      </c>
      <c r="E983" s="89" t="str">
        <f>if(isblank(J983),"",vlookup(J983,Pacing!$A$1:$Z$213,24))</f>
        <v/>
      </c>
      <c r="F983" s="89" t="str">
        <f>if(isblank(K983),"",vlookup(K983,Pacing!$A$1:$Z$213,24))</f>
        <v/>
      </c>
      <c r="G983" s="89" t="str">
        <f>if(isblank(L983),"",vlookup(L983,Pacing!$A$1:$Z$213,24))</f>
        <v/>
      </c>
      <c r="H983" s="89" t="str">
        <f>if(isblank(M983),"",vlookup(M983,Pacing!$A$1:$Z$213,24))</f>
        <v/>
      </c>
      <c r="I983" s="86">
        <f t="shared" ref="I983:M983" si="1045">I982</f>
        <v>151</v>
      </c>
      <c r="J983" s="86">
        <f t="shared" si="1045"/>
        <v>152</v>
      </c>
      <c r="K983" s="86">
        <f t="shared" si="1045"/>
        <v>153</v>
      </c>
      <c r="L983" s="86">
        <f t="shared" si="1045"/>
        <v>154</v>
      </c>
      <c r="M983" s="86">
        <f t="shared" si="1045"/>
        <v>155</v>
      </c>
    </row>
    <row r="984" ht="15.75" customHeight="1">
      <c r="A984" s="69"/>
      <c r="B984" s="69"/>
      <c r="C984" s="71"/>
      <c r="D984" s="91" t="str">
        <f>if(isblank(I984),"",vlookup(I984,Pacing!$A$1:$Z$213,25))</f>
        <v/>
      </c>
      <c r="E984" s="89" t="str">
        <f>if(isblank(J984),"",vlookup(J984,Pacing!$A$1:$Z$213,25))</f>
        <v/>
      </c>
      <c r="F984" s="89" t="str">
        <f>if(isblank(K984),"",vlookup(K984,Pacing!$A$1:$Z$213,25))</f>
        <v/>
      </c>
      <c r="G984" s="89" t="str">
        <f>if(isblank(L984),"",vlookup(L984,Pacing!$A$1:$Z$213,25))</f>
        <v/>
      </c>
      <c r="H984" s="89" t="str">
        <f>if(isblank(M984),"",vlookup(M984,Pacing!$A$1:$Z$213,25))</f>
        <v/>
      </c>
      <c r="I984" s="86">
        <f t="shared" ref="I984:M984" si="1046">I983</f>
        <v>151</v>
      </c>
      <c r="J984" s="86">
        <f t="shared" si="1046"/>
        <v>152</v>
      </c>
      <c r="K984" s="86">
        <f t="shared" si="1046"/>
        <v>153</v>
      </c>
      <c r="L984" s="86">
        <f t="shared" si="1046"/>
        <v>154</v>
      </c>
      <c r="M984" s="86">
        <f t="shared" si="1046"/>
        <v>155</v>
      </c>
    </row>
    <row r="985" ht="15.75" customHeight="1">
      <c r="A985" s="69"/>
      <c r="B985" s="69"/>
      <c r="C985" s="71"/>
      <c r="D985" s="91" t="str">
        <f>if(isblank(I985),"",vlookup(I985,Pacing!$A$1:$Z$213,26))</f>
        <v/>
      </c>
      <c r="E985" s="89" t="str">
        <f>if(isblank(J985),"",vlookup(J985,Pacing!$A$1:$Z$213,26))</f>
        <v/>
      </c>
      <c r="F985" s="89" t="str">
        <f>if(isblank(K985),"",vlookup(K985,Pacing!$A$1:$Z$213,26))</f>
        <v/>
      </c>
      <c r="G985" s="89" t="str">
        <f>if(isblank(L985),"",vlookup(L985,Pacing!$A$1:$Z$213,26))</f>
        <v/>
      </c>
      <c r="H985" s="89" t="str">
        <f>if(isblank(M985),"",vlookup(M985,Pacing!$A$1:$Z$213,26))</f>
        <v/>
      </c>
      <c r="I985" s="86">
        <f t="shared" ref="I985:M985" si="1047">I984</f>
        <v>151</v>
      </c>
      <c r="J985" s="86">
        <f t="shared" si="1047"/>
        <v>152</v>
      </c>
      <c r="K985" s="86">
        <f t="shared" si="1047"/>
        <v>153</v>
      </c>
      <c r="L985" s="86">
        <f t="shared" si="1047"/>
        <v>154</v>
      </c>
      <c r="M985" s="86">
        <f t="shared" si="1047"/>
        <v>155</v>
      </c>
    </row>
    <row r="986" ht="15.75" customHeight="1">
      <c r="A986" s="137"/>
      <c r="B986" s="137"/>
      <c r="C986" s="138"/>
      <c r="D986" s="139">
        <f>H959+1</f>
        <v>156</v>
      </c>
      <c r="E986" s="139">
        <f t="shared" ref="E986:H986" si="1048">D986+1</f>
        <v>157</v>
      </c>
      <c r="F986" s="139">
        <f t="shared" si="1048"/>
        <v>158</v>
      </c>
      <c r="G986" s="139">
        <f t="shared" si="1048"/>
        <v>159</v>
      </c>
      <c r="H986" s="139">
        <f t="shared" si="1048"/>
        <v>160</v>
      </c>
      <c r="I986" s="55">
        <f t="shared" ref="I986:M986" si="1049">D986</f>
        <v>156</v>
      </c>
      <c r="J986" s="55">
        <f t="shared" si="1049"/>
        <v>157</v>
      </c>
      <c r="K986" s="55">
        <f t="shared" si="1049"/>
        <v>158</v>
      </c>
      <c r="L986" s="55">
        <f t="shared" si="1049"/>
        <v>159</v>
      </c>
      <c r="M986" s="55">
        <f t="shared" si="1049"/>
        <v>160</v>
      </c>
    </row>
    <row r="987" ht="15.75" customHeight="1">
      <c r="A987" s="69">
        <f>B987+1</f>
        <v>371</v>
      </c>
      <c r="B987" s="69">
        <f t="shared" ref="B987:B994" si="1051">$C$987*10</f>
        <v>370</v>
      </c>
      <c r="C987" s="71">
        <f>C960+1</f>
        <v>37</v>
      </c>
      <c r="D987" s="72">
        <f>D960+7</f>
        <v>46517</v>
      </c>
      <c r="E987" s="72">
        <f t="shared" ref="E987:H987" si="1050">D987+1</f>
        <v>46518</v>
      </c>
      <c r="F987" s="72">
        <f t="shared" si="1050"/>
        <v>46519</v>
      </c>
      <c r="G987" s="72">
        <f t="shared" si="1050"/>
        <v>46520</v>
      </c>
      <c r="H987" s="72">
        <f t="shared" si="1050"/>
        <v>46521</v>
      </c>
      <c r="I987" s="62" t="s">
        <v>42</v>
      </c>
    </row>
    <row r="988" ht="15.75" customHeight="1">
      <c r="A988" s="75">
        <f>B988+2</f>
        <v>372</v>
      </c>
      <c r="B988" s="75">
        <f t="shared" si="1051"/>
        <v>370</v>
      </c>
      <c r="C988" s="76"/>
      <c r="D988" s="131" t="str">
        <f>if(isblank(I988),"",vlookup(I988,Pacing!$A$1:$Z$213,2))</f>
        <v/>
      </c>
      <c r="E988" s="131" t="str">
        <f>if(isblank(J988),"",vlookup(J988,Pacing!$A$1:$Z$213,2))</f>
        <v/>
      </c>
      <c r="F988" s="131" t="str">
        <f>if(isblank(K988),"",vlookup(K988,Pacing!$A$1:$Z$213,2))</f>
        <v/>
      </c>
      <c r="G988" s="131" t="str">
        <f>if(isblank(L988),"",vlookup(L988,Pacing!$A$1:$Z$213,2))</f>
        <v/>
      </c>
      <c r="H988" s="131" t="str">
        <f>if(isblank(M988),"",vlookup(M988,Pacing!$A$1:$Z$213,2))</f>
        <v/>
      </c>
      <c r="I988" s="78">
        <f t="shared" ref="I988:M988" si="1052">I986</f>
        <v>156</v>
      </c>
      <c r="J988" s="78">
        <f t="shared" si="1052"/>
        <v>157</v>
      </c>
      <c r="K988" s="78">
        <f t="shared" si="1052"/>
        <v>158</v>
      </c>
      <c r="L988" s="78">
        <f t="shared" si="1052"/>
        <v>159</v>
      </c>
      <c r="M988" s="78">
        <f t="shared" si="1052"/>
        <v>160</v>
      </c>
    </row>
    <row r="989" ht="15.75" customHeight="1">
      <c r="A989" s="69">
        <f>B989+3</f>
        <v>373</v>
      </c>
      <c r="B989" s="69">
        <f t="shared" si="1051"/>
        <v>370</v>
      </c>
      <c r="C989" s="76"/>
      <c r="D989" s="91" t="str">
        <f>if(isblank(I989),"",vlookup(I989,Pacing!$A$1:$Z$213,3))</f>
        <v/>
      </c>
      <c r="E989" s="89" t="str">
        <f>if(isblank(J989),"",vlookup(J989,Pacing!$A$1:$Z$213,3))</f>
        <v/>
      </c>
      <c r="F989" s="89" t="str">
        <f>if(isblank(K989),"",vlookup(K989,Pacing!$A$1:$Z$213,3))</f>
        <v/>
      </c>
      <c r="G989" s="89" t="str">
        <f>if(isblank(L989),"",vlookup(L989,Pacing!$A$1:$Z$213,3))</f>
        <v/>
      </c>
      <c r="H989" s="89" t="str">
        <f>if(isblank(M989),"",vlookup(M989,Pacing!$A$1:$Z$213,3))</f>
        <v/>
      </c>
      <c r="I989" s="86">
        <f t="shared" ref="I989:M989" si="1053">I988</f>
        <v>156</v>
      </c>
      <c r="J989" s="86">
        <f t="shared" si="1053"/>
        <v>157</v>
      </c>
      <c r="K989" s="86">
        <f t="shared" si="1053"/>
        <v>158</v>
      </c>
      <c r="L989" s="86">
        <f t="shared" si="1053"/>
        <v>159</v>
      </c>
      <c r="M989" s="86">
        <f t="shared" si="1053"/>
        <v>160</v>
      </c>
    </row>
    <row r="990" ht="15.75" customHeight="1">
      <c r="A990" s="69">
        <f>B990+4</f>
        <v>374</v>
      </c>
      <c r="B990" s="69">
        <f t="shared" si="1051"/>
        <v>370</v>
      </c>
      <c r="C990" s="76"/>
      <c r="D990" s="91" t="str">
        <f>if(isblank(I990),"",vlookup(I990,Pacing!$A$1:$Z$213,4))</f>
        <v/>
      </c>
      <c r="E990" s="89" t="str">
        <f>if(isblank(J990),"",vlookup(J990,Pacing!$A$1:$Z$213,4))</f>
        <v/>
      </c>
      <c r="F990" s="89" t="str">
        <f>if(isblank(K990),"",vlookup(K990,Pacing!$A$1:$Z$213,4))</f>
        <v/>
      </c>
      <c r="G990" s="89" t="str">
        <f>if(isblank(L990),"",vlookup(L990,Pacing!$A$1:$Z$213,4))</f>
        <v/>
      </c>
      <c r="H990" s="89" t="str">
        <f>if(isblank(M990),"",vlookup(M990,Pacing!$A$1:$Z$213,4))</f>
        <v/>
      </c>
      <c r="I990" s="86">
        <f t="shared" ref="I990:M990" si="1054">I989</f>
        <v>156</v>
      </c>
      <c r="J990" s="86">
        <f t="shared" si="1054"/>
        <v>157</v>
      </c>
      <c r="K990" s="86">
        <f t="shared" si="1054"/>
        <v>158</v>
      </c>
      <c r="L990" s="86">
        <f t="shared" si="1054"/>
        <v>159</v>
      </c>
      <c r="M990" s="86">
        <f t="shared" si="1054"/>
        <v>160</v>
      </c>
    </row>
    <row r="991" ht="15.75" customHeight="1">
      <c r="A991" s="69">
        <f>B991+5</f>
        <v>375</v>
      </c>
      <c r="B991" s="69">
        <f t="shared" si="1051"/>
        <v>370</v>
      </c>
      <c r="C991" s="76"/>
      <c r="D991" s="91" t="str">
        <f>if(isblank(I991),"",vlookup(I991,Pacing!$A$1:$Z$213,5))</f>
        <v/>
      </c>
      <c r="E991" s="89" t="str">
        <f>if(isblank(J991),"",vlookup(J991,Pacing!$A$1:$Z$213,5))</f>
        <v/>
      </c>
      <c r="F991" s="89" t="str">
        <f>if(isblank(K991),"",vlookup(K991,Pacing!$A$1:$Z$213,5))</f>
        <v/>
      </c>
      <c r="G991" s="89" t="str">
        <f>if(isblank(L991),"",vlookup(L991,Pacing!$A$1:$Z$213,5))</f>
        <v/>
      </c>
      <c r="H991" s="89" t="str">
        <f>if(isblank(M991),"",vlookup(M991,Pacing!$A$1:$Z$213,5))</f>
        <v/>
      </c>
      <c r="I991" s="86">
        <f t="shared" ref="I991:M991" si="1055">I990</f>
        <v>156</v>
      </c>
      <c r="J991" s="86">
        <f t="shared" si="1055"/>
        <v>157</v>
      </c>
      <c r="K991" s="86">
        <f t="shared" si="1055"/>
        <v>158</v>
      </c>
      <c r="L991" s="86">
        <f t="shared" si="1055"/>
        <v>159</v>
      </c>
      <c r="M991" s="86">
        <f t="shared" si="1055"/>
        <v>160</v>
      </c>
    </row>
    <row r="992" ht="15.75" customHeight="1">
      <c r="A992" s="69">
        <f>B992+6</f>
        <v>376</v>
      </c>
      <c r="B992" s="69">
        <f t="shared" si="1051"/>
        <v>370</v>
      </c>
      <c r="C992" s="76"/>
      <c r="D992" s="91" t="str">
        <f>if(isblank(I992),"",vlookup(I992,Pacing!$A$1:$Z$213,6))</f>
        <v/>
      </c>
      <c r="E992" s="89" t="str">
        <f>if(isblank(J992),"",vlookup(J992,Pacing!$A$1:$Z$213,6))</f>
        <v/>
      </c>
      <c r="F992" s="89" t="str">
        <f>if(isblank(K992),"",vlookup(K992,Pacing!$A$1:$Z$213,6))</f>
        <v/>
      </c>
      <c r="G992" s="89" t="str">
        <f>if(isblank(L992),"",vlookup(L992,Pacing!$A$1:$Z$213,6))</f>
        <v/>
      </c>
      <c r="H992" s="89" t="str">
        <f>if(isblank(M992),"",vlookup(M992,Pacing!$A$1:$Z$213,6))</f>
        <v/>
      </c>
      <c r="I992" s="86">
        <f t="shared" ref="I992:M992" si="1056">I991</f>
        <v>156</v>
      </c>
      <c r="J992" s="86">
        <f t="shared" si="1056"/>
        <v>157</v>
      </c>
      <c r="K992" s="86">
        <f t="shared" si="1056"/>
        <v>158</v>
      </c>
      <c r="L992" s="86">
        <f t="shared" si="1056"/>
        <v>159</v>
      </c>
      <c r="M992" s="86">
        <f t="shared" si="1056"/>
        <v>160</v>
      </c>
    </row>
    <row r="993" ht="15.75" customHeight="1">
      <c r="A993" s="69">
        <f>B993+7</f>
        <v>377</v>
      </c>
      <c r="B993" s="69">
        <f t="shared" si="1051"/>
        <v>370</v>
      </c>
      <c r="C993" s="76"/>
      <c r="D993" s="91" t="str">
        <f>if(isblank(I993),"",vlookup(I993,Pacing!$A$1:$Z$213,7))</f>
        <v/>
      </c>
      <c r="E993" s="89" t="str">
        <f>if(isblank(J993),"",vlookup(J993,Pacing!$A$1:$Z$213,7))</f>
        <v/>
      </c>
      <c r="F993" s="89" t="str">
        <f>if(isblank(K993),"",vlookup(K993,Pacing!$A$1:$Z$213,7))</f>
        <v/>
      </c>
      <c r="G993" s="89" t="str">
        <f>if(isblank(L993),"",vlookup(L993,Pacing!$A$1:$Z$213,7))</f>
        <v/>
      </c>
      <c r="H993" s="89" t="str">
        <f>if(isblank(M993),"",vlookup(M993,Pacing!$A$1:$Z$213,7))</f>
        <v/>
      </c>
      <c r="I993" s="86">
        <f t="shared" ref="I993:M993" si="1057">I992</f>
        <v>156</v>
      </c>
      <c r="J993" s="86">
        <f t="shared" si="1057"/>
        <v>157</v>
      </c>
      <c r="K993" s="86">
        <f t="shared" si="1057"/>
        <v>158</v>
      </c>
      <c r="L993" s="86">
        <f t="shared" si="1057"/>
        <v>159</v>
      </c>
      <c r="M993" s="86">
        <f t="shared" si="1057"/>
        <v>160</v>
      </c>
    </row>
    <row r="994" ht="15.75" customHeight="1">
      <c r="A994" s="69">
        <f>B994+8</f>
        <v>378</v>
      </c>
      <c r="B994" s="69">
        <f t="shared" si="1051"/>
        <v>370</v>
      </c>
      <c r="C994" s="95"/>
      <c r="D994" s="91" t="str">
        <f>if(isblank(I994),"",vlookup(I994,Pacing!$A$1:$Z$213,8))</f>
        <v/>
      </c>
      <c r="E994" s="89" t="str">
        <f>if(isblank(J994),"",vlookup(J994,Pacing!$A$1:$Z$213,8))</f>
        <v/>
      </c>
      <c r="F994" s="89" t="str">
        <f>if(isblank(K994),"",vlookup(K994,Pacing!$A$1:$Z$213,8))</f>
        <v/>
      </c>
      <c r="G994" s="89" t="str">
        <f>if(isblank(L994),"",vlookup(L994,Pacing!$A$1:$Z$213,8))</f>
        <v/>
      </c>
      <c r="H994" s="89" t="str">
        <f>if(isblank(M994),"",vlookup(M994,Pacing!$A$1:$Z$213,8))</f>
        <v/>
      </c>
      <c r="I994" s="86">
        <f t="shared" ref="I994:M994" si="1058">I993</f>
        <v>156</v>
      </c>
      <c r="J994" s="86">
        <f t="shared" si="1058"/>
        <v>157</v>
      </c>
      <c r="K994" s="86">
        <f t="shared" si="1058"/>
        <v>158</v>
      </c>
      <c r="L994" s="86">
        <f t="shared" si="1058"/>
        <v>159</v>
      </c>
      <c r="M994" s="86">
        <f t="shared" si="1058"/>
        <v>160</v>
      </c>
    </row>
    <row r="995" ht="15.75" customHeight="1">
      <c r="A995" s="69"/>
      <c r="B995" s="69"/>
      <c r="C995" s="71"/>
      <c r="D995" s="91" t="str">
        <f>if(isblank(I995),"",vlookup(I995,Pacing!$A$1:$Z$213,9))</f>
        <v/>
      </c>
      <c r="E995" s="89" t="str">
        <f>if(isblank(J995),"",vlookup(J995,Pacing!$A$1:$Z$213,9))</f>
        <v/>
      </c>
      <c r="F995" s="89" t="str">
        <f>if(isblank(K995),"",vlookup(K995,Pacing!$A$1:$Z$213,9))</f>
        <v/>
      </c>
      <c r="G995" s="89" t="str">
        <f>if(isblank(L995),"",vlookup(L995,Pacing!$A$1:$Z$213,9))</f>
        <v/>
      </c>
      <c r="H995" s="89" t="str">
        <f>if(isblank(M995),"",vlookup(M995,Pacing!$A$1:$Z$213,9))</f>
        <v/>
      </c>
      <c r="I995" s="86">
        <f t="shared" ref="I995:M995" si="1059">I994</f>
        <v>156</v>
      </c>
      <c r="J995" s="86">
        <f t="shared" si="1059"/>
        <v>157</v>
      </c>
      <c r="K995" s="86">
        <f t="shared" si="1059"/>
        <v>158</v>
      </c>
      <c r="L995" s="86">
        <f t="shared" si="1059"/>
        <v>159</v>
      </c>
      <c r="M995" s="86">
        <f t="shared" si="1059"/>
        <v>160</v>
      </c>
    </row>
    <row r="996" ht="15.75" customHeight="1">
      <c r="A996" s="69"/>
      <c r="B996" s="69"/>
      <c r="C996" s="71"/>
      <c r="D996" s="91" t="str">
        <f>if(isblank(I996),"",vlookup(I996,Pacing!$A$1:$Z$213,10))</f>
        <v/>
      </c>
      <c r="E996" s="89" t="str">
        <f>if(isblank(J996),"",vlookup(J996,Pacing!$A$1:$Z$213,10))</f>
        <v/>
      </c>
      <c r="F996" s="89" t="str">
        <f>if(isblank(K996),"",vlookup(K996,Pacing!$A$1:$Z$213,10))</f>
        <v/>
      </c>
      <c r="G996" s="89" t="str">
        <f>if(isblank(L996),"",vlookup(L996,Pacing!$A$1:$Z$213,10))</f>
        <v/>
      </c>
      <c r="H996" s="89" t="str">
        <f>if(isblank(M996),"",vlookup(M996,Pacing!$A$1:$Z$213,10))</f>
        <v/>
      </c>
      <c r="I996" s="86">
        <f t="shared" ref="I996:M996" si="1060">I995</f>
        <v>156</v>
      </c>
      <c r="J996" s="86">
        <f t="shared" si="1060"/>
        <v>157</v>
      </c>
      <c r="K996" s="86">
        <f t="shared" si="1060"/>
        <v>158</v>
      </c>
      <c r="L996" s="86">
        <f t="shared" si="1060"/>
        <v>159</v>
      </c>
      <c r="M996" s="86">
        <f t="shared" si="1060"/>
        <v>160</v>
      </c>
    </row>
    <row r="997" ht="15.75" customHeight="1">
      <c r="A997" s="69"/>
      <c r="B997" s="69"/>
      <c r="C997" s="71"/>
      <c r="D997" s="91" t="str">
        <f>if(isblank(I997),"",vlookup(I997,Pacing!$A$1:$Z$213,11))</f>
        <v/>
      </c>
      <c r="E997" s="89" t="str">
        <f>if(isblank(J997),"",vlookup(J997,Pacing!$A$1:$Z$213,11))</f>
        <v/>
      </c>
      <c r="F997" s="89" t="str">
        <f>if(isblank(K997),"",vlookup(K997,Pacing!$A$1:$Z$213,11))</f>
        <v/>
      </c>
      <c r="G997" s="89" t="str">
        <f>if(isblank(L997),"",vlookup(L997,Pacing!$A$1:$Z$213,11))</f>
        <v/>
      </c>
      <c r="H997" s="89" t="str">
        <f>if(isblank(M997),"",vlookup(M997,Pacing!$A$1:$Z$213,11))</f>
        <v/>
      </c>
      <c r="I997" s="86">
        <f t="shared" ref="I997:M997" si="1061">I996</f>
        <v>156</v>
      </c>
      <c r="J997" s="86">
        <f t="shared" si="1061"/>
        <v>157</v>
      </c>
      <c r="K997" s="86">
        <f t="shared" si="1061"/>
        <v>158</v>
      </c>
      <c r="L997" s="86">
        <f t="shared" si="1061"/>
        <v>159</v>
      </c>
      <c r="M997" s="86">
        <f t="shared" si="1061"/>
        <v>160</v>
      </c>
    </row>
    <row r="998" ht="15.75" customHeight="1">
      <c r="A998" s="69"/>
      <c r="B998" s="69"/>
      <c r="C998" s="71"/>
      <c r="D998" s="91" t="str">
        <f>if(isblank(I998),"",vlookup(I998,Pacing!$A$1:$Z$213,12))</f>
        <v/>
      </c>
      <c r="E998" s="91" t="str">
        <f>if(isblank(J998),"",vlookup(J998,Pacing!$A$1:$Z$213,12))</f>
        <v/>
      </c>
      <c r="F998" s="91" t="str">
        <f>if(isblank(K998),"",vlookup(K998,Pacing!$A$1:$Z$213,12))</f>
        <v/>
      </c>
      <c r="G998" s="91" t="str">
        <f>if(isblank(L998),"",vlookup(L998,Pacing!$A$1:$Z$213,12))</f>
        <v/>
      </c>
      <c r="H998" s="91" t="str">
        <f>if(isblank(M998),"",vlookup(M998,Pacing!$A$1:$Z$213,12))</f>
        <v/>
      </c>
      <c r="I998" s="86">
        <f t="shared" ref="I998:M998" si="1062">I997</f>
        <v>156</v>
      </c>
      <c r="J998" s="86">
        <f t="shared" si="1062"/>
        <v>157</v>
      </c>
      <c r="K998" s="86">
        <f t="shared" si="1062"/>
        <v>158</v>
      </c>
      <c r="L998" s="86">
        <f t="shared" si="1062"/>
        <v>159</v>
      </c>
      <c r="M998" s="86">
        <f t="shared" si="1062"/>
        <v>160</v>
      </c>
    </row>
    <row r="999" ht="15.75" customHeight="1">
      <c r="A999" s="69"/>
      <c r="B999" s="69"/>
      <c r="C999" s="71"/>
      <c r="D999" s="91" t="str">
        <f>if(isblank(I999),"",vlookup(I999,Pacing!$A$1:$Z$213,13))</f>
        <v/>
      </c>
      <c r="E999" s="91" t="str">
        <f>if(isblank(J999),"",vlookup(J999,Pacing!$A$1:$Z$213,13))</f>
        <v/>
      </c>
      <c r="F999" s="91" t="str">
        <f>if(isblank(K999),"",vlookup(K999,Pacing!$A$1:$Z$213,13))</f>
        <v/>
      </c>
      <c r="G999" s="91" t="str">
        <f>if(isblank(L999),"",vlookup(L999,Pacing!$A$1:$Z$213,13))</f>
        <v/>
      </c>
      <c r="H999" s="91" t="str">
        <f>if(isblank(M999),"",vlookup(M999,Pacing!$A$1:$Z$213,13))</f>
        <v/>
      </c>
      <c r="I999" s="86">
        <f t="shared" ref="I999:M999" si="1063">I998</f>
        <v>156</v>
      </c>
      <c r="J999" s="86">
        <f t="shared" si="1063"/>
        <v>157</v>
      </c>
      <c r="K999" s="86">
        <f t="shared" si="1063"/>
        <v>158</v>
      </c>
      <c r="L999" s="86">
        <f t="shared" si="1063"/>
        <v>159</v>
      </c>
      <c r="M999" s="86">
        <f t="shared" si="1063"/>
        <v>160</v>
      </c>
    </row>
    <row r="1000" ht="15.75" customHeight="1">
      <c r="A1000" s="69"/>
      <c r="B1000" s="69"/>
      <c r="C1000" s="71"/>
      <c r="D1000" s="91" t="str">
        <f>if(isblank(I1000),"",vlookup(I1000,Pacing!$A$1:$Z$213,14))</f>
        <v/>
      </c>
      <c r="E1000" s="89" t="str">
        <f>if(isblank(J1000),"",vlookup(J1000,Pacing!$A$1:$Z$213,14))</f>
        <v/>
      </c>
      <c r="F1000" s="89" t="str">
        <f>if(isblank(K1000),"",vlookup(K1000,Pacing!$A$1:$Z$213,14))</f>
        <v/>
      </c>
      <c r="G1000" s="89" t="str">
        <f>if(isblank(L1000),"",vlookup(L1000,Pacing!$A$1:$Z$213,14))</f>
        <v/>
      </c>
      <c r="H1000" s="89" t="str">
        <f>if(isblank(M1000),"",vlookup(M1000,Pacing!$A$1:$Z$213,14))</f>
        <v/>
      </c>
      <c r="I1000" s="86">
        <f t="shared" ref="I1000:M1000" si="1064">I999</f>
        <v>156</v>
      </c>
      <c r="J1000" s="86">
        <f t="shared" si="1064"/>
        <v>157</v>
      </c>
      <c r="K1000" s="86">
        <f t="shared" si="1064"/>
        <v>158</v>
      </c>
      <c r="L1000" s="86">
        <f t="shared" si="1064"/>
        <v>159</v>
      </c>
      <c r="M1000" s="86">
        <f t="shared" si="1064"/>
        <v>160</v>
      </c>
    </row>
    <row r="1001" ht="15.75" customHeight="1">
      <c r="A1001" s="69"/>
      <c r="B1001" s="69"/>
      <c r="C1001" s="71"/>
      <c r="D1001" s="91" t="str">
        <f>if(isblank(I1001),"",vlookup(I1001,Pacing!$A$1:$Z$213,15))</f>
        <v/>
      </c>
      <c r="E1001" s="89" t="str">
        <f>if(isblank(J1001),"",vlookup(J1001,Pacing!$A$1:$Z$213,15))</f>
        <v/>
      </c>
      <c r="F1001" s="89" t="str">
        <f>if(isblank(K1001),"",vlookup(K1001,Pacing!$A$1:$Z$213,15))</f>
        <v/>
      </c>
      <c r="G1001" s="89" t="str">
        <f>if(isblank(L1001),"",vlookup(L1001,Pacing!$A$1:$Z$213,15))</f>
        <v/>
      </c>
      <c r="H1001" s="89" t="str">
        <f>if(isblank(M1001),"",vlookup(M1001,Pacing!$A$1:$Z$213,15))</f>
        <v/>
      </c>
      <c r="I1001" s="86">
        <f t="shared" ref="I1001:M1001" si="1065">I1000</f>
        <v>156</v>
      </c>
      <c r="J1001" s="86">
        <f t="shared" si="1065"/>
        <v>157</v>
      </c>
      <c r="K1001" s="86">
        <f t="shared" si="1065"/>
        <v>158</v>
      </c>
      <c r="L1001" s="86">
        <f t="shared" si="1065"/>
        <v>159</v>
      </c>
      <c r="M1001" s="86">
        <f t="shared" si="1065"/>
        <v>160</v>
      </c>
    </row>
    <row r="1002" ht="15.75" customHeight="1">
      <c r="A1002" s="69"/>
      <c r="B1002" s="69"/>
      <c r="C1002" s="71"/>
      <c r="D1002" s="91" t="str">
        <f>if(isblank(I1002),"",vlookup(I1002,Pacing!$A$1:$Z$213,16))</f>
        <v/>
      </c>
      <c r="E1002" s="89" t="str">
        <f>if(isblank(J1002),"",vlookup(J1002,Pacing!$A$1:$Z$213,16))</f>
        <v/>
      </c>
      <c r="F1002" s="89" t="str">
        <f>if(isblank(K1002),"",vlookup(K1002,Pacing!$A$1:$Z$213,16))</f>
        <v/>
      </c>
      <c r="G1002" s="89" t="str">
        <f>if(isblank(L1002),"",vlookup(L1002,Pacing!$A$1:$Z$213,16))</f>
        <v/>
      </c>
      <c r="H1002" s="89" t="str">
        <f>if(isblank(M1002),"",vlookup(M1002,Pacing!$A$1:$Z$213,16))</f>
        <v/>
      </c>
      <c r="I1002" s="86">
        <f t="shared" ref="I1002:M1002" si="1066">I1001</f>
        <v>156</v>
      </c>
      <c r="J1002" s="86">
        <f t="shared" si="1066"/>
        <v>157</v>
      </c>
      <c r="K1002" s="86">
        <f t="shared" si="1066"/>
        <v>158</v>
      </c>
      <c r="L1002" s="86">
        <f t="shared" si="1066"/>
        <v>159</v>
      </c>
      <c r="M1002" s="86">
        <f t="shared" si="1066"/>
        <v>160</v>
      </c>
    </row>
    <row r="1003" ht="15.75" customHeight="1">
      <c r="A1003" s="69"/>
      <c r="B1003" s="69"/>
      <c r="C1003" s="71"/>
      <c r="D1003" s="91" t="str">
        <f>if(isblank(I1003),"",vlookup(I1003,Pacing!$A$1:$Z$213,17))</f>
        <v/>
      </c>
      <c r="E1003" s="89" t="str">
        <f>if(isblank(J1003),"",vlookup(J1003,Pacing!$A$1:$Z$213,17))</f>
        <v/>
      </c>
      <c r="F1003" s="89" t="str">
        <f>if(isblank(K1003),"",vlookup(K1003,Pacing!$A$1:$Z$213,17))</f>
        <v/>
      </c>
      <c r="G1003" s="89" t="str">
        <f>if(isblank(L1003),"",vlookup(L1003,Pacing!$A$1:$Z$213,17))</f>
        <v/>
      </c>
      <c r="H1003" s="89" t="str">
        <f>if(isblank(M1003),"",vlookup(M1003,Pacing!$A$1:$Z$213,17))</f>
        <v/>
      </c>
      <c r="I1003" s="86">
        <f t="shared" ref="I1003:M1003" si="1067">I1002</f>
        <v>156</v>
      </c>
      <c r="J1003" s="86">
        <f t="shared" si="1067"/>
        <v>157</v>
      </c>
      <c r="K1003" s="86">
        <f t="shared" si="1067"/>
        <v>158</v>
      </c>
      <c r="L1003" s="86">
        <f t="shared" si="1067"/>
        <v>159</v>
      </c>
      <c r="M1003" s="86">
        <f t="shared" si="1067"/>
        <v>160</v>
      </c>
    </row>
    <row r="1004" ht="15.75" customHeight="1">
      <c r="A1004" s="69"/>
      <c r="B1004" s="69"/>
      <c r="C1004" s="71"/>
      <c r="D1004" s="91" t="str">
        <f>if(isblank(I1004),"",vlookup(I1004,Pacing!$A$1:$Z$213,18))</f>
        <v/>
      </c>
      <c r="E1004" s="91" t="str">
        <f>if(isblank(J1004),"",vlookup(J1004,Pacing!$A$1:$Z$213,18))</f>
        <v/>
      </c>
      <c r="F1004" s="91" t="str">
        <f>if(isblank(K1004),"",vlookup(K1004,Pacing!$A$1:$Z$213,18))</f>
        <v/>
      </c>
      <c r="G1004" s="91" t="str">
        <f>if(isblank(L1004),"",vlookup(L1004,Pacing!$A$1:$Z$213,18))</f>
        <v/>
      </c>
      <c r="H1004" s="91" t="str">
        <f>if(isblank(M1004),"",vlookup(M1004,Pacing!$A$1:$Z$213,18))</f>
        <v/>
      </c>
      <c r="I1004" s="86">
        <f t="shared" ref="I1004:M1004" si="1068">I1003</f>
        <v>156</v>
      </c>
      <c r="J1004" s="86">
        <f t="shared" si="1068"/>
        <v>157</v>
      </c>
      <c r="K1004" s="86">
        <f t="shared" si="1068"/>
        <v>158</v>
      </c>
      <c r="L1004" s="86">
        <f t="shared" si="1068"/>
        <v>159</v>
      </c>
      <c r="M1004" s="86">
        <f t="shared" si="1068"/>
        <v>160</v>
      </c>
    </row>
    <row r="1005" ht="15.75" customHeight="1">
      <c r="A1005" s="69"/>
      <c r="B1005" s="69"/>
      <c r="C1005" s="71"/>
      <c r="D1005" s="91" t="str">
        <f>if(isblank(I1005),"",vlookup(I1005,Pacing!$A$1:$Z$213,19))</f>
        <v/>
      </c>
      <c r="E1005" s="89" t="str">
        <f>if(isblank(J1005),"",vlookup(J1005,Pacing!$A$1:$Z$213,19))</f>
        <v/>
      </c>
      <c r="F1005" s="89" t="str">
        <f>if(isblank(K1005),"",vlookup(K1005,Pacing!$A$1:$Z$213,19))</f>
        <v/>
      </c>
      <c r="G1005" s="89" t="str">
        <f>if(isblank(L1005),"",vlookup(L1005,Pacing!$A$1:$Z$213,19))</f>
        <v/>
      </c>
      <c r="H1005" s="89" t="str">
        <f>if(isblank(M1005),"",vlookup(M1005,Pacing!$A$1:$Z$213,19))</f>
        <v/>
      </c>
      <c r="I1005" s="86">
        <f t="shared" ref="I1005:M1005" si="1069">I1004</f>
        <v>156</v>
      </c>
      <c r="J1005" s="86">
        <f t="shared" si="1069"/>
        <v>157</v>
      </c>
      <c r="K1005" s="86">
        <f t="shared" si="1069"/>
        <v>158</v>
      </c>
      <c r="L1005" s="86">
        <f t="shared" si="1069"/>
        <v>159</v>
      </c>
      <c r="M1005" s="86">
        <f t="shared" si="1069"/>
        <v>160</v>
      </c>
    </row>
    <row r="1006" ht="15.75" customHeight="1">
      <c r="A1006" s="69"/>
      <c r="B1006" s="69"/>
      <c r="C1006" s="71"/>
      <c r="D1006" s="91" t="str">
        <f>if(isblank(I1006),"",vlookup(I1006,Pacing!$A$1:$Z$213,20))</f>
        <v/>
      </c>
      <c r="E1006" s="89" t="str">
        <f>if(isblank(J1006),"",vlookup(J1006,Pacing!$A$1:$Z$213,20))</f>
        <v/>
      </c>
      <c r="F1006" s="89" t="str">
        <f>if(isblank(K1006),"",vlookup(K1006,Pacing!$A$1:$Z$213,20))</f>
        <v/>
      </c>
      <c r="G1006" s="89" t="str">
        <f>if(isblank(L1006),"",vlookup(L1006,Pacing!$A$1:$Z$213,20))</f>
        <v/>
      </c>
      <c r="H1006" s="89" t="str">
        <f>if(isblank(M1006),"",vlookup(M1006,Pacing!$A$1:$Z$213,20))</f>
        <v/>
      </c>
      <c r="I1006" s="86">
        <f t="shared" ref="I1006:M1006" si="1070">I1005</f>
        <v>156</v>
      </c>
      <c r="J1006" s="86">
        <f t="shared" si="1070"/>
        <v>157</v>
      </c>
      <c r="K1006" s="86">
        <f t="shared" si="1070"/>
        <v>158</v>
      </c>
      <c r="L1006" s="86">
        <f t="shared" si="1070"/>
        <v>159</v>
      </c>
      <c r="M1006" s="86">
        <f t="shared" si="1070"/>
        <v>160</v>
      </c>
    </row>
    <row r="1007" ht="15.75" customHeight="1">
      <c r="A1007" s="69"/>
      <c r="B1007" s="69"/>
      <c r="C1007" s="71"/>
      <c r="D1007" s="91" t="str">
        <f>if(isblank(I1007),"",vlookup(I1007,Pacing!$A$1:$Z$213,21))</f>
        <v/>
      </c>
      <c r="E1007" s="89" t="str">
        <f>if(isblank(J1007),"",vlookup(J1007,Pacing!$A$1:$Z$213,21))</f>
        <v/>
      </c>
      <c r="F1007" s="89" t="str">
        <f>if(isblank(K1007),"",vlookup(K1007,Pacing!$A$1:$Z$213,21))</f>
        <v/>
      </c>
      <c r="G1007" s="89" t="str">
        <f>if(isblank(L1007),"",vlookup(L1007,Pacing!$A$1:$Z$213,21))</f>
        <v/>
      </c>
      <c r="H1007" s="89" t="str">
        <f>if(isblank(M1007),"",vlookup(M1007,Pacing!$A$1:$Z$213,21))</f>
        <v/>
      </c>
      <c r="I1007" s="86">
        <f t="shared" ref="I1007:M1007" si="1071">I1006</f>
        <v>156</v>
      </c>
      <c r="J1007" s="86">
        <f t="shared" si="1071"/>
        <v>157</v>
      </c>
      <c r="K1007" s="86">
        <f t="shared" si="1071"/>
        <v>158</v>
      </c>
      <c r="L1007" s="86">
        <f t="shared" si="1071"/>
        <v>159</v>
      </c>
      <c r="M1007" s="86">
        <f t="shared" si="1071"/>
        <v>160</v>
      </c>
    </row>
    <row r="1008" ht="15.75" customHeight="1">
      <c r="A1008" s="69"/>
      <c r="B1008" s="69"/>
      <c r="C1008" s="71"/>
      <c r="D1008" s="91" t="str">
        <f>if(isblank(I1008),"",vlookup(I1008,Pacing!$A$1:$Z$213,22))</f>
        <v/>
      </c>
      <c r="E1008" s="91" t="str">
        <f>if(isblank(J1008),"",vlookup(J1008,Pacing!$A$1:$Z$213,22))</f>
        <v/>
      </c>
      <c r="F1008" s="91" t="str">
        <f>if(isblank(K1008),"",vlookup(K1008,Pacing!$A$1:$Z$213,22))</f>
        <v/>
      </c>
      <c r="G1008" s="91" t="str">
        <f>if(isblank(L1008),"",vlookup(L1008,Pacing!$A$1:$Z$213,22))</f>
        <v/>
      </c>
      <c r="H1008" s="91" t="str">
        <f>if(isblank(M1008),"",vlookup(M1008,Pacing!$A$1:$Z$213,22))</f>
        <v/>
      </c>
      <c r="I1008" s="86">
        <f t="shared" ref="I1008:M1008" si="1072">I1007</f>
        <v>156</v>
      </c>
      <c r="J1008" s="86">
        <f t="shared" si="1072"/>
        <v>157</v>
      </c>
      <c r="K1008" s="86">
        <f t="shared" si="1072"/>
        <v>158</v>
      </c>
      <c r="L1008" s="86">
        <f t="shared" si="1072"/>
        <v>159</v>
      </c>
      <c r="M1008" s="86">
        <f t="shared" si="1072"/>
        <v>160</v>
      </c>
    </row>
    <row r="1009" ht="15.75" customHeight="1">
      <c r="A1009" s="69"/>
      <c r="B1009" s="69"/>
      <c r="C1009" s="71"/>
      <c r="D1009" s="91" t="str">
        <f>if(isblank(I1009),"",vlookup(I1009,Pacing!$A$1:$Z$213,23))</f>
        <v/>
      </c>
      <c r="E1009" s="89" t="str">
        <f>if(isblank(J1009),"",vlookup(J1009,Pacing!$A$1:$Z$213,23))</f>
        <v/>
      </c>
      <c r="F1009" s="89" t="str">
        <f>if(isblank(K1009),"",vlookup(K1009,Pacing!$A$1:$Z$213,23))</f>
        <v/>
      </c>
      <c r="G1009" s="89" t="str">
        <f>if(isblank(L1009),"",vlookup(L1009,Pacing!$A$1:$Z$213,23))</f>
        <v/>
      </c>
      <c r="H1009" s="89" t="str">
        <f>if(isblank(M1009),"",vlookup(M1009,Pacing!$A$1:$Z$213,23))</f>
        <v/>
      </c>
      <c r="I1009" s="86">
        <f t="shared" ref="I1009:M1009" si="1073">I1008</f>
        <v>156</v>
      </c>
      <c r="J1009" s="86">
        <f t="shared" si="1073"/>
        <v>157</v>
      </c>
      <c r="K1009" s="86">
        <f t="shared" si="1073"/>
        <v>158</v>
      </c>
      <c r="L1009" s="86">
        <f t="shared" si="1073"/>
        <v>159</v>
      </c>
      <c r="M1009" s="86">
        <f t="shared" si="1073"/>
        <v>160</v>
      </c>
    </row>
    <row r="1010" ht="15.75" customHeight="1">
      <c r="A1010" s="69"/>
      <c r="B1010" s="69"/>
      <c r="C1010" s="71"/>
      <c r="D1010" s="91" t="str">
        <f>if(isblank(I1010),"",vlookup(I1010,Pacing!$A$1:$Z$213,24))</f>
        <v/>
      </c>
      <c r="E1010" s="89" t="str">
        <f>if(isblank(J1010),"",vlookup(J1010,Pacing!$A$1:$Z$213,24))</f>
        <v/>
      </c>
      <c r="F1010" s="89" t="str">
        <f>if(isblank(K1010),"",vlookup(K1010,Pacing!$A$1:$Z$213,24))</f>
        <v/>
      </c>
      <c r="G1010" s="89" t="str">
        <f>if(isblank(L1010),"",vlookup(L1010,Pacing!$A$1:$Z$213,24))</f>
        <v/>
      </c>
      <c r="H1010" s="89" t="str">
        <f>if(isblank(M1010),"",vlookup(M1010,Pacing!$A$1:$Z$213,24))</f>
        <v/>
      </c>
      <c r="I1010" s="86">
        <f t="shared" ref="I1010:M1010" si="1074">I1009</f>
        <v>156</v>
      </c>
      <c r="J1010" s="86">
        <f t="shared" si="1074"/>
        <v>157</v>
      </c>
      <c r="K1010" s="86">
        <f t="shared" si="1074"/>
        <v>158</v>
      </c>
      <c r="L1010" s="86">
        <f t="shared" si="1074"/>
        <v>159</v>
      </c>
      <c r="M1010" s="86">
        <f t="shared" si="1074"/>
        <v>160</v>
      </c>
    </row>
    <row r="1011" ht="15.75" customHeight="1">
      <c r="A1011" s="69"/>
      <c r="B1011" s="69"/>
      <c r="C1011" s="71"/>
      <c r="D1011" s="91" t="str">
        <f>if(isblank(I1011),"",vlookup(I1011,Pacing!$A$1:$Z$213,25))</f>
        <v/>
      </c>
      <c r="E1011" s="89" t="str">
        <f>if(isblank(J1011),"",vlookup(J1011,Pacing!$A$1:$Z$213,25))</f>
        <v/>
      </c>
      <c r="F1011" s="89" t="str">
        <f>if(isblank(K1011),"",vlookup(K1011,Pacing!$A$1:$Z$213,25))</f>
        <v/>
      </c>
      <c r="G1011" s="89" t="str">
        <f>if(isblank(L1011),"",vlookup(L1011,Pacing!$A$1:$Z$213,25))</f>
        <v/>
      </c>
      <c r="H1011" s="89" t="str">
        <f>if(isblank(M1011),"",vlookup(M1011,Pacing!$A$1:$Z$213,25))</f>
        <v/>
      </c>
      <c r="I1011" s="86">
        <f t="shared" ref="I1011:M1011" si="1075">I1010</f>
        <v>156</v>
      </c>
      <c r="J1011" s="86">
        <f t="shared" si="1075"/>
        <v>157</v>
      </c>
      <c r="K1011" s="86">
        <f t="shared" si="1075"/>
        <v>158</v>
      </c>
      <c r="L1011" s="86">
        <f t="shared" si="1075"/>
        <v>159</v>
      </c>
      <c r="M1011" s="86">
        <f t="shared" si="1075"/>
        <v>160</v>
      </c>
    </row>
    <row r="1012" ht="15.75" customHeight="1">
      <c r="A1012" s="69"/>
      <c r="B1012" s="69"/>
      <c r="C1012" s="71"/>
      <c r="D1012" s="91" t="str">
        <f>if(isblank(I1012),"",vlookup(I1012,Pacing!$A$1:$Z$213,26))</f>
        <v/>
      </c>
      <c r="E1012" s="89" t="str">
        <f>if(isblank(J1012),"",vlookup(J1012,Pacing!$A$1:$Z$213,26))</f>
        <v/>
      </c>
      <c r="F1012" s="89" t="str">
        <f>if(isblank(K1012),"",vlookup(K1012,Pacing!$A$1:$Z$213,26))</f>
        <v/>
      </c>
      <c r="G1012" s="89" t="str">
        <f>if(isblank(L1012),"",vlookup(L1012,Pacing!$A$1:$Z$213,26))</f>
        <v/>
      </c>
      <c r="H1012" s="89" t="str">
        <f>if(isblank(M1012),"",vlookup(M1012,Pacing!$A$1:$Z$213,26))</f>
        <v/>
      </c>
      <c r="I1012" s="86">
        <f t="shared" ref="I1012:M1012" si="1076">I1011</f>
        <v>156</v>
      </c>
      <c r="J1012" s="86">
        <f t="shared" si="1076"/>
        <v>157</v>
      </c>
      <c r="K1012" s="86">
        <f t="shared" si="1076"/>
        <v>158</v>
      </c>
      <c r="L1012" s="86">
        <f t="shared" si="1076"/>
        <v>159</v>
      </c>
      <c r="M1012" s="86">
        <f t="shared" si="1076"/>
        <v>160</v>
      </c>
    </row>
    <row r="1013" ht="15.75" customHeight="1">
      <c r="A1013" s="137"/>
      <c r="B1013" s="137"/>
      <c r="C1013" s="138"/>
      <c r="D1013" s="139">
        <f>H986+1</f>
        <v>161</v>
      </c>
      <c r="E1013" s="139">
        <f t="shared" ref="E1013:H1013" si="1077">D1013+1</f>
        <v>162</v>
      </c>
      <c r="F1013" s="139">
        <f t="shared" si="1077"/>
        <v>163</v>
      </c>
      <c r="G1013" s="139">
        <f t="shared" si="1077"/>
        <v>164</v>
      </c>
      <c r="H1013" s="139">
        <f t="shared" si="1077"/>
        <v>165</v>
      </c>
      <c r="I1013" s="55">
        <f t="shared" ref="I1013:M1013" si="1078">D1013</f>
        <v>161</v>
      </c>
      <c r="J1013" s="55">
        <f t="shared" si="1078"/>
        <v>162</v>
      </c>
      <c r="K1013" s="55">
        <f t="shared" si="1078"/>
        <v>163</v>
      </c>
      <c r="L1013" s="55">
        <f t="shared" si="1078"/>
        <v>164</v>
      </c>
      <c r="M1013" s="55">
        <f t="shared" si="1078"/>
        <v>165</v>
      </c>
    </row>
    <row r="1014" ht="15.75" customHeight="1">
      <c r="A1014" s="69">
        <f>B1014+1</f>
        <v>381</v>
      </c>
      <c r="B1014" s="69">
        <f t="shared" ref="B1014:B1021" si="1080">$C$1014*10</f>
        <v>380</v>
      </c>
      <c r="C1014" s="71">
        <f>C987+1</f>
        <v>38</v>
      </c>
      <c r="D1014" s="72">
        <f>D987+7</f>
        <v>46524</v>
      </c>
      <c r="E1014" s="72">
        <f t="shared" ref="E1014:H1014" si="1079">D1014+1</f>
        <v>46525</v>
      </c>
      <c r="F1014" s="72">
        <f t="shared" si="1079"/>
        <v>46526</v>
      </c>
      <c r="G1014" s="72">
        <f t="shared" si="1079"/>
        <v>46527</v>
      </c>
      <c r="H1014" s="72">
        <f t="shared" si="1079"/>
        <v>46528</v>
      </c>
      <c r="I1014" s="62" t="s">
        <v>42</v>
      </c>
    </row>
    <row r="1015" ht="15.75" customHeight="1">
      <c r="A1015" s="75">
        <f>B1015+2</f>
        <v>382</v>
      </c>
      <c r="B1015" s="75">
        <f t="shared" si="1080"/>
        <v>380</v>
      </c>
      <c r="C1015" s="76"/>
      <c r="D1015" s="131" t="str">
        <f>if(isblank(I1015),"",vlookup(I1015,Pacing!$A$1:$Z$213,2))</f>
        <v/>
      </c>
      <c r="E1015" s="131" t="str">
        <f>if(isblank(J1015),"",vlookup(J1015,Pacing!$A$1:$Z$213,2))</f>
        <v/>
      </c>
      <c r="F1015" s="131" t="str">
        <f>if(isblank(K1015),"",vlookup(K1015,Pacing!$A$1:$Z$213,2))</f>
        <v/>
      </c>
      <c r="G1015" s="131" t="str">
        <f>if(isblank(L1015),"",vlookup(L1015,Pacing!$A$1:$Z$213,2))</f>
        <v/>
      </c>
      <c r="H1015" s="131" t="str">
        <f>if(isblank(M1015),"",vlookup(M1015,Pacing!$A$1:$Z$213,2))</f>
        <v/>
      </c>
      <c r="I1015" s="78">
        <f t="shared" ref="I1015:M1015" si="1081">I1013</f>
        <v>161</v>
      </c>
      <c r="J1015" s="78">
        <f t="shared" si="1081"/>
        <v>162</v>
      </c>
      <c r="K1015" s="78">
        <f t="shared" si="1081"/>
        <v>163</v>
      </c>
      <c r="L1015" s="78">
        <f t="shared" si="1081"/>
        <v>164</v>
      </c>
      <c r="M1015" s="78">
        <f t="shared" si="1081"/>
        <v>165</v>
      </c>
    </row>
    <row r="1016" ht="15.75" customHeight="1">
      <c r="A1016" s="69">
        <f>B1016+3</f>
        <v>383</v>
      </c>
      <c r="B1016" s="69">
        <f t="shared" si="1080"/>
        <v>380</v>
      </c>
      <c r="C1016" s="76"/>
      <c r="D1016" s="91" t="str">
        <f>if(isblank(I1016),"",vlookup(I1016,Pacing!$A$1:$Z$213,3))</f>
        <v/>
      </c>
      <c r="E1016" s="89" t="str">
        <f>if(isblank(J1016),"",vlookup(J1016,Pacing!$A$1:$Z$213,3))</f>
        <v/>
      </c>
      <c r="F1016" s="89" t="str">
        <f>if(isblank(K1016),"",vlookup(K1016,Pacing!$A$1:$Z$213,3))</f>
        <v/>
      </c>
      <c r="G1016" s="89" t="str">
        <f>if(isblank(L1016),"",vlookup(L1016,Pacing!$A$1:$Z$213,3))</f>
        <v/>
      </c>
      <c r="H1016" s="89" t="str">
        <f>if(isblank(M1016),"",vlookup(M1016,Pacing!$A$1:$Z$213,3))</f>
        <v/>
      </c>
      <c r="I1016" s="86">
        <f t="shared" ref="I1016:M1016" si="1082">I1015</f>
        <v>161</v>
      </c>
      <c r="J1016" s="86">
        <f t="shared" si="1082"/>
        <v>162</v>
      </c>
      <c r="K1016" s="86">
        <f t="shared" si="1082"/>
        <v>163</v>
      </c>
      <c r="L1016" s="86">
        <f t="shared" si="1082"/>
        <v>164</v>
      </c>
      <c r="M1016" s="86">
        <f t="shared" si="1082"/>
        <v>165</v>
      </c>
    </row>
    <row r="1017" ht="15.75" customHeight="1">
      <c r="A1017" s="69">
        <f>B1017+4</f>
        <v>384</v>
      </c>
      <c r="B1017" s="69">
        <f t="shared" si="1080"/>
        <v>380</v>
      </c>
      <c r="C1017" s="76"/>
      <c r="D1017" s="91" t="str">
        <f>if(isblank(I1017),"",vlookup(I1017,Pacing!$A$1:$Z$213,4))</f>
        <v/>
      </c>
      <c r="E1017" s="89" t="str">
        <f>if(isblank(J1017),"",vlookup(J1017,Pacing!$A$1:$Z$213,4))</f>
        <v/>
      </c>
      <c r="F1017" s="89" t="str">
        <f>if(isblank(K1017),"",vlookup(K1017,Pacing!$A$1:$Z$213,4))</f>
        <v/>
      </c>
      <c r="G1017" s="89" t="str">
        <f>if(isblank(L1017),"",vlookup(L1017,Pacing!$A$1:$Z$213,4))</f>
        <v/>
      </c>
      <c r="H1017" s="89" t="str">
        <f>if(isblank(M1017),"",vlookup(M1017,Pacing!$A$1:$Z$213,4))</f>
        <v/>
      </c>
      <c r="I1017" s="86">
        <f t="shared" ref="I1017:M1017" si="1083">I1016</f>
        <v>161</v>
      </c>
      <c r="J1017" s="86">
        <f t="shared" si="1083"/>
        <v>162</v>
      </c>
      <c r="K1017" s="86">
        <f t="shared" si="1083"/>
        <v>163</v>
      </c>
      <c r="L1017" s="86">
        <f t="shared" si="1083"/>
        <v>164</v>
      </c>
      <c r="M1017" s="86">
        <f t="shared" si="1083"/>
        <v>165</v>
      </c>
    </row>
    <row r="1018" ht="15.75" customHeight="1">
      <c r="A1018" s="69">
        <f>B1018+5</f>
        <v>385</v>
      </c>
      <c r="B1018" s="69">
        <f t="shared" si="1080"/>
        <v>380</v>
      </c>
      <c r="C1018" s="76"/>
      <c r="D1018" s="91" t="str">
        <f>if(isblank(I1018),"",vlookup(I1018,Pacing!$A$1:$Z$213,5))</f>
        <v/>
      </c>
      <c r="E1018" s="89" t="str">
        <f>if(isblank(J1018),"",vlookup(J1018,Pacing!$A$1:$Z$213,5))</f>
        <v/>
      </c>
      <c r="F1018" s="89" t="str">
        <f>if(isblank(K1018),"",vlookup(K1018,Pacing!$A$1:$Z$213,5))</f>
        <v/>
      </c>
      <c r="G1018" s="89" t="str">
        <f>if(isblank(L1018),"",vlookup(L1018,Pacing!$A$1:$Z$213,5))</f>
        <v/>
      </c>
      <c r="H1018" s="89" t="str">
        <f>if(isblank(M1018),"",vlookup(M1018,Pacing!$A$1:$Z$213,5))</f>
        <v/>
      </c>
      <c r="I1018" s="86">
        <f t="shared" ref="I1018:M1018" si="1084">I1017</f>
        <v>161</v>
      </c>
      <c r="J1018" s="86">
        <f t="shared" si="1084"/>
        <v>162</v>
      </c>
      <c r="K1018" s="86">
        <f t="shared" si="1084"/>
        <v>163</v>
      </c>
      <c r="L1018" s="86">
        <f t="shared" si="1084"/>
        <v>164</v>
      </c>
      <c r="M1018" s="86">
        <f t="shared" si="1084"/>
        <v>165</v>
      </c>
    </row>
    <row r="1019" ht="15.75" customHeight="1">
      <c r="A1019" s="69">
        <f>B1019+6</f>
        <v>386</v>
      </c>
      <c r="B1019" s="69">
        <f t="shared" si="1080"/>
        <v>380</v>
      </c>
      <c r="C1019" s="76"/>
      <c r="D1019" s="91" t="str">
        <f>if(isblank(I1019),"",vlookup(I1019,Pacing!$A$1:$Z$213,6))</f>
        <v/>
      </c>
      <c r="E1019" s="89" t="str">
        <f>if(isblank(J1019),"",vlookup(J1019,Pacing!$A$1:$Z$213,6))</f>
        <v/>
      </c>
      <c r="F1019" s="89" t="str">
        <f>if(isblank(K1019),"",vlookup(K1019,Pacing!$A$1:$Z$213,6))</f>
        <v/>
      </c>
      <c r="G1019" s="89" t="str">
        <f>if(isblank(L1019),"",vlookup(L1019,Pacing!$A$1:$Z$213,6))</f>
        <v/>
      </c>
      <c r="H1019" s="89" t="str">
        <f>if(isblank(M1019),"",vlookup(M1019,Pacing!$A$1:$Z$213,6))</f>
        <v/>
      </c>
      <c r="I1019" s="86">
        <f t="shared" ref="I1019:M1019" si="1085">I1018</f>
        <v>161</v>
      </c>
      <c r="J1019" s="86">
        <f t="shared" si="1085"/>
        <v>162</v>
      </c>
      <c r="K1019" s="86">
        <f t="shared" si="1085"/>
        <v>163</v>
      </c>
      <c r="L1019" s="86">
        <f t="shared" si="1085"/>
        <v>164</v>
      </c>
      <c r="M1019" s="86">
        <f t="shared" si="1085"/>
        <v>165</v>
      </c>
    </row>
    <row r="1020" ht="15.75" customHeight="1">
      <c r="A1020" s="69">
        <f>B1020+7</f>
        <v>387</v>
      </c>
      <c r="B1020" s="69">
        <f t="shared" si="1080"/>
        <v>380</v>
      </c>
      <c r="C1020" s="76"/>
      <c r="D1020" s="91" t="str">
        <f>if(isblank(I1020),"",vlookup(I1020,Pacing!$A$1:$Z$213,7))</f>
        <v/>
      </c>
      <c r="E1020" s="89" t="str">
        <f>if(isblank(J1020),"",vlookup(J1020,Pacing!$A$1:$Z$213,7))</f>
        <v/>
      </c>
      <c r="F1020" s="89" t="str">
        <f>if(isblank(K1020),"",vlookup(K1020,Pacing!$A$1:$Z$213,7))</f>
        <v/>
      </c>
      <c r="G1020" s="89" t="str">
        <f>if(isblank(L1020),"",vlookup(L1020,Pacing!$A$1:$Z$213,7))</f>
        <v/>
      </c>
      <c r="H1020" s="89" t="str">
        <f>if(isblank(M1020),"",vlookup(M1020,Pacing!$A$1:$Z$213,7))</f>
        <v/>
      </c>
      <c r="I1020" s="86">
        <f t="shared" ref="I1020:M1020" si="1086">I1019</f>
        <v>161</v>
      </c>
      <c r="J1020" s="86">
        <f t="shared" si="1086"/>
        <v>162</v>
      </c>
      <c r="K1020" s="86">
        <f t="shared" si="1086"/>
        <v>163</v>
      </c>
      <c r="L1020" s="86">
        <f t="shared" si="1086"/>
        <v>164</v>
      </c>
      <c r="M1020" s="86">
        <f t="shared" si="1086"/>
        <v>165</v>
      </c>
    </row>
    <row r="1021" ht="15.75" customHeight="1">
      <c r="A1021" s="69">
        <f>B1021+8</f>
        <v>388</v>
      </c>
      <c r="B1021" s="69">
        <f t="shared" si="1080"/>
        <v>380</v>
      </c>
      <c r="C1021" s="95"/>
      <c r="D1021" s="91" t="str">
        <f>if(isblank(I1021),"",vlookup(I1021,Pacing!$A$1:$Z$213,8))</f>
        <v/>
      </c>
      <c r="E1021" s="89" t="str">
        <f>if(isblank(J1021),"",vlookup(J1021,Pacing!$A$1:$Z$213,8))</f>
        <v/>
      </c>
      <c r="F1021" s="89" t="str">
        <f>if(isblank(K1021),"",vlookup(K1021,Pacing!$A$1:$Z$213,8))</f>
        <v/>
      </c>
      <c r="G1021" s="89" t="str">
        <f>if(isblank(L1021),"",vlookup(L1021,Pacing!$A$1:$Z$213,8))</f>
        <v/>
      </c>
      <c r="H1021" s="89" t="str">
        <f>if(isblank(M1021),"",vlookup(M1021,Pacing!$A$1:$Z$213,8))</f>
        <v/>
      </c>
      <c r="I1021" s="86">
        <f t="shared" ref="I1021:M1021" si="1087">I1020</f>
        <v>161</v>
      </c>
      <c r="J1021" s="86">
        <f t="shared" si="1087"/>
        <v>162</v>
      </c>
      <c r="K1021" s="86">
        <f t="shared" si="1087"/>
        <v>163</v>
      </c>
      <c r="L1021" s="86">
        <f t="shared" si="1087"/>
        <v>164</v>
      </c>
      <c r="M1021" s="86">
        <f t="shared" si="1087"/>
        <v>165</v>
      </c>
    </row>
    <row r="1022" ht="15.75" customHeight="1">
      <c r="A1022" s="69"/>
      <c r="B1022" s="69"/>
      <c r="C1022" s="71"/>
      <c r="D1022" s="91" t="str">
        <f>if(isblank(I1022),"",vlookup(I1022,Pacing!$A$1:$Z$213,9))</f>
        <v/>
      </c>
      <c r="E1022" s="89" t="str">
        <f>if(isblank(J1022),"",vlookup(J1022,Pacing!$A$1:$Z$213,9))</f>
        <v/>
      </c>
      <c r="F1022" s="89" t="str">
        <f>if(isblank(K1022),"",vlookup(K1022,Pacing!$A$1:$Z$213,9))</f>
        <v/>
      </c>
      <c r="G1022" s="89" t="str">
        <f>if(isblank(L1022),"",vlookup(L1022,Pacing!$A$1:$Z$213,9))</f>
        <v/>
      </c>
      <c r="H1022" s="89" t="str">
        <f>if(isblank(M1022),"",vlookup(M1022,Pacing!$A$1:$Z$213,9))</f>
        <v/>
      </c>
      <c r="I1022" s="86">
        <f t="shared" ref="I1022:M1022" si="1088">I1021</f>
        <v>161</v>
      </c>
      <c r="J1022" s="86">
        <f t="shared" si="1088"/>
        <v>162</v>
      </c>
      <c r="K1022" s="86">
        <f t="shared" si="1088"/>
        <v>163</v>
      </c>
      <c r="L1022" s="86">
        <f t="shared" si="1088"/>
        <v>164</v>
      </c>
      <c r="M1022" s="86">
        <f t="shared" si="1088"/>
        <v>165</v>
      </c>
    </row>
    <row r="1023" ht="15.75" customHeight="1">
      <c r="A1023" s="69"/>
      <c r="B1023" s="69"/>
      <c r="C1023" s="71"/>
      <c r="D1023" s="91" t="str">
        <f>if(isblank(I1023),"",vlookup(I1023,Pacing!$A$1:$Z$213,10))</f>
        <v/>
      </c>
      <c r="E1023" s="89" t="str">
        <f>if(isblank(J1023),"",vlookup(J1023,Pacing!$A$1:$Z$213,10))</f>
        <v/>
      </c>
      <c r="F1023" s="89" t="str">
        <f>if(isblank(K1023),"",vlookup(K1023,Pacing!$A$1:$Z$213,10))</f>
        <v/>
      </c>
      <c r="G1023" s="89" t="str">
        <f>if(isblank(L1023),"",vlookup(L1023,Pacing!$A$1:$Z$213,10))</f>
        <v/>
      </c>
      <c r="H1023" s="89" t="str">
        <f>if(isblank(M1023),"",vlookup(M1023,Pacing!$A$1:$Z$213,10))</f>
        <v/>
      </c>
      <c r="I1023" s="86">
        <f t="shared" ref="I1023:M1023" si="1089">I1022</f>
        <v>161</v>
      </c>
      <c r="J1023" s="86">
        <f t="shared" si="1089"/>
        <v>162</v>
      </c>
      <c r="K1023" s="86">
        <f t="shared" si="1089"/>
        <v>163</v>
      </c>
      <c r="L1023" s="86">
        <f t="shared" si="1089"/>
        <v>164</v>
      </c>
      <c r="M1023" s="86">
        <f t="shared" si="1089"/>
        <v>165</v>
      </c>
    </row>
    <row r="1024" ht="15.75" customHeight="1">
      <c r="A1024" s="69"/>
      <c r="B1024" s="69"/>
      <c r="C1024" s="71"/>
      <c r="D1024" s="91" t="str">
        <f>if(isblank(I1024),"",vlookup(I1024,Pacing!$A$1:$Z$213,11))</f>
        <v/>
      </c>
      <c r="E1024" s="89" t="str">
        <f>if(isblank(J1024),"",vlookup(J1024,Pacing!$A$1:$Z$213,11))</f>
        <v/>
      </c>
      <c r="F1024" s="89" t="str">
        <f>if(isblank(K1024),"",vlookup(K1024,Pacing!$A$1:$Z$213,11))</f>
        <v/>
      </c>
      <c r="G1024" s="89" t="str">
        <f>if(isblank(L1024),"",vlookup(L1024,Pacing!$A$1:$Z$213,11))</f>
        <v/>
      </c>
      <c r="H1024" s="89" t="str">
        <f>if(isblank(M1024),"",vlookup(M1024,Pacing!$A$1:$Z$213,11))</f>
        <v/>
      </c>
      <c r="I1024" s="86">
        <f t="shared" ref="I1024:M1024" si="1090">I1023</f>
        <v>161</v>
      </c>
      <c r="J1024" s="86">
        <f t="shared" si="1090"/>
        <v>162</v>
      </c>
      <c r="K1024" s="86">
        <f t="shared" si="1090"/>
        <v>163</v>
      </c>
      <c r="L1024" s="86">
        <f t="shared" si="1090"/>
        <v>164</v>
      </c>
      <c r="M1024" s="86">
        <f t="shared" si="1090"/>
        <v>165</v>
      </c>
    </row>
    <row r="1025" ht="15.75" customHeight="1">
      <c r="A1025" s="69"/>
      <c r="B1025" s="69"/>
      <c r="C1025" s="71"/>
      <c r="D1025" s="91" t="str">
        <f>if(isblank(I1025),"",vlookup(I1025,Pacing!$A$1:$Z$213,12))</f>
        <v/>
      </c>
      <c r="E1025" s="91" t="str">
        <f>if(isblank(J1025),"",vlookup(J1025,Pacing!$A$1:$Z$213,12))</f>
        <v/>
      </c>
      <c r="F1025" s="91" t="str">
        <f>if(isblank(K1025),"",vlookup(K1025,Pacing!$A$1:$Z$213,12))</f>
        <v/>
      </c>
      <c r="G1025" s="91" t="str">
        <f>if(isblank(L1025),"",vlookup(L1025,Pacing!$A$1:$Z$213,12))</f>
        <v/>
      </c>
      <c r="H1025" s="91" t="str">
        <f>if(isblank(M1025),"",vlookup(M1025,Pacing!$A$1:$Z$213,12))</f>
        <v/>
      </c>
      <c r="I1025" s="86">
        <f t="shared" ref="I1025:M1025" si="1091">I1024</f>
        <v>161</v>
      </c>
      <c r="J1025" s="86">
        <f t="shared" si="1091"/>
        <v>162</v>
      </c>
      <c r="K1025" s="86">
        <f t="shared" si="1091"/>
        <v>163</v>
      </c>
      <c r="L1025" s="86">
        <f t="shared" si="1091"/>
        <v>164</v>
      </c>
      <c r="M1025" s="86">
        <f t="shared" si="1091"/>
        <v>165</v>
      </c>
    </row>
    <row r="1026" ht="15.75" customHeight="1">
      <c r="A1026" s="69"/>
      <c r="B1026" s="69"/>
      <c r="C1026" s="71"/>
      <c r="D1026" s="91" t="str">
        <f>if(isblank(I1026),"",vlookup(I1026,Pacing!$A$1:$Z$213,13))</f>
        <v/>
      </c>
      <c r="E1026" s="91" t="str">
        <f>if(isblank(J1026),"",vlookup(J1026,Pacing!$A$1:$Z$213,13))</f>
        <v/>
      </c>
      <c r="F1026" s="91" t="str">
        <f>if(isblank(K1026),"",vlookup(K1026,Pacing!$A$1:$Z$213,13))</f>
        <v/>
      </c>
      <c r="G1026" s="91" t="str">
        <f>if(isblank(L1026),"",vlookup(L1026,Pacing!$A$1:$Z$213,13))</f>
        <v/>
      </c>
      <c r="H1026" s="91" t="str">
        <f>if(isblank(M1026),"",vlookup(M1026,Pacing!$A$1:$Z$213,13))</f>
        <v/>
      </c>
      <c r="I1026" s="86">
        <f t="shared" ref="I1026:M1026" si="1092">I1025</f>
        <v>161</v>
      </c>
      <c r="J1026" s="86">
        <f t="shared" si="1092"/>
        <v>162</v>
      </c>
      <c r="K1026" s="86">
        <f t="shared" si="1092"/>
        <v>163</v>
      </c>
      <c r="L1026" s="86">
        <f t="shared" si="1092"/>
        <v>164</v>
      </c>
      <c r="M1026" s="86">
        <f t="shared" si="1092"/>
        <v>165</v>
      </c>
    </row>
    <row r="1027" ht="15.75" customHeight="1">
      <c r="A1027" s="69"/>
      <c r="B1027" s="69"/>
      <c r="C1027" s="71"/>
      <c r="D1027" s="91" t="str">
        <f>if(isblank(I1027),"",vlookup(I1027,Pacing!$A$1:$Z$213,14))</f>
        <v/>
      </c>
      <c r="E1027" s="89" t="str">
        <f>if(isblank(J1027),"",vlookup(J1027,Pacing!$A$1:$Z$213,14))</f>
        <v/>
      </c>
      <c r="F1027" s="89" t="str">
        <f>if(isblank(K1027),"",vlookup(K1027,Pacing!$A$1:$Z$213,14))</f>
        <v/>
      </c>
      <c r="G1027" s="89" t="str">
        <f>if(isblank(L1027),"",vlookup(L1027,Pacing!$A$1:$Z$213,14))</f>
        <v/>
      </c>
      <c r="H1027" s="89" t="str">
        <f>if(isblank(M1027),"",vlookup(M1027,Pacing!$A$1:$Z$213,14))</f>
        <v/>
      </c>
      <c r="I1027" s="86">
        <f t="shared" ref="I1027:M1027" si="1093">I1026</f>
        <v>161</v>
      </c>
      <c r="J1027" s="86">
        <f t="shared" si="1093"/>
        <v>162</v>
      </c>
      <c r="K1027" s="86">
        <f t="shared" si="1093"/>
        <v>163</v>
      </c>
      <c r="L1027" s="86">
        <f t="shared" si="1093"/>
        <v>164</v>
      </c>
      <c r="M1027" s="86">
        <f t="shared" si="1093"/>
        <v>165</v>
      </c>
    </row>
    <row r="1028" ht="15.75" customHeight="1">
      <c r="A1028" s="69"/>
      <c r="B1028" s="69"/>
      <c r="C1028" s="71"/>
      <c r="D1028" s="91" t="str">
        <f>if(isblank(I1028),"",vlookup(I1028,Pacing!$A$1:$Z$213,15))</f>
        <v/>
      </c>
      <c r="E1028" s="89" t="str">
        <f>if(isblank(J1028),"",vlookup(J1028,Pacing!$A$1:$Z$213,15))</f>
        <v/>
      </c>
      <c r="F1028" s="89" t="str">
        <f>if(isblank(K1028),"",vlookup(K1028,Pacing!$A$1:$Z$213,15))</f>
        <v/>
      </c>
      <c r="G1028" s="89" t="str">
        <f>if(isblank(L1028),"",vlookup(L1028,Pacing!$A$1:$Z$213,15))</f>
        <v/>
      </c>
      <c r="H1028" s="89" t="str">
        <f>if(isblank(M1028),"",vlookup(M1028,Pacing!$A$1:$Z$213,15))</f>
        <v/>
      </c>
      <c r="I1028" s="86">
        <f t="shared" ref="I1028:M1028" si="1094">I1027</f>
        <v>161</v>
      </c>
      <c r="J1028" s="86">
        <f t="shared" si="1094"/>
        <v>162</v>
      </c>
      <c r="K1028" s="86">
        <f t="shared" si="1094"/>
        <v>163</v>
      </c>
      <c r="L1028" s="86">
        <f t="shared" si="1094"/>
        <v>164</v>
      </c>
      <c r="M1028" s="86">
        <f t="shared" si="1094"/>
        <v>165</v>
      </c>
    </row>
    <row r="1029" ht="15.75" customHeight="1">
      <c r="A1029" s="69"/>
      <c r="B1029" s="69"/>
      <c r="C1029" s="71"/>
      <c r="D1029" s="91" t="str">
        <f>if(isblank(I1029),"",vlookup(I1029,Pacing!$A$1:$Z$213,16))</f>
        <v/>
      </c>
      <c r="E1029" s="89" t="str">
        <f>if(isblank(J1029),"",vlookup(J1029,Pacing!$A$1:$Z$213,16))</f>
        <v/>
      </c>
      <c r="F1029" s="89" t="str">
        <f>if(isblank(K1029),"",vlookup(K1029,Pacing!$A$1:$Z$213,16))</f>
        <v/>
      </c>
      <c r="G1029" s="89" t="str">
        <f>if(isblank(L1029),"",vlookup(L1029,Pacing!$A$1:$Z$213,16))</f>
        <v/>
      </c>
      <c r="H1029" s="89" t="str">
        <f>if(isblank(M1029),"",vlookup(M1029,Pacing!$A$1:$Z$213,16))</f>
        <v/>
      </c>
      <c r="I1029" s="86">
        <f t="shared" ref="I1029:M1029" si="1095">I1028</f>
        <v>161</v>
      </c>
      <c r="J1029" s="86">
        <f t="shared" si="1095"/>
        <v>162</v>
      </c>
      <c r="K1029" s="86">
        <f t="shared" si="1095"/>
        <v>163</v>
      </c>
      <c r="L1029" s="86">
        <f t="shared" si="1095"/>
        <v>164</v>
      </c>
      <c r="M1029" s="86">
        <f t="shared" si="1095"/>
        <v>165</v>
      </c>
    </row>
    <row r="1030" ht="15.75" customHeight="1">
      <c r="A1030" s="69"/>
      <c r="B1030" s="69"/>
      <c r="C1030" s="71"/>
      <c r="D1030" s="91" t="str">
        <f>if(isblank(I1030),"",vlookup(I1030,Pacing!$A$1:$Z$213,17))</f>
        <v/>
      </c>
      <c r="E1030" s="89" t="str">
        <f>if(isblank(J1030),"",vlookup(J1030,Pacing!$A$1:$Z$213,17))</f>
        <v/>
      </c>
      <c r="F1030" s="89" t="str">
        <f>if(isblank(K1030),"",vlookup(K1030,Pacing!$A$1:$Z$213,17))</f>
        <v/>
      </c>
      <c r="G1030" s="89" t="str">
        <f>if(isblank(L1030),"",vlookup(L1030,Pacing!$A$1:$Z$213,17))</f>
        <v/>
      </c>
      <c r="H1030" s="89" t="str">
        <f>if(isblank(M1030),"",vlookup(M1030,Pacing!$A$1:$Z$213,17))</f>
        <v/>
      </c>
      <c r="I1030" s="86">
        <f t="shared" ref="I1030:M1030" si="1096">I1029</f>
        <v>161</v>
      </c>
      <c r="J1030" s="86">
        <f t="shared" si="1096"/>
        <v>162</v>
      </c>
      <c r="K1030" s="86">
        <f t="shared" si="1096"/>
        <v>163</v>
      </c>
      <c r="L1030" s="86">
        <f t="shared" si="1096"/>
        <v>164</v>
      </c>
      <c r="M1030" s="86">
        <f t="shared" si="1096"/>
        <v>165</v>
      </c>
    </row>
    <row r="1031" ht="15.75" customHeight="1">
      <c r="A1031" s="69"/>
      <c r="B1031" s="69"/>
      <c r="C1031" s="71"/>
      <c r="D1031" s="91" t="str">
        <f>if(isblank(I1031),"",vlookup(I1031,Pacing!$A$1:$Z$213,18))</f>
        <v/>
      </c>
      <c r="E1031" s="91" t="str">
        <f>if(isblank(J1031),"",vlookup(J1031,Pacing!$A$1:$Z$213,18))</f>
        <v/>
      </c>
      <c r="F1031" s="91" t="str">
        <f>if(isblank(K1031),"",vlookup(K1031,Pacing!$A$1:$Z$213,18))</f>
        <v/>
      </c>
      <c r="G1031" s="91" t="str">
        <f>if(isblank(L1031),"",vlookup(L1031,Pacing!$A$1:$Z$213,18))</f>
        <v/>
      </c>
      <c r="H1031" s="91" t="str">
        <f>if(isblank(M1031),"",vlookup(M1031,Pacing!$A$1:$Z$213,18))</f>
        <v/>
      </c>
      <c r="I1031" s="86">
        <f t="shared" ref="I1031:M1031" si="1097">I1030</f>
        <v>161</v>
      </c>
      <c r="J1031" s="86">
        <f t="shared" si="1097"/>
        <v>162</v>
      </c>
      <c r="K1031" s="86">
        <f t="shared" si="1097"/>
        <v>163</v>
      </c>
      <c r="L1031" s="86">
        <f t="shared" si="1097"/>
        <v>164</v>
      </c>
      <c r="M1031" s="86">
        <f t="shared" si="1097"/>
        <v>165</v>
      </c>
    </row>
    <row r="1032" ht="15.75" customHeight="1">
      <c r="A1032" s="69"/>
      <c r="B1032" s="69"/>
      <c r="C1032" s="71"/>
      <c r="D1032" s="91" t="str">
        <f>if(isblank(I1032),"",vlookup(I1032,Pacing!$A$1:$Z$213,19))</f>
        <v/>
      </c>
      <c r="E1032" s="89" t="str">
        <f>if(isblank(J1032),"",vlookup(J1032,Pacing!$A$1:$Z$213,19))</f>
        <v/>
      </c>
      <c r="F1032" s="89" t="str">
        <f>if(isblank(K1032),"",vlookup(K1032,Pacing!$A$1:$Z$213,19))</f>
        <v/>
      </c>
      <c r="G1032" s="89" t="str">
        <f>if(isblank(L1032),"",vlookup(L1032,Pacing!$A$1:$Z$213,19))</f>
        <v/>
      </c>
      <c r="H1032" s="89" t="str">
        <f>if(isblank(M1032),"",vlookup(M1032,Pacing!$A$1:$Z$213,19))</f>
        <v/>
      </c>
      <c r="I1032" s="86">
        <f t="shared" ref="I1032:M1032" si="1098">I1031</f>
        <v>161</v>
      </c>
      <c r="J1032" s="86">
        <f t="shared" si="1098"/>
        <v>162</v>
      </c>
      <c r="K1032" s="86">
        <f t="shared" si="1098"/>
        <v>163</v>
      </c>
      <c r="L1032" s="86">
        <f t="shared" si="1098"/>
        <v>164</v>
      </c>
      <c r="M1032" s="86">
        <f t="shared" si="1098"/>
        <v>165</v>
      </c>
    </row>
    <row r="1033" ht="15.75" customHeight="1">
      <c r="A1033" s="69"/>
      <c r="B1033" s="69"/>
      <c r="C1033" s="71"/>
      <c r="D1033" s="91" t="str">
        <f>if(isblank(I1033),"",vlookup(I1033,Pacing!$A$1:$Z$213,20))</f>
        <v/>
      </c>
      <c r="E1033" s="89" t="str">
        <f>if(isblank(J1033),"",vlookup(J1033,Pacing!$A$1:$Z$213,20))</f>
        <v/>
      </c>
      <c r="F1033" s="89" t="str">
        <f>if(isblank(K1033),"",vlookup(K1033,Pacing!$A$1:$Z$213,20))</f>
        <v/>
      </c>
      <c r="G1033" s="89" t="str">
        <f>if(isblank(L1033),"",vlookup(L1033,Pacing!$A$1:$Z$213,20))</f>
        <v/>
      </c>
      <c r="H1033" s="89" t="str">
        <f>if(isblank(M1033),"",vlookup(M1033,Pacing!$A$1:$Z$213,20))</f>
        <v/>
      </c>
      <c r="I1033" s="86">
        <f t="shared" ref="I1033:M1033" si="1099">I1032</f>
        <v>161</v>
      </c>
      <c r="J1033" s="86">
        <f t="shared" si="1099"/>
        <v>162</v>
      </c>
      <c r="K1033" s="86">
        <f t="shared" si="1099"/>
        <v>163</v>
      </c>
      <c r="L1033" s="86">
        <f t="shared" si="1099"/>
        <v>164</v>
      </c>
      <c r="M1033" s="86">
        <f t="shared" si="1099"/>
        <v>165</v>
      </c>
    </row>
    <row r="1034" ht="15.75" customHeight="1">
      <c r="A1034" s="69"/>
      <c r="B1034" s="69"/>
      <c r="C1034" s="71"/>
      <c r="D1034" s="91" t="str">
        <f>if(isblank(I1034),"",vlookup(I1034,Pacing!$A$1:$Z$213,21))</f>
        <v/>
      </c>
      <c r="E1034" s="89" t="str">
        <f>if(isblank(J1034),"",vlookup(J1034,Pacing!$A$1:$Z$213,21))</f>
        <v/>
      </c>
      <c r="F1034" s="89" t="str">
        <f>if(isblank(K1034),"",vlookup(K1034,Pacing!$A$1:$Z$213,21))</f>
        <v/>
      </c>
      <c r="G1034" s="89" t="str">
        <f>if(isblank(L1034),"",vlookup(L1034,Pacing!$A$1:$Z$213,21))</f>
        <v/>
      </c>
      <c r="H1034" s="89" t="str">
        <f>if(isblank(M1034),"",vlookup(M1034,Pacing!$A$1:$Z$213,21))</f>
        <v/>
      </c>
      <c r="I1034" s="86">
        <f t="shared" ref="I1034:M1034" si="1100">I1033</f>
        <v>161</v>
      </c>
      <c r="J1034" s="86">
        <f t="shared" si="1100"/>
        <v>162</v>
      </c>
      <c r="K1034" s="86">
        <f t="shared" si="1100"/>
        <v>163</v>
      </c>
      <c r="L1034" s="86">
        <f t="shared" si="1100"/>
        <v>164</v>
      </c>
      <c r="M1034" s="86">
        <f t="shared" si="1100"/>
        <v>165</v>
      </c>
    </row>
    <row r="1035" ht="15.75" customHeight="1">
      <c r="A1035" s="69"/>
      <c r="B1035" s="69"/>
      <c r="C1035" s="71"/>
      <c r="D1035" s="91" t="str">
        <f>if(isblank(I1035),"",vlookup(I1035,Pacing!$A$1:$Z$213,22))</f>
        <v/>
      </c>
      <c r="E1035" s="91" t="str">
        <f>if(isblank(J1035),"",vlookup(J1035,Pacing!$A$1:$Z$213,22))</f>
        <v/>
      </c>
      <c r="F1035" s="91" t="str">
        <f>if(isblank(K1035),"",vlookup(K1035,Pacing!$A$1:$Z$213,22))</f>
        <v/>
      </c>
      <c r="G1035" s="91" t="str">
        <f>if(isblank(L1035),"",vlookup(L1035,Pacing!$A$1:$Z$213,22))</f>
        <v/>
      </c>
      <c r="H1035" s="91" t="str">
        <f>if(isblank(M1035),"",vlookup(M1035,Pacing!$A$1:$Z$213,22))</f>
        <v/>
      </c>
      <c r="I1035" s="86">
        <f t="shared" ref="I1035:M1035" si="1101">I1034</f>
        <v>161</v>
      </c>
      <c r="J1035" s="86">
        <f t="shared" si="1101"/>
        <v>162</v>
      </c>
      <c r="K1035" s="86">
        <f t="shared" si="1101"/>
        <v>163</v>
      </c>
      <c r="L1035" s="86">
        <f t="shared" si="1101"/>
        <v>164</v>
      </c>
      <c r="M1035" s="86">
        <f t="shared" si="1101"/>
        <v>165</v>
      </c>
    </row>
    <row r="1036" ht="15.75" customHeight="1">
      <c r="A1036" s="69"/>
      <c r="B1036" s="69"/>
      <c r="C1036" s="71"/>
      <c r="D1036" s="91" t="str">
        <f>if(isblank(I1036),"",vlookup(I1036,Pacing!$A$1:$Z$213,23))</f>
        <v/>
      </c>
      <c r="E1036" s="89" t="str">
        <f>if(isblank(J1036),"",vlookup(J1036,Pacing!$A$1:$Z$213,23))</f>
        <v/>
      </c>
      <c r="F1036" s="89" t="str">
        <f>if(isblank(K1036),"",vlookup(K1036,Pacing!$A$1:$Z$213,23))</f>
        <v/>
      </c>
      <c r="G1036" s="89" t="str">
        <f>if(isblank(L1036),"",vlookup(L1036,Pacing!$A$1:$Z$213,23))</f>
        <v/>
      </c>
      <c r="H1036" s="89" t="str">
        <f>if(isblank(M1036),"",vlookup(M1036,Pacing!$A$1:$Z$213,23))</f>
        <v/>
      </c>
      <c r="I1036" s="86">
        <f t="shared" ref="I1036:M1036" si="1102">I1035</f>
        <v>161</v>
      </c>
      <c r="J1036" s="86">
        <f t="shared" si="1102"/>
        <v>162</v>
      </c>
      <c r="K1036" s="86">
        <f t="shared" si="1102"/>
        <v>163</v>
      </c>
      <c r="L1036" s="86">
        <f t="shared" si="1102"/>
        <v>164</v>
      </c>
      <c r="M1036" s="86">
        <f t="shared" si="1102"/>
        <v>165</v>
      </c>
    </row>
    <row r="1037" ht="15.75" customHeight="1">
      <c r="A1037" s="69"/>
      <c r="B1037" s="69"/>
      <c r="C1037" s="71"/>
      <c r="D1037" s="91" t="str">
        <f>if(isblank(I1037),"",vlookup(I1037,Pacing!$A$1:$Z$213,24))</f>
        <v/>
      </c>
      <c r="E1037" s="89" t="str">
        <f>if(isblank(J1037),"",vlookup(J1037,Pacing!$A$1:$Z$213,24))</f>
        <v/>
      </c>
      <c r="F1037" s="89" t="str">
        <f>if(isblank(K1037),"",vlookup(K1037,Pacing!$A$1:$Z$213,24))</f>
        <v/>
      </c>
      <c r="G1037" s="89" t="str">
        <f>if(isblank(L1037),"",vlookup(L1037,Pacing!$A$1:$Z$213,24))</f>
        <v/>
      </c>
      <c r="H1037" s="89" t="str">
        <f>if(isblank(M1037),"",vlookup(M1037,Pacing!$A$1:$Z$213,24))</f>
        <v/>
      </c>
      <c r="I1037" s="86">
        <f t="shared" ref="I1037:M1037" si="1103">I1036</f>
        <v>161</v>
      </c>
      <c r="J1037" s="86">
        <f t="shared" si="1103"/>
        <v>162</v>
      </c>
      <c r="K1037" s="86">
        <f t="shared" si="1103"/>
        <v>163</v>
      </c>
      <c r="L1037" s="86">
        <f t="shared" si="1103"/>
        <v>164</v>
      </c>
      <c r="M1037" s="86">
        <f t="shared" si="1103"/>
        <v>165</v>
      </c>
    </row>
    <row r="1038" ht="15.75" customHeight="1">
      <c r="A1038" s="69"/>
      <c r="B1038" s="69"/>
      <c r="C1038" s="71"/>
      <c r="D1038" s="91" t="str">
        <f>if(isblank(I1038),"",vlookup(I1038,Pacing!$A$1:$Z$213,25))</f>
        <v/>
      </c>
      <c r="E1038" s="89" t="str">
        <f>if(isblank(J1038),"",vlookup(J1038,Pacing!$A$1:$Z$213,25))</f>
        <v/>
      </c>
      <c r="F1038" s="89" t="str">
        <f>if(isblank(K1038),"",vlookup(K1038,Pacing!$A$1:$Z$213,25))</f>
        <v/>
      </c>
      <c r="G1038" s="89" t="str">
        <f>if(isblank(L1038),"",vlookup(L1038,Pacing!$A$1:$Z$213,25))</f>
        <v/>
      </c>
      <c r="H1038" s="89" t="str">
        <f>if(isblank(M1038),"",vlookup(M1038,Pacing!$A$1:$Z$213,25))</f>
        <v/>
      </c>
      <c r="I1038" s="86">
        <f t="shared" ref="I1038:M1038" si="1104">I1037</f>
        <v>161</v>
      </c>
      <c r="J1038" s="86">
        <f t="shared" si="1104"/>
        <v>162</v>
      </c>
      <c r="K1038" s="86">
        <f t="shared" si="1104"/>
        <v>163</v>
      </c>
      <c r="L1038" s="86">
        <f t="shared" si="1104"/>
        <v>164</v>
      </c>
      <c r="M1038" s="86">
        <f t="shared" si="1104"/>
        <v>165</v>
      </c>
    </row>
    <row r="1039" ht="15.75" customHeight="1">
      <c r="A1039" s="69"/>
      <c r="B1039" s="69"/>
      <c r="C1039" s="71"/>
      <c r="D1039" s="91" t="str">
        <f>if(isblank(I1039),"",vlookup(I1039,Pacing!$A$1:$Z$213,26))</f>
        <v/>
      </c>
      <c r="E1039" s="89" t="str">
        <f>if(isblank(J1039),"",vlookup(J1039,Pacing!$A$1:$Z$213,26))</f>
        <v/>
      </c>
      <c r="F1039" s="89" t="str">
        <f>if(isblank(K1039),"",vlookup(K1039,Pacing!$A$1:$Z$213,26))</f>
        <v/>
      </c>
      <c r="G1039" s="89" t="str">
        <f>if(isblank(L1039),"",vlookup(L1039,Pacing!$A$1:$Z$213,26))</f>
        <v/>
      </c>
      <c r="H1039" s="89" t="str">
        <f>if(isblank(M1039),"",vlookup(M1039,Pacing!$A$1:$Z$213,26))</f>
        <v/>
      </c>
      <c r="I1039" s="86">
        <f t="shared" ref="I1039:M1039" si="1105">I1038</f>
        <v>161</v>
      </c>
      <c r="J1039" s="86">
        <f t="shared" si="1105"/>
        <v>162</v>
      </c>
      <c r="K1039" s="86">
        <f t="shared" si="1105"/>
        <v>163</v>
      </c>
      <c r="L1039" s="86">
        <f t="shared" si="1105"/>
        <v>164</v>
      </c>
      <c r="M1039" s="86">
        <f t="shared" si="1105"/>
        <v>165</v>
      </c>
    </row>
    <row r="1040" ht="15.75" customHeight="1">
      <c r="A1040" s="137"/>
      <c r="B1040" s="137"/>
      <c r="C1040" s="138"/>
      <c r="D1040" s="139">
        <f>H1013+1</f>
        <v>166</v>
      </c>
      <c r="E1040" s="139">
        <f t="shared" ref="E1040:H1040" si="1106">D1040+1</f>
        <v>167</v>
      </c>
      <c r="F1040" s="139">
        <f t="shared" si="1106"/>
        <v>168</v>
      </c>
      <c r="G1040" s="139">
        <f t="shared" si="1106"/>
        <v>169</v>
      </c>
      <c r="H1040" s="139">
        <f t="shared" si="1106"/>
        <v>170</v>
      </c>
      <c r="I1040" s="55">
        <f t="shared" ref="I1040:M1040" si="1107">D1040</f>
        <v>166</v>
      </c>
      <c r="J1040" s="55">
        <f t="shared" si="1107"/>
        <v>167</v>
      </c>
      <c r="K1040" s="55">
        <f t="shared" si="1107"/>
        <v>168</v>
      </c>
      <c r="L1040" s="55">
        <f t="shared" si="1107"/>
        <v>169</v>
      </c>
      <c r="M1040" s="55">
        <f t="shared" si="1107"/>
        <v>170</v>
      </c>
    </row>
    <row r="1041" ht="15.75" customHeight="1">
      <c r="A1041" s="69">
        <f>B1041+1</f>
        <v>391</v>
      </c>
      <c r="B1041" s="69">
        <f t="shared" ref="B1041:B1048" si="1109">$C$1041*10</f>
        <v>390</v>
      </c>
      <c r="C1041" s="71">
        <f>C1014+1</f>
        <v>39</v>
      </c>
      <c r="D1041" s="72">
        <f>D1014+7</f>
        <v>46531</v>
      </c>
      <c r="E1041" s="72">
        <f t="shared" ref="E1041:H1041" si="1108">D1041+1</f>
        <v>46532</v>
      </c>
      <c r="F1041" s="72">
        <f t="shared" si="1108"/>
        <v>46533</v>
      </c>
      <c r="G1041" s="72">
        <f t="shared" si="1108"/>
        <v>46534</v>
      </c>
      <c r="H1041" s="72">
        <f t="shared" si="1108"/>
        <v>46535</v>
      </c>
      <c r="I1041" s="62" t="s">
        <v>42</v>
      </c>
    </row>
    <row r="1042" ht="15.75" customHeight="1">
      <c r="A1042" s="75">
        <f>B1042+2</f>
        <v>392</v>
      </c>
      <c r="B1042" s="75">
        <f t="shared" si="1109"/>
        <v>390</v>
      </c>
      <c r="C1042" s="76"/>
      <c r="D1042" s="131" t="str">
        <f>if(isblank(I1042),"",vlookup(I1042,Pacing!$A$1:$Z$213,2))</f>
        <v/>
      </c>
      <c r="E1042" s="131" t="str">
        <f>if(isblank(J1042),"",vlookup(J1042,Pacing!$A$1:$Z$213,2))</f>
        <v/>
      </c>
      <c r="F1042" s="131" t="str">
        <f>if(isblank(K1042),"",vlookup(K1042,Pacing!$A$1:$Z$213,2))</f>
        <v/>
      </c>
      <c r="G1042" s="131" t="str">
        <f>if(isblank(L1042),"",vlookup(L1042,Pacing!$A$1:$Z$213,2))</f>
        <v/>
      </c>
      <c r="H1042" s="131" t="str">
        <f>if(isblank(M1042),"",vlookup(M1042,Pacing!$A$1:$Z$213,2))</f>
        <v/>
      </c>
      <c r="I1042" s="78">
        <f t="shared" ref="I1042:M1042" si="1110">I1040</f>
        <v>166</v>
      </c>
      <c r="J1042" s="78">
        <f t="shared" si="1110"/>
        <v>167</v>
      </c>
      <c r="K1042" s="78">
        <f t="shared" si="1110"/>
        <v>168</v>
      </c>
      <c r="L1042" s="78">
        <f t="shared" si="1110"/>
        <v>169</v>
      </c>
      <c r="M1042" s="78">
        <f t="shared" si="1110"/>
        <v>170</v>
      </c>
    </row>
    <row r="1043" ht="15.75" customHeight="1">
      <c r="A1043" s="69">
        <f>B1043+3</f>
        <v>393</v>
      </c>
      <c r="B1043" s="69">
        <f t="shared" si="1109"/>
        <v>390</v>
      </c>
      <c r="C1043" s="76"/>
      <c r="D1043" s="91" t="str">
        <f>if(isblank(I1043),"",vlookup(I1043,Pacing!$A$1:$Z$213,3))</f>
        <v/>
      </c>
      <c r="E1043" s="89" t="str">
        <f>if(isblank(J1043),"",vlookup(J1043,Pacing!$A$1:$Z$213,3))</f>
        <v/>
      </c>
      <c r="F1043" s="89" t="str">
        <f>if(isblank(K1043),"",vlookup(K1043,Pacing!$A$1:$Z$213,3))</f>
        <v/>
      </c>
      <c r="G1043" s="89" t="str">
        <f>if(isblank(L1043),"",vlookup(L1043,Pacing!$A$1:$Z$213,3))</f>
        <v/>
      </c>
      <c r="H1043" s="89" t="str">
        <f>if(isblank(M1043),"",vlookup(M1043,Pacing!$A$1:$Z$213,3))</f>
        <v/>
      </c>
      <c r="I1043" s="86">
        <f t="shared" ref="I1043:M1043" si="1111">I1042</f>
        <v>166</v>
      </c>
      <c r="J1043" s="86">
        <f t="shared" si="1111"/>
        <v>167</v>
      </c>
      <c r="K1043" s="86">
        <f t="shared" si="1111"/>
        <v>168</v>
      </c>
      <c r="L1043" s="86">
        <f t="shared" si="1111"/>
        <v>169</v>
      </c>
      <c r="M1043" s="86">
        <f t="shared" si="1111"/>
        <v>170</v>
      </c>
    </row>
    <row r="1044" ht="15.75" customHeight="1">
      <c r="A1044" s="69">
        <f>B1044+4</f>
        <v>394</v>
      </c>
      <c r="B1044" s="69">
        <f t="shared" si="1109"/>
        <v>390</v>
      </c>
      <c r="C1044" s="76"/>
      <c r="D1044" s="91" t="str">
        <f>if(isblank(I1044),"",vlookup(I1044,Pacing!$A$1:$Z$213,4))</f>
        <v/>
      </c>
      <c r="E1044" s="89" t="str">
        <f>if(isblank(J1044),"",vlookup(J1044,Pacing!$A$1:$Z$213,4))</f>
        <v/>
      </c>
      <c r="F1044" s="89" t="str">
        <f>if(isblank(K1044),"",vlookup(K1044,Pacing!$A$1:$Z$213,4))</f>
        <v/>
      </c>
      <c r="G1044" s="89" t="str">
        <f>if(isblank(L1044),"",vlookup(L1044,Pacing!$A$1:$Z$213,4))</f>
        <v/>
      </c>
      <c r="H1044" s="89" t="str">
        <f>if(isblank(M1044),"",vlookup(M1044,Pacing!$A$1:$Z$213,4))</f>
        <v/>
      </c>
      <c r="I1044" s="86">
        <f t="shared" ref="I1044:M1044" si="1112">I1043</f>
        <v>166</v>
      </c>
      <c r="J1044" s="86">
        <f t="shared" si="1112"/>
        <v>167</v>
      </c>
      <c r="K1044" s="86">
        <f t="shared" si="1112"/>
        <v>168</v>
      </c>
      <c r="L1044" s="86">
        <f t="shared" si="1112"/>
        <v>169</v>
      </c>
      <c r="M1044" s="86">
        <f t="shared" si="1112"/>
        <v>170</v>
      </c>
    </row>
    <row r="1045" ht="15.75" customHeight="1">
      <c r="A1045" s="69">
        <f>B1045+5</f>
        <v>395</v>
      </c>
      <c r="B1045" s="69">
        <f t="shared" si="1109"/>
        <v>390</v>
      </c>
      <c r="C1045" s="76"/>
      <c r="D1045" s="91" t="str">
        <f>if(isblank(I1045),"",vlookup(I1045,Pacing!$A$1:$Z$213,5))</f>
        <v/>
      </c>
      <c r="E1045" s="89" t="str">
        <f>if(isblank(J1045),"",vlookup(J1045,Pacing!$A$1:$Z$213,5))</f>
        <v/>
      </c>
      <c r="F1045" s="89" t="str">
        <f>if(isblank(K1045),"",vlookup(K1045,Pacing!$A$1:$Z$213,5))</f>
        <v/>
      </c>
      <c r="G1045" s="89" t="str">
        <f>if(isblank(L1045),"",vlookup(L1045,Pacing!$A$1:$Z$213,5))</f>
        <v/>
      </c>
      <c r="H1045" s="89" t="str">
        <f>if(isblank(M1045),"",vlookup(M1045,Pacing!$A$1:$Z$213,5))</f>
        <v/>
      </c>
      <c r="I1045" s="86">
        <f t="shared" ref="I1045:M1045" si="1113">I1044</f>
        <v>166</v>
      </c>
      <c r="J1045" s="86">
        <f t="shared" si="1113"/>
        <v>167</v>
      </c>
      <c r="K1045" s="86">
        <f t="shared" si="1113"/>
        <v>168</v>
      </c>
      <c r="L1045" s="86">
        <f t="shared" si="1113"/>
        <v>169</v>
      </c>
      <c r="M1045" s="86">
        <f t="shared" si="1113"/>
        <v>170</v>
      </c>
    </row>
    <row r="1046" ht="15.75" customHeight="1">
      <c r="A1046" s="69">
        <f>B1046+6</f>
        <v>396</v>
      </c>
      <c r="B1046" s="69">
        <f t="shared" si="1109"/>
        <v>390</v>
      </c>
      <c r="C1046" s="76"/>
      <c r="D1046" s="91" t="str">
        <f>if(isblank(I1046),"",vlookup(I1046,Pacing!$A$1:$Z$213,6))</f>
        <v/>
      </c>
      <c r="E1046" s="89" t="str">
        <f>if(isblank(J1046),"",vlookup(J1046,Pacing!$A$1:$Z$213,6))</f>
        <v/>
      </c>
      <c r="F1046" s="89" t="str">
        <f>if(isblank(K1046),"",vlookup(K1046,Pacing!$A$1:$Z$213,6))</f>
        <v/>
      </c>
      <c r="G1046" s="89" t="str">
        <f>if(isblank(L1046),"",vlookup(L1046,Pacing!$A$1:$Z$213,6))</f>
        <v/>
      </c>
      <c r="H1046" s="89" t="str">
        <f>if(isblank(M1046),"",vlookup(M1046,Pacing!$A$1:$Z$213,6))</f>
        <v/>
      </c>
      <c r="I1046" s="86">
        <f t="shared" ref="I1046:M1046" si="1114">I1045</f>
        <v>166</v>
      </c>
      <c r="J1046" s="86">
        <f t="shared" si="1114"/>
        <v>167</v>
      </c>
      <c r="K1046" s="86">
        <f t="shared" si="1114"/>
        <v>168</v>
      </c>
      <c r="L1046" s="86">
        <f t="shared" si="1114"/>
        <v>169</v>
      </c>
      <c r="M1046" s="86">
        <f t="shared" si="1114"/>
        <v>170</v>
      </c>
    </row>
    <row r="1047" ht="15.75" customHeight="1">
      <c r="A1047" s="69">
        <f>B1047+7</f>
        <v>397</v>
      </c>
      <c r="B1047" s="69">
        <f t="shared" si="1109"/>
        <v>390</v>
      </c>
      <c r="C1047" s="76"/>
      <c r="D1047" s="91" t="str">
        <f>if(isblank(I1047),"",vlookup(I1047,Pacing!$A$1:$Z$213,7))</f>
        <v/>
      </c>
      <c r="E1047" s="89" t="str">
        <f>if(isblank(J1047),"",vlookup(J1047,Pacing!$A$1:$Z$213,7))</f>
        <v/>
      </c>
      <c r="F1047" s="89" t="str">
        <f>if(isblank(K1047),"",vlookup(K1047,Pacing!$A$1:$Z$213,7))</f>
        <v/>
      </c>
      <c r="G1047" s="89" t="str">
        <f>if(isblank(L1047),"",vlookup(L1047,Pacing!$A$1:$Z$213,7))</f>
        <v/>
      </c>
      <c r="H1047" s="89" t="str">
        <f>if(isblank(M1047),"",vlookup(M1047,Pacing!$A$1:$Z$213,7))</f>
        <v/>
      </c>
      <c r="I1047" s="86">
        <f t="shared" ref="I1047:M1047" si="1115">I1046</f>
        <v>166</v>
      </c>
      <c r="J1047" s="86">
        <f t="shared" si="1115"/>
        <v>167</v>
      </c>
      <c r="K1047" s="86">
        <f t="shared" si="1115"/>
        <v>168</v>
      </c>
      <c r="L1047" s="86">
        <f t="shared" si="1115"/>
        <v>169</v>
      </c>
      <c r="M1047" s="86">
        <f t="shared" si="1115"/>
        <v>170</v>
      </c>
    </row>
    <row r="1048" ht="15.75" customHeight="1">
      <c r="A1048" s="69">
        <f>B1048+8</f>
        <v>398</v>
      </c>
      <c r="B1048" s="69">
        <f t="shared" si="1109"/>
        <v>390</v>
      </c>
      <c r="C1048" s="95"/>
      <c r="D1048" s="91" t="str">
        <f>if(isblank(I1048),"",vlookup(I1048,Pacing!$A$1:$Z$213,8))</f>
        <v/>
      </c>
      <c r="E1048" s="89" t="str">
        <f>if(isblank(J1048),"",vlookup(J1048,Pacing!$A$1:$Z$213,8))</f>
        <v/>
      </c>
      <c r="F1048" s="89" t="str">
        <f>if(isblank(K1048),"",vlookup(K1048,Pacing!$A$1:$Z$213,8))</f>
        <v/>
      </c>
      <c r="G1048" s="89" t="str">
        <f>if(isblank(L1048),"",vlookup(L1048,Pacing!$A$1:$Z$213,8))</f>
        <v/>
      </c>
      <c r="H1048" s="89" t="str">
        <f>if(isblank(M1048),"",vlookup(M1048,Pacing!$A$1:$Z$213,8))</f>
        <v/>
      </c>
      <c r="I1048" s="86">
        <f t="shared" ref="I1048:M1048" si="1116">I1047</f>
        <v>166</v>
      </c>
      <c r="J1048" s="86">
        <f t="shared" si="1116"/>
        <v>167</v>
      </c>
      <c r="K1048" s="86">
        <f t="shared" si="1116"/>
        <v>168</v>
      </c>
      <c r="L1048" s="86">
        <f t="shared" si="1116"/>
        <v>169</v>
      </c>
      <c r="M1048" s="86">
        <f t="shared" si="1116"/>
        <v>170</v>
      </c>
    </row>
    <row r="1049" ht="15.75" customHeight="1">
      <c r="A1049" s="69"/>
      <c r="B1049" s="69"/>
      <c r="C1049" s="71"/>
      <c r="D1049" s="91" t="str">
        <f>if(isblank(I1049),"",vlookup(I1049,Pacing!$A$1:$Z$213,9))</f>
        <v/>
      </c>
      <c r="E1049" s="89" t="str">
        <f>if(isblank(J1049),"",vlookup(J1049,Pacing!$A$1:$Z$213,9))</f>
        <v/>
      </c>
      <c r="F1049" s="89" t="str">
        <f>if(isblank(K1049),"",vlookup(K1049,Pacing!$A$1:$Z$213,9))</f>
        <v/>
      </c>
      <c r="G1049" s="89" t="str">
        <f>if(isblank(L1049),"",vlookup(L1049,Pacing!$A$1:$Z$213,9))</f>
        <v/>
      </c>
      <c r="H1049" s="89" t="str">
        <f>if(isblank(M1049),"",vlookup(M1049,Pacing!$A$1:$Z$213,9))</f>
        <v/>
      </c>
      <c r="I1049" s="86">
        <f t="shared" ref="I1049:M1049" si="1117">I1048</f>
        <v>166</v>
      </c>
      <c r="J1049" s="86">
        <f t="shared" si="1117"/>
        <v>167</v>
      </c>
      <c r="K1049" s="86">
        <f t="shared" si="1117"/>
        <v>168</v>
      </c>
      <c r="L1049" s="86">
        <f t="shared" si="1117"/>
        <v>169</v>
      </c>
      <c r="M1049" s="86">
        <f t="shared" si="1117"/>
        <v>170</v>
      </c>
    </row>
    <row r="1050" ht="15.75" customHeight="1">
      <c r="A1050" s="69"/>
      <c r="B1050" s="69"/>
      <c r="C1050" s="71"/>
      <c r="D1050" s="91" t="str">
        <f>if(isblank(I1050),"",vlookup(I1050,Pacing!$A$1:$Z$213,10))</f>
        <v/>
      </c>
      <c r="E1050" s="89" t="str">
        <f>if(isblank(J1050),"",vlookup(J1050,Pacing!$A$1:$Z$213,10))</f>
        <v/>
      </c>
      <c r="F1050" s="89" t="str">
        <f>if(isblank(K1050),"",vlookup(K1050,Pacing!$A$1:$Z$213,10))</f>
        <v/>
      </c>
      <c r="G1050" s="89" t="str">
        <f>if(isblank(L1050),"",vlookup(L1050,Pacing!$A$1:$Z$213,10))</f>
        <v/>
      </c>
      <c r="H1050" s="89" t="str">
        <f>if(isblank(M1050),"",vlookup(M1050,Pacing!$A$1:$Z$213,10))</f>
        <v/>
      </c>
      <c r="I1050" s="86">
        <f t="shared" ref="I1050:M1050" si="1118">I1049</f>
        <v>166</v>
      </c>
      <c r="J1050" s="86">
        <f t="shared" si="1118"/>
        <v>167</v>
      </c>
      <c r="K1050" s="86">
        <f t="shared" si="1118"/>
        <v>168</v>
      </c>
      <c r="L1050" s="86">
        <f t="shared" si="1118"/>
        <v>169</v>
      </c>
      <c r="M1050" s="86">
        <f t="shared" si="1118"/>
        <v>170</v>
      </c>
    </row>
    <row r="1051" ht="15.75" customHeight="1">
      <c r="A1051" s="69"/>
      <c r="B1051" s="69"/>
      <c r="C1051" s="71"/>
      <c r="D1051" s="91" t="str">
        <f>if(isblank(I1051),"",vlookup(I1051,Pacing!$A$1:$Z$213,11))</f>
        <v/>
      </c>
      <c r="E1051" s="89" t="str">
        <f>if(isblank(J1051),"",vlookup(J1051,Pacing!$A$1:$Z$213,11))</f>
        <v/>
      </c>
      <c r="F1051" s="89" t="str">
        <f>if(isblank(K1051),"",vlookup(K1051,Pacing!$A$1:$Z$213,11))</f>
        <v/>
      </c>
      <c r="G1051" s="89" t="str">
        <f>if(isblank(L1051),"",vlookup(L1051,Pacing!$A$1:$Z$213,11))</f>
        <v/>
      </c>
      <c r="H1051" s="89" t="str">
        <f>if(isblank(M1051),"",vlookup(M1051,Pacing!$A$1:$Z$213,11))</f>
        <v/>
      </c>
      <c r="I1051" s="86">
        <f t="shared" ref="I1051:M1051" si="1119">I1050</f>
        <v>166</v>
      </c>
      <c r="J1051" s="86">
        <f t="shared" si="1119"/>
        <v>167</v>
      </c>
      <c r="K1051" s="86">
        <f t="shared" si="1119"/>
        <v>168</v>
      </c>
      <c r="L1051" s="86">
        <f t="shared" si="1119"/>
        <v>169</v>
      </c>
      <c r="M1051" s="86">
        <f t="shared" si="1119"/>
        <v>170</v>
      </c>
    </row>
    <row r="1052" ht="15.75" customHeight="1">
      <c r="A1052" s="69"/>
      <c r="B1052" s="69"/>
      <c r="C1052" s="71"/>
      <c r="D1052" s="91" t="str">
        <f>if(isblank(I1052),"",vlookup(I1052,Pacing!$A$1:$Z$213,12))</f>
        <v/>
      </c>
      <c r="E1052" s="91" t="str">
        <f>if(isblank(J1052),"",vlookup(J1052,Pacing!$A$1:$Z$213,12))</f>
        <v/>
      </c>
      <c r="F1052" s="91" t="str">
        <f>if(isblank(K1052),"",vlookup(K1052,Pacing!$A$1:$Z$213,12))</f>
        <v/>
      </c>
      <c r="G1052" s="91" t="str">
        <f>if(isblank(L1052),"",vlookup(L1052,Pacing!$A$1:$Z$213,12))</f>
        <v/>
      </c>
      <c r="H1052" s="91" t="str">
        <f>if(isblank(M1052),"",vlookup(M1052,Pacing!$A$1:$Z$213,12))</f>
        <v/>
      </c>
      <c r="I1052" s="86">
        <f t="shared" ref="I1052:M1052" si="1120">I1051</f>
        <v>166</v>
      </c>
      <c r="J1052" s="86">
        <f t="shared" si="1120"/>
        <v>167</v>
      </c>
      <c r="K1052" s="86">
        <f t="shared" si="1120"/>
        <v>168</v>
      </c>
      <c r="L1052" s="86">
        <f t="shared" si="1120"/>
        <v>169</v>
      </c>
      <c r="M1052" s="86">
        <f t="shared" si="1120"/>
        <v>170</v>
      </c>
    </row>
    <row r="1053" ht="15.75" customHeight="1">
      <c r="A1053" s="69"/>
      <c r="B1053" s="69"/>
      <c r="C1053" s="71"/>
      <c r="D1053" s="91" t="str">
        <f>if(isblank(I1053),"",vlookup(I1053,Pacing!$A$1:$Z$213,13))</f>
        <v/>
      </c>
      <c r="E1053" s="91" t="str">
        <f>if(isblank(J1053),"",vlookup(J1053,Pacing!$A$1:$Z$213,13))</f>
        <v/>
      </c>
      <c r="F1053" s="91" t="str">
        <f>if(isblank(K1053),"",vlookup(K1053,Pacing!$A$1:$Z$213,13))</f>
        <v/>
      </c>
      <c r="G1053" s="91" t="str">
        <f>if(isblank(L1053),"",vlookup(L1053,Pacing!$A$1:$Z$213,13))</f>
        <v/>
      </c>
      <c r="H1053" s="91" t="str">
        <f>if(isblank(M1053),"",vlookup(M1053,Pacing!$A$1:$Z$213,13))</f>
        <v/>
      </c>
      <c r="I1053" s="86">
        <f t="shared" ref="I1053:M1053" si="1121">I1052</f>
        <v>166</v>
      </c>
      <c r="J1053" s="86">
        <f t="shared" si="1121"/>
        <v>167</v>
      </c>
      <c r="K1053" s="86">
        <f t="shared" si="1121"/>
        <v>168</v>
      </c>
      <c r="L1053" s="86">
        <f t="shared" si="1121"/>
        <v>169</v>
      </c>
      <c r="M1053" s="86">
        <f t="shared" si="1121"/>
        <v>170</v>
      </c>
    </row>
    <row r="1054" ht="15.75" customHeight="1">
      <c r="A1054" s="69"/>
      <c r="B1054" s="69"/>
      <c r="C1054" s="71"/>
      <c r="D1054" s="91" t="str">
        <f>if(isblank(I1054),"",vlookup(I1054,Pacing!$A$1:$Z$213,14))</f>
        <v/>
      </c>
      <c r="E1054" s="89" t="str">
        <f>if(isblank(J1054),"",vlookup(J1054,Pacing!$A$1:$Z$213,14))</f>
        <v/>
      </c>
      <c r="F1054" s="89" t="str">
        <f>if(isblank(K1054),"",vlookup(K1054,Pacing!$A$1:$Z$213,14))</f>
        <v/>
      </c>
      <c r="G1054" s="89" t="str">
        <f>if(isblank(L1054),"",vlookup(L1054,Pacing!$A$1:$Z$213,14))</f>
        <v/>
      </c>
      <c r="H1054" s="89" t="str">
        <f>if(isblank(M1054),"",vlookup(M1054,Pacing!$A$1:$Z$213,14))</f>
        <v/>
      </c>
      <c r="I1054" s="86">
        <f t="shared" ref="I1054:M1054" si="1122">I1053</f>
        <v>166</v>
      </c>
      <c r="J1054" s="86">
        <f t="shared" si="1122"/>
        <v>167</v>
      </c>
      <c r="K1054" s="86">
        <f t="shared" si="1122"/>
        <v>168</v>
      </c>
      <c r="L1054" s="86">
        <f t="shared" si="1122"/>
        <v>169</v>
      </c>
      <c r="M1054" s="86">
        <f t="shared" si="1122"/>
        <v>170</v>
      </c>
    </row>
    <row r="1055" ht="15.75" customHeight="1">
      <c r="A1055" s="69"/>
      <c r="B1055" s="69"/>
      <c r="C1055" s="71"/>
      <c r="D1055" s="91" t="str">
        <f>if(isblank(I1055),"",vlookup(I1055,Pacing!$A$1:$Z$213,15))</f>
        <v/>
      </c>
      <c r="E1055" s="89" t="str">
        <f>if(isblank(J1055),"",vlookup(J1055,Pacing!$A$1:$Z$213,15))</f>
        <v/>
      </c>
      <c r="F1055" s="89" t="str">
        <f>if(isblank(K1055),"",vlookup(K1055,Pacing!$A$1:$Z$213,15))</f>
        <v/>
      </c>
      <c r="G1055" s="89" t="str">
        <f>if(isblank(L1055),"",vlookup(L1055,Pacing!$A$1:$Z$213,15))</f>
        <v/>
      </c>
      <c r="H1055" s="89" t="str">
        <f>if(isblank(M1055),"",vlookup(M1055,Pacing!$A$1:$Z$213,15))</f>
        <v/>
      </c>
      <c r="I1055" s="86">
        <f t="shared" ref="I1055:M1055" si="1123">I1054</f>
        <v>166</v>
      </c>
      <c r="J1055" s="86">
        <f t="shared" si="1123"/>
        <v>167</v>
      </c>
      <c r="K1055" s="86">
        <f t="shared" si="1123"/>
        <v>168</v>
      </c>
      <c r="L1055" s="86">
        <f t="shared" si="1123"/>
        <v>169</v>
      </c>
      <c r="M1055" s="86">
        <f t="shared" si="1123"/>
        <v>170</v>
      </c>
    </row>
    <row r="1056" ht="15.75" customHeight="1">
      <c r="A1056" s="69"/>
      <c r="B1056" s="69"/>
      <c r="C1056" s="71"/>
      <c r="D1056" s="91" t="str">
        <f>if(isblank(I1056),"",vlookup(I1056,Pacing!$A$1:$Z$213,16))</f>
        <v/>
      </c>
      <c r="E1056" s="89" t="str">
        <f>if(isblank(J1056),"",vlookup(J1056,Pacing!$A$1:$Z$213,16))</f>
        <v/>
      </c>
      <c r="F1056" s="89" t="str">
        <f>if(isblank(K1056),"",vlookup(K1056,Pacing!$A$1:$Z$213,16))</f>
        <v/>
      </c>
      <c r="G1056" s="89" t="str">
        <f>if(isblank(L1056),"",vlookup(L1056,Pacing!$A$1:$Z$213,16))</f>
        <v/>
      </c>
      <c r="H1056" s="89" t="str">
        <f>if(isblank(M1056),"",vlookup(M1056,Pacing!$A$1:$Z$213,16))</f>
        <v/>
      </c>
      <c r="I1056" s="86">
        <f t="shared" ref="I1056:M1056" si="1124">I1055</f>
        <v>166</v>
      </c>
      <c r="J1056" s="86">
        <f t="shared" si="1124"/>
        <v>167</v>
      </c>
      <c r="K1056" s="86">
        <f t="shared" si="1124"/>
        <v>168</v>
      </c>
      <c r="L1056" s="86">
        <f t="shared" si="1124"/>
        <v>169</v>
      </c>
      <c r="M1056" s="86">
        <f t="shared" si="1124"/>
        <v>170</v>
      </c>
    </row>
    <row r="1057" ht="15.75" customHeight="1">
      <c r="A1057" s="69"/>
      <c r="B1057" s="69"/>
      <c r="C1057" s="71"/>
      <c r="D1057" s="91" t="str">
        <f>if(isblank(I1057),"",vlookup(I1057,Pacing!$A$1:$Z$213,17))</f>
        <v/>
      </c>
      <c r="E1057" s="89" t="str">
        <f>if(isblank(J1057),"",vlookup(J1057,Pacing!$A$1:$Z$213,17))</f>
        <v/>
      </c>
      <c r="F1057" s="89" t="str">
        <f>if(isblank(K1057),"",vlookup(K1057,Pacing!$A$1:$Z$213,17))</f>
        <v/>
      </c>
      <c r="G1057" s="89" t="str">
        <f>if(isblank(L1057),"",vlookup(L1057,Pacing!$A$1:$Z$213,17))</f>
        <v/>
      </c>
      <c r="H1057" s="89" t="str">
        <f>if(isblank(M1057),"",vlookup(M1057,Pacing!$A$1:$Z$213,17))</f>
        <v/>
      </c>
      <c r="I1057" s="86">
        <f t="shared" ref="I1057:M1057" si="1125">I1056</f>
        <v>166</v>
      </c>
      <c r="J1057" s="86">
        <f t="shared" si="1125"/>
        <v>167</v>
      </c>
      <c r="K1057" s="86">
        <f t="shared" si="1125"/>
        <v>168</v>
      </c>
      <c r="L1057" s="86">
        <f t="shared" si="1125"/>
        <v>169</v>
      </c>
      <c r="M1057" s="86">
        <f t="shared" si="1125"/>
        <v>170</v>
      </c>
    </row>
    <row r="1058" ht="15.75" customHeight="1">
      <c r="A1058" s="69"/>
      <c r="B1058" s="69"/>
      <c r="C1058" s="71"/>
      <c r="D1058" s="91" t="str">
        <f>if(isblank(I1058),"",vlookup(I1058,Pacing!$A$1:$Z$213,18))</f>
        <v/>
      </c>
      <c r="E1058" s="91" t="str">
        <f>if(isblank(J1058),"",vlookup(J1058,Pacing!$A$1:$Z$213,18))</f>
        <v/>
      </c>
      <c r="F1058" s="91" t="str">
        <f>if(isblank(K1058),"",vlookup(K1058,Pacing!$A$1:$Z$213,18))</f>
        <v/>
      </c>
      <c r="G1058" s="91" t="str">
        <f>if(isblank(L1058),"",vlookup(L1058,Pacing!$A$1:$Z$213,18))</f>
        <v/>
      </c>
      <c r="H1058" s="91" t="str">
        <f>if(isblank(M1058),"",vlookup(M1058,Pacing!$A$1:$Z$213,18))</f>
        <v/>
      </c>
      <c r="I1058" s="86">
        <f t="shared" ref="I1058:M1058" si="1126">I1057</f>
        <v>166</v>
      </c>
      <c r="J1058" s="86">
        <f t="shared" si="1126"/>
        <v>167</v>
      </c>
      <c r="K1058" s="86">
        <f t="shared" si="1126"/>
        <v>168</v>
      </c>
      <c r="L1058" s="86">
        <f t="shared" si="1126"/>
        <v>169</v>
      </c>
      <c r="M1058" s="86">
        <f t="shared" si="1126"/>
        <v>170</v>
      </c>
    </row>
    <row r="1059" ht="15.75" customHeight="1">
      <c r="A1059" s="69"/>
      <c r="B1059" s="69"/>
      <c r="C1059" s="71"/>
      <c r="D1059" s="91" t="str">
        <f>if(isblank(I1059),"",vlookup(I1059,Pacing!$A$1:$Z$213,19))</f>
        <v/>
      </c>
      <c r="E1059" s="89" t="str">
        <f>if(isblank(J1059),"",vlookup(J1059,Pacing!$A$1:$Z$213,19))</f>
        <v/>
      </c>
      <c r="F1059" s="89" t="str">
        <f>if(isblank(K1059),"",vlookup(K1059,Pacing!$A$1:$Z$213,19))</f>
        <v/>
      </c>
      <c r="G1059" s="89" t="str">
        <f>if(isblank(L1059),"",vlookup(L1059,Pacing!$A$1:$Z$213,19))</f>
        <v/>
      </c>
      <c r="H1059" s="89" t="str">
        <f>if(isblank(M1059),"",vlookup(M1059,Pacing!$A$1:$Z$213,19))</f>
        <v/>
      </c>
      <c r="I1059" s="86">
        <f t="shared" ref="I1059:M1059" si="1127">I1058</f>
        <v>166</v>
      </c>
      <c r="J1059" s="86">
        <f t="shared" si="1127"/>
        <v>167</v>
      </c>
      <c r="K1059" s="86">
        <f t="shared" si="1127"/>
        <v>168</v>
      </c>
      <c r="L1059" s="86">
        <f t="shared" si="1127"/>
        <v>169</v>
      </c>
      <c r="M1059" s="86">
        <f t="shared" si="1127"/>
        <v>170</v>
      </c>
    </row>
    <row r="1060" ht="15.75" customHeight="1">
      <c r="A1060" s="69"/>
      <c r="B1060" s="69"/>
      <c r="C1060" s="71"/>
      <c r="D1060" s="91" t="str">
        <f>if(isblank(I1060),"",vlookup(I1060,Pacing!$A$1:$Z$213,20))</f>
        <v/>
      </c>
      <c r="E1060" s="89" t="str">
        <f>if(isblank(J1060),"",vlookup(J1060,Pacing!$A$1:$Z$213,20))</f>
        <v/>
      </c>
      <c r="F1060" s="89" t="str">
        <f>if(isblank(K1060),"",vlookup(K1060,Pacing!$A$1:$Z$213,20))</f>
        <v/>
      </c>
      <c r="G1060" s="89" t="str">
        <f>if(isblank(L1060),"",vlookup(L1060,Pacing!$A$1:$Z$213,20))</f>
        <v/>
      </c>
      <c r="H1060" s="89" t="str">
        <f>if(isblank(M1060),"",vlookup(M1060,Pacing!$A$1:$Z$213,20))</f>
        <v/>
      </c>
      <c r="I1060" s="86">
        <f t="shared" ref="I1060:M1060" si="1128">I1059</f>
        <v>166</v>
      </c>
      <c r="J1060" s="86">
        <f t="shared" si="1128"/>
        <v>167</v>
      </c>
      <c r="K1060" s="86">
        <f t="shared" si="1128"/>
        <v>168</v>
      </c>
      <c r="L1060" s="86">
        <f t="shared" si="1128"/>
        <v>169</v>
      </c>
      <c r="M1060" s="86">
        <f t="shared" si="1128"/>
        <v>170</v>
      </c>
    </row>
    <row r="1061" ht="15.75" customHeight="1">
      <c r="A1061" s="69"/>
      <c r="B1061" s="69"/>
      <c r="C1061" s="71"/>
      <c r="D1061" s="91" t="str">
        <f>if(isblank(I1061),"",vlookup(I1061,Pacing!$A$1:$Z$213,21))</f>
        <v/>
      </c>
      <c r="E1061" s="89" t="str">
        <f>if(isblank(J1061),"",vlookup(J1061,Pacing!$A$1:$Z$213,21))</f>
        <v/>
      </c>
      <c r="F1061" s="89" t="str">
        <f>if(isblank(K1061),"",vlookup(K1061,Pacing!$A$1:$Z$213,21))</f>
        <v/>
      </c>
      <c r="G1061" s="89" t="str">
        <f>if(isblank(L1061),"",vlookup(L1061,Pacing!$A$1:$Z$213,21))</f>
        <v/>
      </c>
      <c r="H1061" s="89" t="str">
        <f>if(isblank(M1061),"",vlookup(M1061,Pacing!$A$1:$Z$213,21))</f>
        <v/>
      </c>
      <c r="I1061" s="86">
        <f t="shared" ref="I1061:M1061" si="1129">I1060</f>
        <v>166</v>
      </c>
      <c r="J1061" s="86">
        <f t="shared" si="1129"/>
        <v>167</v>
      </c>
      <c r="K1061" s="86">
        <f t="shared" si="1129"/>
        <v>168</v>
      </c>
      <c r="L1061" s="86">
        <f t="shared" si="1129"/>
        <v>169</v>
      </c>
      <c r="M1061" s="86">
        <f t="shared" si="1129"/>
        <v>170</v>
      </c>
    </row>
    <row r="1062" ht="15.75" customHeight="1">
      <c r="A1062" s="69"/>
      <c r="B1062" s="69"/>
      <c r="C1062" s="71"/>
      <c r="D1062" s="91" t="str">
        <f>if(isblank(I1062),"",vlookup(I1062,Pacing!$A$1:$Z$213,22))</f>
        <v/>
      </c>
      <c r="E1062" s="91" t="str">
        <f>if(isblank(J1062),"",vlookup(J1062,Pacing!$A$1:$Z$213,22))</f>
        <v/>
      </c>
      <c r="F1062" s="91" t="str">
        <f>if(isblank(K1062),"",vlookup(K1062,Pacing!$A$1:$Z$213,22))</f>
        <v/>
      </c>
      <c r="G1062" s="91" t="str">
        <f>if(isblank(L1062),"",vlookup(L1062,Pacing!$A$1:$Z$213,22))</f>
        <v/>
      </c>
      <c r="H1062" s="91" t="str">
        <f>if(isblank(M1062),"",vlookup(M1062,Pacing!$A$1:$Z$213,22))</f>
        <v/>
      </c>
      <c r="I1062" s="86">
        <f t="shared" ref="I1062:M1062" si="1130">I1061</f>
        <v>166</v>
      </c>
      <c r="J1062" s="86">
        <f t="shared" si="1130"/>
        <v>167</v>
      </c>
      <c r="K1062" s="86">
        <f t="shared" si="1130"/>
        <v>168</v>
      </c>
      <c r="L1062" s="86">
        <f t="shared" si="1130"/>
        <v>169</v>
      </c>
      <c r="M1062" s="86">
        <f t="shared" si="1130"/>
        <v>170</v>
      </c>
    </row>
    <row r="1063" ht="15.75" customHeight="1">
      <c r="A1063" s="69"/>
      <c r="B1063" s="69"/>
      <c r="C1063" s="71"/>
      <c r="D1063" s="91" t="str">
        <f>if(isblank(I1063),"",vlookup(I1063,Pacing!$A$1:$Z$213,23))</f>
        <v/>
      </c>
      <c r="E1063" s="89" t="str">
        <f>if(isblank(J1063),"",vlookup(J1063,Pacing!$A$1:$Z$213,23))</f>
        <v/>
      </c>
      <c r="F1063" s="89" t="str">
        <f>if(isblank(K1063),"",vlookup(K1063,Pacing!$A$1:$Z$213,23))</f>
        <v/>
      </c>
      <c r="G1063" s="89" t="str">
        <f>if(isblank(L1063),"",vlookup(L1063,Pacing!$A$1:$Z$213,23))</f>
        <v/>
      </c>
      <c r="H1063" s="89" t="str">
        <f>if(isblank(M1063),"",vlookup(M1063,Pacing!$A$1:$Z$213,23))</f>
        <v/>
      </c>
      <c r="I1063" s="86">
        <f t="shared" ref="I1063:M1063" si="1131">I1062</f>
        <v>166</v>
      </c>
      <c r="J1063" s="86">
        <f t="shared" si="1131"/>
        <v>167</v>
      </c>
      <c r="K1063" s="86">
        <f t="shared" si="1131"/>
        <v>168</v>
      </c>
      <c r="L1063" s="86">
        <f t="shared" si="1131"/>
        <v>169</v>
      </c>
      <c r="M1063" s="86">
        <f t="shared" si="1131"/>
        <v>170</v>
      </c>
    </row>
    <row r="1064" ht="15.75" customHeight="1">
      <c r="A1064" s="69"/>
      <c r="B1064" s="69"/>
      <c r="C1064" s="71"/>
      <c r="D1064" s="91" t="str">
        <f>if(isblank(I1064),"",vlookup(I1064,Pacing!$A$1:$Z$213,24))</f>
        <v/>
      </c>
      <c r="E1064" s="89" t="str">
        <f>if(isblank(J1064),"",vlookup(J1064,Pacing!$A$1:$Z$213,24))</f>
        <v/>
      </c>
      <c r="F1064" s="89" t="str">
        <f>if(isblank(K1064),"",vlookup(K1064,Pacing!$A$1:$Z$213,24))</f>
        <v/>
      </c>
      <c r="G1064" s="89" t="str">
        <f>if(isblank(L1064),"",vlookup(L1064,Pacing!$A$1:$Z$213,24))</f>
        <v/>
      </c>
      <c r="H1064" s="89" t="str">
        <f>if(isblank(M1064),"",vlookup(M1064,Pacing!$A$1:$Z$213,24))</f>
        <v/>
      </c>
      <c r="I1064" s="86">
        <f t="shared" ref="I1064:M1064" si="1132">I1063</f>
        <v>166</v>
      </c>
      <c r="J1064" s="86">
        <f t="shared" si="1132"/>
        <v>167</v>
      </c>
      <c r="K1064" s="86">
        <f t="shared" si="1132"/>
        <v>168</v>
      </c>
      <c r="L1064" s="86">
        <f t="shared" si="1132"/>
        <v>169</v>
      </c>
      <c r="M1064" s="86">
        <f t="shared" si="1132"/>
        <v>170</v>
      </c>
    </row>
    <row r="1065" ht="15.75" customHeight="1">
      <c r="A1065" s="69"/>
      <c r="B1065" s="69"/>
      <c r="C1065" s="71"/>
      <c r="D1065" s="91" t="str">
        <f>if(isblank(I1065),"",vlookup(I1065,Pacing!$A$1:$Z$213,25))</f>
        <v/>
      </c>
      <c r="E1065" s="89" t="str">
        <f>if(isblank(J1065),"",vlookup(J1065,Pacing!$A$1:$Z$213,25))</f>
        <v/>
      </c>
      <c r="F1065" s="89" t="str">
        <f>if(isblank(K1065),"",vlookup(K1065,Pacing!$A$1:$Z$213,25))</f>
        <v/>
      </c>
      <c r="G1065" s="89" t="str">
        <f>if(isblank(L1065),"",vlookup(L1065,Pacing!$A$1:$Z$213,25))</f>
        <v/>
      </c>
      <c r="H1065" s="89" t="str">
        <f>if(isblank(M1065),"",vlookup(M1065,Pacing!$A$1:$Z$213,25))</f>
        <v/>
      </c>
      <c r="I1065" s="86">
        <f t="shared" ref="I1065:M1065" si="1133">I1064</f>
        <v>166</v>
      </c>
      <c r="J1065" s="86">
        <f t="shared" si="1133"/>
        <v>167</v>
      </c>
      <c r="K1065" s="86">
        <f t="shared" si="1133"/>
        <v>168</v>
      </c>
      <c r="L1065" s="86">
        <f t="shared" si="1133"/>
        <v>169</v>
      </c>
      <c r="M1065" s="86">
        <f t="shared" si="1133"/>
        <v>170</v>
      </c>
    </row>
    <row r="1066" ht="15.75" customHeight="1">
      <c r="A1066" s="69"/>
      <c r="B1066" s="69"/>
      <c r="C1066" s="71"/>
      <c r="D1066" s="91" t="str">
        <f>if(isblank(I1066),"",vlookup(I1066,Pacing!$A$1:$Z$213,26))</f>
        <v/>
      </c>
      <c r="E1066" s="89" t="str">
        <f>if(isblank(J1066),"",vlookup(J1066,Pacing!$A$1:$Z$213,26))</f>
        <v/>
      </c>
      <c r="F1066" s="89" t="str">
        <f>if(isblank(K1066),"",vlookup(K1066,Pacing!$A$1:$Z$213,26))</f>
        <v/>
      </c>
      <c r="G1066" s="89" t="str">
        <f>if(isblank(L1066),"",vlookup(L1066,Pacing!$A$1:$Z$213,26))</f>
        <v/>
      </c>
      <c r="H1066" s="89" t="str">
        <f>if(isblank(M1066),"",vlookup(M1066,Pacing!$A$1:$Z$213,26))</f>
        <v/>
      </c>
      <c r="I1066" s="86">
        <f t="shared" ref="I1066:M1066" si="1134">I1065</f>
        <v>166</v>
      </c>
      <c r="J1066" s="86">
        <f t="shared" si="1134"/>
        <v>167</v>
      </c>
      <c r="K1066" s="86">
        <f t="shared" si="1134"/>
        <v>168</v>
      </c>
      <c r="L1066" s="86">
        <f t="shared" si="1134"/>
        <v>169</v>
      </c>
      <c r="M1066" s="86">
        <f t="shared" si="1134"/>
        <v>170</v>
      </c>
    </row>
    <row r="1067" ht="15.75" customHeight="1">
      <c r="A1067" s="137"/>
      <c r="B1067" s="137"/>
      <c r="C1067" s="138"/>
      <c r="D1067" s="139"/>
      <c r="E1067" s="139">
        <f>H1040+1</f>
        <v>171</v>
      </c>
      <c r="F1067" s="139">
        <f t="shared" ref="F1067:H1067" si="1135">E1067+1</f>
        <v>172</v>
      </c>
      <c r="G1067" s="139">
        <f t="shared" si="1135"/>
        <v>173</v>
      </c>
      <c r="H1067" s="139">
        <f t="shared" si="1135"/>
        <v>174</v>
      </c>
      <c r="I1067" s="55" t="str">
        <f t="shared" ref="I1067:M1067" si="1136">D1067</f>
        <v/>
      </c>
      <c r="J1067" s="55">
        <f t="shared" si="1136"/>
        <v>171</v>
      </c>
      <c r="K1067" s="55">
        <f t="shared" si="1136"/>
        <v>172</v>
      </c>
      <c r="L1067" s="55">
        <f t="shared" si="1136"/>
        <v>173</v>
      </c>
      <c r="M1067" s="55">
        <f t="shared" si="1136"/>
        <v>174</v>
      </c>
    </row>
    <row r="1068" ht="15.75" customHeight="1">
      <c r="A1068" s="69">
        <f>B1068+1</f>
        <v>401</v>
      </c>
      <c r="B1068" s="69">
        <f t="shared" ref="B1068:B1075" si="1138">$C$1068*10</f>
        <v>400</v>
      </c>
      <c r="C1068" s="71">
        <f>C1041+1</f>
        <v>40</v>
      </c>
      <c r="D1068" s="74">
        <f>D1041+7</f>
        <v>46538</v>
      </c>
      <c r="E1068" s="72">
        <f t="shared" ref="E1068:H1068" si="1137">D1068+1</f>
        <v>46539</v>
      </c>
      <c r="F1068" s="72">
        <f t="shared" si="1137"/>
        <v>46540</v>
      </c>
      <c r="G1068" s="72">
        <f t="shared" si="1137"/>
        <v>46541</v>
      </c>
      <c r="H1068" s="72">
        <f t="shared" si="1137"/>
        <v>46542</v>
      </c>
      <c r="I1068" s="62" t="s">
        <v>42</v>
      </c>
    </row>
    <row r="1069" ht="15.75" customHeight="1">
      <c r="A1069" s="75">
        <f>B1069+2</f>
        <v>402</v>
      </c>
      <c r="B1069" s="75">
        <f t="shared" si="1138"/>
        <v>400</v>
      </c>
      <c r="C1069" s="76"/>
      <c r="D1069" s="77" t="str">
        <f>if(isblank(I1069),"",vlookup(I1069,Pacing!$A$1:$Z$213,2))</f>
        <v/>
      </c>
      <c r="E1069" s="131" t="str">
        <f>if(isblank(J1069),"",vlookup(J1069,Pacing!$A$1:$Z$213,2))</f>
        <v/>
      </c>
      <c r="F1069" s="131" t="str">
        <f>if(isblank(K1069),"",vlookup(K1069,Pacing!$A$1:$Z$213,2))</f>
        <v/>
      </c>
      <c r="G1069" s="131" t="str">
        <f>if(isblank(L1069),"",vlookup(L1069,Pacing!$A$1:$Z$213,2))</f>
        <v/>
      </c>
      <c r="H1069" s="131" t="str">
        <f>if(isblank(M1069),"",vlookup(M1069,Pacing!$A$1:$Z$213,2))</f>
        <v/>
      </c>
      <c r="I1069" s="78" t="str">
        <f t="shared" ref="I1069:M1069" si="1139">I1067</f>
        <v/>
      </c>
      <c r="J1069" s="78">
        <f t="shared" si="1139"/>
        <v>171</v>
      </c>
      <c r="K1069" s="78">
        <f t="shared" si="1139"/>
        <v>172</v>
      </c>
      <c r="L1069" s="78">
        <f t="shared" si="1139"/>
        <v>173</v>
      </c>
      <c r="M1069" s="78">
        <f t="shared" si="1139"/>
        <v>174</v>
      </c>
    </row>
    <row r="1070" ht="15.75" customHeight="1">
      <c r="A1070" s="69">
        <f>B1070+3</f>
        <v>403</v>
      </c>
      <c r="B1070" s="69">
        <f t="shared" si="1138"/>
        <v>400</v>
      </c>
      <c r="C1070" s="76"/>
      <c r="D1070" s="129" t="str">
        <f>if(isblank(I1070),"",vlookup(I1070,Pacing!$A$1:$Z$213,3))</f>
        <v/>
      </c>
      <c r="E1070" s="89" t="str">
        <f>if(isblank(J1070),"",vlookup(J1070,Pacing!$A$1:$Z$213,3))</f>
        <v/>
      </c>
      <c r="F1070" s="89" t="str">
        <f>if(isblank(K1070),"",vlookup(K1070,Pacing!$A$1:$Z$213,3))</f>
        <v/>
      </c>
      <c r="G1070" s="89" t="str">
        <f>if(isblank(L1070),"",vlookup(L1070,Pacing!$A$1:$Z$213,3))</f>
        <v/>
      </c>
      <c r="H1070" s="89" t="str">
        <f>if(isblank(M1070),"",vlookup(M1070,Pacing!$A$1:$Z$213,3))</f>
        <v/>
      </c>
      <c r="I1070" s="86" t="str">
        <f t="shared" ref="I1070:M1070" si="1140">I1069</f>
        <v/>
      </c>
      <c r="J1070" s="86">
        <f t="shared" si="1140"/>
        <v>171</v>
      </c>
      <c r="K1070" s="86">
        <f t="shared" si="1140"/>
        <v>172</v>
      </c>
      <c r="L1070" s="86">
        <f t="shared" si="1140"/>
        <v>173</v>
      </c>
      <c r="M1070" s="86">
        <f t="shared" si="1140"/>
        <v>174</v>
      </c>
    </row>
    <row r="1071" ht="15.75" customHeight="1">
      <c r="A1071" s="69">
        <f>B1071+4</f>
        <v>404</v>
      </c>
      <c r="B1071" s="69">
        <f t="shared" si="1138"/>
        <v>400</v>
      </c>
      <c r="C1071" s="76"/>
      <c r="D1071" s="129" t="str">
        <f>if(isblank(I1071),"",vlookup(I1071,Pacing!$A$1:$Z$213,4))</f>
        <v/>
      </c>
      <c r="E1071" s="89" t="str">
        <f>if(isblank(J1071),"",vlookup(J1071,Pacing!$A$1:$Z$213,4))</f>
        <v/>
      </c>
      <c r="F1071" s="89" t="str">
        <f>if(isblank(K1071),"",vlookup(K1071,Pacing!$A$1:$Z$213,4))</f>
        <v/>
      </c>
      <c r="G1071" s="89" t="str">
        <f>if(isblank(L1071),"",vlookup(L1071,Pacing!$A$1:$Z$213,4))</f>
        <v/>
      </c>
      <c r="H1071" s="89" t="str">
        <f>if(isblank(M1071),"",vlookup(M1071,Pacing!$A$1:$Z$213,4))</f>
        <v/>
      </c>
      <c r="I1071" s="86" t="str">
        <f t="shared" ref="I1071:M1071" si="1141">I1070</f>
        <v/>
      </c>
      <c r="J1071" s="86">
        <f t="shared" si="1141"/>
        <v>171</v>
      </c>
      <c r="K1071" s="86">
        <f t="shared" si="1141"/>
        <v>172</v>
      </c>
      <c r="L1071" s="86">
        <f t="shared" si="1141"/>
        <v>173</v>
      </c>
      <c r="M1071" s="86">
        <f t="shared" si="1141"/>
        <v>174</v>
      </c>
    </row>
    <row r="1072" ht="15.75" customHeight="1">
      <c r="A1072" s="69">
        <f>B1072+5</f>
        <v>405</v>
      </c>
      <c r="B1072" s="69">
        <f t="shared" si="1138"/>
        <v>400</v>
      </c>
      <c r="C1072" s="76"/>
      <c r="D1072" s="129" t="str">
        <f>if(isblank(I1072),"",vlookup(I1072,Pacing!$A$1:$Z$213,5))</f>
        <v/>
      </c>
      <c r="E1072" s="89" t="str">
        <f>if(isblank(J1072),"",vlookup(J1072,Pacing!$A$1:$Z$213,5))</f>
        <v/>
      </c>
      <c r="F1072" s="89" t="str">
        <f>if(isblank(K1072),"",vlookup(K1072,Pacing!$A$1:$Z$213,5))</f>
        <v/>
      </c>
      <c r="G1072" s="89" t="str">
        <f>if(isblank(L1072),"",vlookup(L1072,Pacing!$A$1:$Z$213,5))</f>
        <v/>
      </c>
      <c r="H1072" s="89" t="str">
        <f>if(isblank(M1072),"",vlookup(M1072,Pacing!$A$1:$Z$213,5))</f>
        <v/>
      </c>
      <c r="I1072" s="86" t="str">
        <f t="shared" ref="I1072:M1072" si="1142">I1071</f>
        <v/>
      </c>
      <c r="J1072" s="86">
        <f t="shared" si="1142"/>
        <v>171</v>
      </c>
      <c r="K1072" s="86">
        <f t="shared" si="1142"/>
        <v>172</v>
      </c>
      <c r="L1072" s="86">
        <f t="shared" si="1142"/>
        <v>173</v>
      </c>
      <c r="M1072" s="86">
        <f t="shared" si="1142"/>
        <v>174</v>
      </c>
    </row>
    <row r="1073" ht="15.75" customHeight="1">
      <c r="A1073" s="69">
        <f>B1073+6</f>
        <v>406</v>
      </c>
      <c r="B1073" s="69">
        <f t="shared" si="1138"/>
        <v>400</v>
      </c>
      <c r="C1073" s="76"/>
      <c r="D1073" s="129" t="str">
        <f>if(isblank(I1073),"",vlookup(I1073,Pacing!$A$1:$Z$213,6))</f>
        <v/>
      </c>
      <c r="E1073" s="89" t="str">
        <f>if(isblank(J1073),"",vlookup(J1073,Pacing!$A$1:$Z$213,6))</f>
        <v/>
      </c>
      <c r="F1073" s="89" t="str">
        <f>if(isblank(K1073),"",vlookup(K1073,Pacing!$A$1:$Z$213,6))</f>
        <v/>
      </c>
      <c r="G1073" s="89" t="str">
        <f>if(isblank(L1073),"",vlookup(L1073,Pacing!$A$1:$Z$213,6))</f>
        <v/>
      </c>
      <c r="H1073" s="89" t="str">
        <f>if(isblank(M1073),"",vlookup(M1073,Pacing!$A$1:$Z$213,6))</f>
        <v/>
      </c>
      <c r="I1073" s="86" t="str">
        <f t="shared" ref="I1073:M1073" si="1143">I1072</f>
        <v/>
      </c>
      <c r="J1073" s="86">
        <f t="shared" si="1143"/>
        <v>171</v>
      </c>
      <c r="K1073" s="86">
        <f t="shared" si="1143"/>
        <v>172</v>
      </c>
      <c r="L1073" s="86">
        <f t="shared" si="1143"/>
        <v>173</v>
      </c>
      <c r="M1073" s="86">
        <f t="shared" si="1143"/>
        <v>174</v>
      </c>
    </row>
    <row r="1074" ht="15.75" customHeight="1">
      <c r="A1074" s="69">
        <f>B1074+7</f>
        <v>407</v>
      </c>
      <c r="B1074" s="69">
        <f t="shared" si="1138"/>
        <v>400</v>
      </c>
      <c r="C1074" s="76"/>
      <c r="D1074" s="129" t="str">
        <f>if(isblank(I1074),"",vlookup(I1074,Pacing!$A$1:$Z$213,7))</f>
        <v/>
      </c>
      <c r="E1074" s="89" t="str">
        <f>if(isblank(J1074),"",vlookup(J1074,Pacing!$A$1:$Z$213,7))</f>
        <v/>
      </c>
      <c r="F1074" s="89" t="str">
        <f>if(isblank(K1074),"",vlookup(K1074,Pacing!$A$1:$Z$213,7))</f>
        <v/>
      </c>
      <c r="G1074" s="89" t="str">
        <f>if(isblank(L1074),"",vlookup(L1074,Pacing!$A$1:$Z$213,7))</f>
        <v/>
      </c>
      <c r="H1074" s="89" t="str">
        <f>if(isblank(M1074),"",vlookup(M1074,Pacing!$A$1:$Z$213,7))</f>
        <v/>
      </c>
      <c r="I1074" s="86" t="str">
        <f t="shared" ref="I1074:M1074" si="1144">I1073</f>
        <v/>
      </c>
      <c r="J1074" s="86">
        <f t="shared" si="1144"/>
        <v>171</v>
      </c>
      <c r="K1074" s="86">
        <f t="shared" si="1144"/>
        <v>172</v>
      </c>
      <c r="L1074" s="86">
        <f t="shared" si="1144"/>
        <v>173</v>
      </c>
      <c r="M1074" s="86">
        <f t="shared" si="1144"/>
        <v>174</v>
      </c>
    </row>
    <row r="1075" ht="15.75" customHeight="1">
      <c r="A1075" s="69">
        <f>B1075+8</f>
        <v>408</v>
      </c>
      <c r="B1075" s="69">
        <f t="shared" si="1138"/>
        <v>400</v>
      </c>
      <c r="C1075" s="95"/>
      <c r="D1075" s="129" t="str">
        <f>if(isblank(I1075),"",vlookup(I1075,Pacing!$A$1:$Z$213,8))</f>
        <v/>
      </c>
      <c r="E1075" s="89" t="str">
        <f>if(isblank(J1075),"",vlookup(J1075,Pacing!$A$1:$Z$213,8))</f>
        <v/>
      </c>
      <c r="F1075" s="89" t="str">
        <f>if(isblank(K1075),"",vlookup(K1075,Pacing!$A$1:$Z$213,8))</f>
        <v/>
      </c>
      <c r="G1075" s="89" t="str">
        <f>if(isblank(L1075),"",vlookup(L1075,Pacing!$A$1:$Z$213,8))</f>
        <v/>
      </c>
      <c r="H1075" s="89" t="str">
        <f>if(isblank(M1075),"",vlookup(M1075,Pacing!$A$1:$Z$213,8))</f>
        <v/>
      </c>
      <c r="I1075" s="86" t="str">
        <f t="shared" ref="I1075:M1075" si="1145">I1074</f>
        <v/>
      </c>
      <c r="J1075" s="86">
        <f t="shared" si="1145"/>
        <v>171</v>
      </c>
      <c r="K1075" s="86">
        <f t="shared" si="1145"/>
        <v>172</v>
      </c>
      <c r="L1075" s="86">
        <f t="shared" si="1145"/>
        <v>173</v>
      </c>
      <c r="M1075" s="86">
        <f t="shared" si="1145"/>
        <v>174</v>
      </c>
    </row>
    <row r="1076" ht="15.75" customHeight="1">
      <c r="A1076" s="69"/>
      <c r="B1076" s="69"/>
      <c r="C1076" s="71"/>
      <c r="D1076" s="129" t="str">
        <f>if(isblank(I1076),"",vlookup(I1076,Pacing!$A$1:$Z$213,9))</f>
        <v/>
      </c>
      <c r="E1076" s="89" t="str">
        <f>if(isblank(J1076),"",vlookup(J1076,Pacing!$A$1:$Z$213,9))</f>
        <v/>
      </c>
      <c r="F1076" s="89" t="str">
        <f>if(isblank(K1076),"",vlookup(K1076,Pacing!$A$1:$Z$213,9))</f>
        <v/>
      </c>
      <c r="G1076" s="89" t="str">
        <f>if(isblank(L1076),"",vlookup(L1076,Pacing!$A$1:$Z$213,9))</f>
        <v/>
      </c>
      <c r="H1076" s="89" t="str">
        <f>if(isblank(M1076),"",vlookup(M1076,Pacing!$A$1:$Z$213,9))</f>
        <v/>
      </c>
      <c r="I1076" s="86" t="str">
        <f t="shared" ref="I1076:M1076" si="1146">I1075</f>
        <v/>
      </c>
      <c r="J1076" s="86">
        <f t="shared" si="1146"/>
        <v>171</v>
      </c>
      <c r="K1076" s="86">
        <f t="shared" si="1146"/>
        <v>172</v>
      </c>
      <c r="L1076" s="86">
        <f t="shared" si="1146"/>
        <v>173</v>
      </c>
      <c r="M1076" s="86">
        <f t="shared" si="1146"/>
        <v>174</v>
      </c>
    </row>
    <row r="1077" ht="15.75" customHeight="1">
      <c r="A1077" s="69"/>
      <c r="B1077" s="69"/>
      <c r="C1077" s="71"/>
      <c r="D1077" s="129" t="str">
        <f>if(isblank(I1077),"",vlookup(I1077,Pacing!$A$1:$Z$213,10))</f>
        <v/>
      </c>
      <c r="E1077" s="89" t="str">
        <f>if(isblank(J1077),"",vlookup(J1077,Pacing!$A$1:$Z$213,10))</f>
        <v/>
      </c>
      <c r="F1077" s="89" t="str">
        <f>if(isblank(K1077),"",vlookup(K1077,Pacing!$A$1:$Z$213,10))</f>
        <v/>
      </c>
      <c r="G1077" s="89" t="str">
        <f>if(isblank(L1077),"",vlookup(L1077,Pacing!$A$1:$Z$213,10))</f>
        <v/>
      </c>
      <c r="H1077" s="89" t="str">
        <f>if(isblank(M1077),"",vlookup(M1077,Pacing!$A$1:$Z$213,10))</f>
        <v/>
      </c>
      <c r="I1077" s="86" t="str">
        <f t="shared" ref="I1077:M1077" si="1147">I1076</f>
        <v/>
      </c>
      <c r="J1077" s="86">
        <f t="shared" si="1147"/>
        <v>171</v>
      </c>
      <c r="K1077" s="86">
        <f t="shared" si="1147"/>
        <v>172</v>
      </c>
      <c r="L1077" s="86">
        <f t="shared" si="1147"/>
        <v>173</v>
      </c>
      <c r="M1077" s="86">
        <f t="shared" si="1147"/>
        <v>174</v>
      </c>
    </row>
    <row r="1078" ht="15.75" customHeight="1">
      <c r="A1078" s="69"/>
      <c r="B1078" s="69"/>
      <c r="C1078" s="71"/>
      <c r="D1078" s="129" t="str">
        <f>if(isblank(I1078),"",vlookup(I1078,Pacing!$A$1:$Z$213,11))</f>
        <v/>
      </c>
      <c r="E1078" s="89" t="str">
        <f>if(isblank(J1078),"",vlookup(J1078,Pacing!$A$1:$Z$213,11))</f>
        <v/>
      </c>
      <c r="F1078" s="89" t="str">
        <f>if(isblank(K1078),"",vlookup(K1078,Pacing!$A$1:$Z$213,11))</f>
        <v/>
      </c>
      <c r="G1078" s="89" t="str">
        <f>if(isblank(L1078),"",vlookup(L1078,Pacing!$A$1:$Z$213,11))</f>
        <v/>
      </c>
      <c r="H1078" s="89" t="str">
        <f>if(isblank(M1078),"",vlookup(M1078,Pacing!$A$1:$Z$213,11))</f>
        <v/>
      </c>
      <c r="I1078" s="86" t="str">
        <f t="shared" ref="I1078:M1078" si="1148">I1077</f>
        <v/>
      </c>
      <c r="J1078" s="86">
        <f t="shared" si="1148"/>
        <v>171</v>
      </c>
      <c r="K1078" s="86">
        <f t="shared" si="1148"/>
        <v>172</v>
      </c>
      <c r="L1078" s="86">
        <f t="shared" si="1148"/>
        <v>173</v>
      </c>
      <c r="M1078" s="86">
        <f t="shared" si="1148"/>
        <v>174</v>
      </c>
    </row>
    <row r="1079" ht="15.75" customHeight="1">
      <c r="A1079" s="69"/>
      <c r="B1079" s="69"/>
      <c r="C1079" s="71"/>
      <c r="D1079" s="129" t="str">
        <f>if(isblank(I1079),"",vlookup(I1079,Pacing!$A$1:$Z$213,12))</f>
        <v/>
      </c>
      <c r="E1079" s="91" t="str">
        <f>if(isblank(J1079),"",vlookup(J1079,Pacing!$A$1:$Z$213,12))</f>
        <v/>
      </c>
      <c r="F1079" s="91" t="str">
        <f>if(isblank(K1079),"",vlookup(K1079,Pacing!$A$1:$Z$213,12))</f>
        <v/>
      </c>
      <c r="G1079" s="91" t="str">
        <f>if(isblank(L1079),"",vlookup(L1079,Pacing!$A$1:$Z$213,12))</f>
        <v/>
      </c>
      <c r="H1079" s="91" t="str">
        <f>if(isblank(M1079),"",vlookup(M1079,Pacing!$A$1:$Z$213,12))</f>
        <v/>
      </c>
      <c r="I1079" s="86" t="str">
        <f t="shared" ref="I1079:M1079" si="1149">I1078</f>
        <v/>
      </c>
      <c r="J1079" s="86">
        <f t="shared" si="1149"/>
        <v>171</v>
      </c>
      <c r="K1079" s="86">
        <f t="shared" si="1149"/>
        <v>172</v>
      </c>
      <c r="L1079" s="86">
        <f t="shared" si="1149"/>
        <v>173</v>
      </c>
      <c r="M1079" s="86">
        <f t="shared" si="1149"/>
        <v>174</v>
      </c>
    </row>
    <row r="1080" ht="15.75" customHeight="1">
      <c r="A1080" s="69"/>
      <c r="B1080" s="69"/>
      <c r="C1080" s="71"/>
      <c r="D1080" s="129" t="str">
        <f>if(isblank(I1080),"",vlookup(I1080,Pacing!$A$1:$Z$213,13))</f>
        <v/>
      </c>
      <c r="E1080" s="91" t="str">
        <f>if(isblank(J1080),"",vlookup(J1080,Pacing!$A$1:$Z$213,13))</f>
        <v/>
      </c>
      <c r="F1080" s="91" t="str">
        <f>if(isblank(K1080),"",vlookup(K1080,Pacing!$A$1:$Z$213,13))</f>
        <v/>
      </c>
      <c r="G1080" s="91" t="str">
        <f>if(isblank(L1080),"",vlookup(L1080,Pacing!$A$1:$Z$213,13))</f>
        <v/>
      </c>
      <c r="H1080" s="91" t="str">
        <f>if(isblank(M1080),"",vlookup(M1080,Pacing!$A$1:$Z$213,13))</f>
        <v/>
      </c>
      <c r="I1080" s="86" t="str">
        <f t="shared" ref="I1080:M1080" si="1150">I1079</f>
        <v/>
      </c>
      <c r="J1080" s="86">
        <f t="shared" si="1150"/>
        <v>171</v>
      </c>
      <c r="K1080" s="86">
        <f t="shared" si="1150"/>
        <v>172</v>
      </c>
      <c r="L1080" s="86">
        <f t="shared" si="1150"/>
        <v>173</v>
      </c>
      <c r="M1080" s="86">
        <f t="shared" si="1150"/>
        <v>174</v>
      </c>
    </row>
    <row r="1081" ht="15.75" customHeight="1">
      <c r="A1081" s="69"/>
      <c r="B1081" s="69"/>
      <c r="C1081" s="71"/>
      <c r="D1081" s="129" t="str">
        <f>if(isblank(I1081),"",vlookup(I1081,Pacing!$A$1:$Z$213,14))</f>
        <v/>
      </c>
      <c r="E1081" s="89" t="str">
        <f>if(isblank(J1081),"",vlookup(J1081,Pacing!$A$1:$Z$213,14))</f>
        <v/>
      </c>
      <c r="F1081" s="89" t="str">
        <f>if(isblank(K1081),"",vlookup(K1081,Pacing!$A$1:$Z$213,14))</f>
        <v/>
      </c>
      <c r="G1081" s="89" t="str">
        <f>if(isblank(L1081),"",vlookup(L1081,Pacing!$A$1:$Z$213,14))</f>
        <v/>
      </c>
      <c r="H1081" s="89" t="str">
        <f>if(isblank(M1081),"",vlookup(M1081,Pacing!$A$1:$Z$213,14))</f>
        <v/>
      </c>
      <c r="I1081" s="86" t="str">
        <f t="shared" ref="I1081:M1081" si="1151">I1080</f>
        <v/>
      </c>
      <c r="J1081" s="86">
        <f t="shared" si="1151"/>
        <v>171</v>
      </c>
      <c r="K1081" s="86">
        <f t="shared" si="1151"/>
        <v>172</v>
      </c>
      <c r="L1081" s="86">
        <f t="shared" si="1151"/>
        <v>173</v>
      </c>
      <c r="M1081" s="86">
        <f t="shared" si="1151"/>
        <v>174</v>
      </c>
    </row>
    <row r="1082" ht="15.75" customHeight="1">
      <c r="A1082" s="69"/>
      <c r="B1082" s="69"/>
      <c r="C1082" s="71"/>
      <c r="D1082" s="129" t="str">
        <f>if(isblank(I1082),"",vlookup(I1082,Pacing!$A$1:$Z$213,15))</f>
        <v/>
      </c>
      <c r="E1082" s="89" t="str">
        <f>if(isblank(J1082),"",vlookup(J1082,Pacing!$A$1:$Z$213,15))</f>
        <v/>
      </c>
      <c r="F1082" s="89" t="str">
        <f>if(isblank(K1082),"",vlookup(K1082,Pacing!$A$1:$Z$213,15))</f>
        <v/>
      </c>
      <c r="G1082" s="89" t="str">
        <f>if(isblank(L1082),"",vlookup(L1082,Pacing!$A$1:$Z$213,15))</f>
        <v/>
      </c>
      <c r="H1082" s="89" t="str">
        <f>if(isblank(M1082),"",vlookup(M1082,Pacing!$A$1:$Z$213,15))</f>
        <v/>
      </c>
      <c r="I1082" s="86" t="str">
        <f t="shared" ref="I1082:M1082" si="1152">I1081</f>
        <v/>
      </c>
      <c r="J1082" s="86">
        <f t="shared" si="1152"/>
        <v>171</v>
      </c>
      <c r="K1082" s="86">
        <f t="shared" si="1152"/>
        <v>172</v>
      </c>
      <c r="L1082" s="86">
        <f t="shared" si="1152"/>
        <v>173</v>
      </c>
      <c r="M1082" s="86">
        <f t="shared" si="1152"/>
        <v>174</v>
      </c>
    </row>
    <row r="1083" ht="15.75" customHeight="1">
      <c r="A1083" s="69"/>
      <c r="B1083" s="69"/>
      <c r="C1083" s="71"/>
      <c r="D1083" s="129" t="str">
        <f>if(isblank(I1083),"",vlookup(I1083,Pacing!$A$1:$Z$213,16))</f>
        <v/>
      </c>
      <c r="E1083" s="89" t="str">
        <f>if(isblank(J1083),"",vlookup(J1083,Pacing!$A$1:$Z$213,16))</f>
        <v/>
      </c>
      <c r="F1083" s="89" t="str">
        <f>if(isblank(K1083),"",vlookup(K1083,Pacing!$A$1:$Z$213,16))</f>
        <v/>
      </c>
      <c r="G1083" s="89" t="str">
        <f>if(isblank(L1083),"",vlookup(L1083,Pacing!$A$1:$Z$213,16))</f>
        <v/>
      </c>
      <c r="H1083" s="89" t="str">
        <f>if(isblank(M1083),"",vlookup(M1083,Pacing!$A$1:$Z$213,16))</f>
        <v/>
      </c>
      <c r="I1083" s="86" t="str">
        <f t="shared" ref="I1083:M1083" si="1153">I1082</f>
        <v/>
      </c>
      <c r="J1083" s="86">
        <f t="shared" si="1153"/>
        <v>171</v>
      </c>
      <c r="K1083" s="86">
        <f t="shared" si="1153"/>
        <v>172</v>
      </c>
      <c r="L1083" s="86">
        <f t="shared" si="1153"/>
        <v>173</v>
      </c>
      <c r="M1083" s="86">
        <f t="shared" si="1153"/>
        <v>174</v>
      </c>
    </row>
    <row r="1084" ht="15.75" customHeight="1">
      <c r="A1084" s="69"/>
      <c r="B1084" s="69"/>
      <c r="C1084" s="71"/>
      <c r="D1084" s="129" t="str">
        <f>if(isblank(I1084),"",vlookup(I1084,Pacing!$A$1:$Z$213,17))</f>
        <v/>
      </c>
      <c r="E1084" s="89" t="str">
        <f>if(isblank(J1084),"",vlookup(J1084,Pacing!$A$1:$Z$213,17))</f>
        <v/>
      </c>
      <c r="F1084" s="89" t="str">
        <f>if(isblank(K1084),"",vlookup(K1084,Pacing!$A$1:$Z$213,17))</f>
        <v/>
      </c>
      <c r="G1084" s="89" t="str">
        <f>if(isblank(L1084),"",vlookup(L1084,Pacing!$A$1:$Z$213,17))</f>
        <v/>
      </c>
      <c r="H1084" s="89" t="str">
        <f>if(isblank(M1084),"",vlookup(M1084,Pacing!$A$1:$Z$213,17))</f>
        <v/>
      </c>
      <c r="I1084" s="86" t="str">
        <f t="shared" ref="I1084:M1084" si="1154">I1083</f>
        <v/>
      </c>
      <c r="J1084" s="86">
        <f t="shared" si="1154"/>
        <v>171</v>
      </c>
      <c r="K1084" s="86">
        <f t="shared" si="1154"/>
        <v>172</v>
      </c>
      <c r="L1084" s="86">
        <f t="shared" si="1154"/>
        <v>173</v>
      </c>
      <c r="M1084" s="86">
        <f t="shared" si="1154"/>
        <v>174</v>
      </c>
    </row>
    <row r="1085" ht="15.75" customHeight="1">
      <c r="A1085" s="69"/>
      <c r="B1085" s="69"/>
      <c r="C1085" s="71"/>
      <c r="D1085" s="129" t="str">
        <f>if(isblank(I1085),"",vlookup(I1085,Pacing!$A$1:$Z$213,18))</f>
        <v/>
      </c>
      <c r="E1085" s="91" t="str">
        <f>if(isblank(J1085),"",vlookup(J1085,Pacing!$A$1:$Z$213,18))</f>
        <v/>
      </c>
      <c r="F1085" s="91" t="str">
        <f>if(isblank(K1085),"",vlookup(K1085,Pacing!$A$1:$Z$213,18))</f>
        <v/>
      </c>
      <c r="G1085" s="91" t="str">
        <f>if(isblank(L1085),"",vlookup(L1085,Pacing!$A$1:$Z$213,18))</f>
        <v/>
      </c>
      <c r="H1085" s="91" t="str">
        <f>if(isblank(M1085),"",vlookup(M1085,Pacing!$A$1:$Z$213,18))</f>
        <v/>
      </c>
      <c r="I1085" s="86" t="str">
        <f t="shared" ref="I1085:M1085" si="1155">I1084</f>
        <v/>
      </c>
      <c r="J1085" s="86">
        <f t="shared" si="1155"/>
        <v>171</v>
      </c>
      <c r="K1085" s="86">
        <f t="shared" si="1155"/>
        <v>172</v>
      </c>
      <c r="L1085" s="86">
        <f t="shared" si="1155"/>
        <v>173</v>
      </c>
      <c r="M1085" s="86">
        <f t="shared" si="1155"/>
        <v>174</v>
      </c>
    </row>
    <row r="1086" ht="15.75" customHeight="1">
      <c r="A1086" s="69"/>
      <c r="B1086" s="69"/>
      <c r="C1086" s="71"/>
      <c r="D1086" s="129" t="str">
        <f>if(isblank(I1086),"",vlookup(I1086,Pacing!$A$1:$Z$213,19))</f>
        <v/>
      </c>
      <c r="E1086" s="89" t="str">
        <f>if(isblank(J1086),"",vlookup(J1086,Pacing!$A$1:$Z$213,19))</f>
        <v/>
      </c>
      <c r="F1086" s="89" t="str">
        <f>if(isblank(K1086),"",vlookup(K1086,Pacing!$A$1:$Z$213,19))</f>
        <v/>
      </c>
      <c r="G1086" s="89" t="str">
        <f>if(isblank(L1086),"",vlookup(L1086,Pacing!$A$1:$Z$213,19))</f>
        <v/>
      </c>
      <c r="H1086" s="89" t="str">
        <f>if(isblank(M1086),"",vlookup(M1086,Pacing!$A$1:$Z$213,19))</f>
        <v/>
      </c>
      <c r="I1086" s="86" t="str">
        <f t="shared" ref="I1086:M1086" si="1156">I1085</f>
        <v/>
      </c>
      <c r="J1086" s="86">
        <f t="shared" si="1156"/>
        <v>171</v>
      </c>
      <c r="K1086" s="86">
        <f t="shared" si="1156"/>
        <v>172</v>
      </c>
      <c r="L1086" s="86">
        <f t="shared" si="1156"/>
        <v>173</v>
      </c>
      <c r="M1086" s="86">
        <f t="shared" si="1156"/>
        <v>174</v>
      </c>
    </row>
    <row r="1087" ht="15.75" customHeight="1">
      <c r="A1087" s="69"/>
      <c r="B1087" s="69"/>
      <c r="C1087" s="71"/>
      <c r="D1087" s="129" t="str">
        <f>if(isblank(I1087),"",vlookup(I1087,Pacing!$A$1:$Z$213,20))</f>
        <v/>
      </c>
      <c r="E1087" s="89" t="str">
        <f>if(isblank(J1087),"",vlookup(J1087,Pacing!$A$1:$Z$213,20))</f>
        <v/>
      </c>
      <c r="F1087" s="89" t="str">
        <f>if(isblank(K1087),"",vlookup(K1087,Pacing!$A$1:$Z$213,20))</f>
        <v/>
      </c>
      <c r="G1087" s="89" t="str">
        <f>if(isblank(L1087),"",vlookup(L1087,Pacing!$A$1:$Z$213,20))</f>
        <v/>
      </c>
      <c r="H1087" s="89" t="str">
        <f>if(isblank(M1087),"",vlookup(M1087,Pacing!$A$1:$Z$213,20))</f>
        <v/>
      </c>
      <c r="I1087" s="86" t="str">
        <f t="shared" ref="I1087:M1087" si="1157">I1086</f>
        <v/>
      </c>
      <c r="J1087" s="86">
        <f t="shared" si="1157"/>
        <v>171</v>
      </c>
      <c r="K1087" s="86">
        <f t="shared" si="1157"/>
        <v>172</v>
      </c>
      <c r="L1087" s="86">
        <f t="shared" si="1157"/>
        <v>173</v>
      </c>
      <c r="M1087" s="86">
        <f t="shared" si="1157"/>
        <v>174</v>
      </c>
    </row>
    <row r="1088" ht="15.75" customHeight="1">
      <c r="A1088" s="69"/>
      <c r="B1088" s="69"/>
      <c r="C1088" s="71"/>
      <c r="D1088" s="129" t="str">
        <f>if(isblank(I1088),"",vlookup(I1088,Pacing!$A$1:$Z$213,21))</f>
        <v/>
      </c>
      <c r="E1088" s="89" t="str">
        <f>if(isblank(J1088),"",vlookup(J1088,Pacing!$A$1:$Z$213,21))</f>
        <v/>
      </c>
      <c r="F1088" s="89" t="str">
        <f>if(isblank(K1088),"",vlookup(K1088,Pacing!$A$1:$Z$213,21))</f>
        <v/>
      </c>
      <c r="G1088" s="89" t="str">
        <f>if(isblank(L1088),"",vlookup(L1088,Pacing!$A$1:$Z$213,21))</f>
        <v/>
      </c>
      <c r="H1088" s="89" t="str">
        <f>if(isblank(M1088),"",vlookup(M1088,Pacing!$A$1:$Z$213,21))</f>
        <v/>
      </c>
      <c r="I1088" s="86" t="str">
        <f t="shared" ref="I1088:M1088" si="1158">I1087</f>
        <v/>
      </c>
      <c r="J1088" s="86">
        <f t="shared" si="1158"/>
        <v>171</v>
      </c>
      <c r="K1088" s="86">
        <f t="shared" si="1158"/>
        <v>172</v>
      </c>
      <c r="L1088" s="86">
        <f t="shared" si="1158"/>
        <v>173</v>
      </c>
      <c r="M1088" s="86">
        <f t="shared" si="1158"/>
        <v>174</v>
      </c>
    </row>
    <row r="1089" ht="15.75" customHeight="1">
      <c r="A1089" s="69"/>
      <c r="B1089" s="69"/>
      <c r="C1089" s="71"/>
      <c r="D1089" s="129" t="str">
        <f>if(isblank(I1089),"",vlookup(I1089,Pacing!$A$1:$Z$213,22))</f>
        <v/>
      </c>
      <c r="E1089" s="91" t="str">
        <f>if(isblank(J1089),"",vlookup(J1089,Pacing!$A$1:$Z$213,22))</f>
        <v/>
      </c>
      <c r="F1089" s="91" t="str">
        <f>if(isblank(K1089),"",vlookup(K1089,Pacing!$A$1:$Z$213,22))</f>
        <v/>
      </c>
      <c r="G1089" s="91" t="str">
        <f>if(isblank(L1089),"",vlookup(L1089,Pacing!$A$1:$Z$213,22))</f>
        <v/>
      </c>
      <c r="H1089" s="91" t="str">
        <f>if(isblank(M1089),"",vlookup(M1089,Pacing!$A$1:$Z$213,22))</f>
        <v/>
      </c>
      <c r="I1089" s="86" t="str">
        <f t="shared" ref="I1089:M1089" si="1159">I1088</f>
        <v/>
      </c>
      <c r="J1089" s="86">
        <f t="shared" si="1159"/>
        <v>171</v>
      </c>
      <c r="K1089" s="86">
        <f t="shared" si="1159"/>
        <v>172</v>
      </c>
      <c r="L1089" s="86">
        <f t="shared" si="1159"/>
        <v>173</v>
      </c>
      <c r="M1089" s="86">
        <f t="shared" si="1159"/>
        <v>174</v>
      </c>
    </row>
    <row r="1090" ht="15.75" customHeight="1">
      <c r="A1090" s="69"/>
      <c r="B1090" s="69"/>
      <c r="C1090" s="71"/>
      <c r="D1090" s="129" t="str">
        <f>if(isblank(I1090),"",vlookup(I1090,Pacing!$A$1:$Z$213,23))</f>
        <v/>
      </c>
      <c r="E1090" s="89" t="str">
        <f>if(isblank(J1090),"",vlookup(J1090,Pacing!$A$1:$Z$213,23))</f>
        <v/>
      </c>
      <c r="F1090" s="89" t="str">
        <f>if(isblank(K1090),"",vlookup(K1090,Pacing!$A$1:$Z$213,23))</f>
        <v/>
      </c>
      <c r="G1090" s="89" t="str">
        <f>if(isblank(L1090),"",vlookup(L1090,Pacing!$A$1:$Z$213,23))</f>
        <v/>
      </c>
      <c r="H1090" s="89" t="str">
        <f>if(isblank(M1090),"",vlookup(M1090,Pacing!$A$1:$Z$213,23))</f>
        <v/>
      </c>
      <c r="I1090" s="86" t="str">
        <f t="shared" ref="I1090:M1090" si="1160">I1089</f>
        <v/>
      </c>
      <c r="J1090" s="86">
        <f t="shared" si="1160"/>
        <v>171</v>
      </c>
      <c r="K1090" s="86">
        <f t="shared" si="1160"/>
        <v>172</v>
      </c>
      <c r="L1090" s="86">
        <f t="shared" si="1160"/>
        <v>173</v>
      </c>
      <c r="M1090" s="86">
        <f t="shared" si="1160"/>
        <v>174</v>
      </c>
    </row>
    <row r="1091" ht="15.75" customHeight="1">
      <c r="A1091" s="69"/>
      <c r="B1091" s="69"/>
      <c r="C1091" s="71"/>
      <c r="D1091" s="129" t="str">
        <f>if(isblank(I1091),"",vlookup(I1091,Pacing!$A$1:$Z$213,24))</f>
        <v/>
      </c>
      <c r="E1091" s="89" t="str">
        <f>if(isblank(J1091),"",vlookup(J1091,Pacing!$A$1:$Z$213,24))</f>
        <v/>
      </c>
      <c r="F1091" s="89" t="str">
        <f>if(isblank(K1091),"",vlookup(K1091,Pacing!$A$1:$Z$213,24))</f>
        <v/>
      </c>
      <c r="G1091" s="89" t="str">
        <f>if(isblank(L1091),"",vlookup(L1091,Pacing!$A$1:$Z$213,24))</f>
        <v/>
      </c>
      <c r="H1091" s="89" t="str">
        <f>if(isblank(M1091),"",vlookup(M1091,Pacing!$A$1:$Z$213,24))</f>
        <v/>
      </c>
      <c r="I1091" s="86" t="str">
        <f t="shared" ref="I1091:M1091" si="1161">I1090</f>
        <v/>
      </c>
      <c r="J1091" s="86">
        <f t="shared" si="1161"/>
        <v>171</v>
      </c>
      <c r="K1091" s="86">
        <f t="shared" si="1161"/>
        <v>172</v>
      </c>
      <c r="L1091" s="86">
        <f t="shared" si="1161"/>
        <v>173</v>
      </c>
      <c r="M1091" s="86">
        <f t="shared" si="1161"/>
        <v>174</v>
      </c>
    </row>
    <row r="1092" ht="15.75" customHeight="1">
      <c r="A1092" s="69"/>
      <c r="B1092" s="69"/>
      <c r="C1092" s="71"/>
      <c r="D1092" s="129" t="str">
        <f>if(isblank(I1092),"",vlookup(I1092,Pacing!$A$1:$Z$213,25))</f>
        <v/>
      </c>
      <c r="E1092" s="89" t="str">
        <f>if(isblank(J1092),"",vlookup(J1092,Pacing!$A$1:$Z$213,25))</f>
        <v/>
      </c>
      <c r="F1092" s="89" t="str">
        <f>if(isblank(K1092),"",vlookup(K1092,Pacing!$A$1:$Z$213,25))</f>
        <v/>
      </c>
      <c r="G1092" s="89" t="str">
        <f>if(isblank(L1092),"",vlookup(L1092,Pacing!$A$1:$Z$213,25))</f>
        <v/>
      </c>
      <c r="H1092" s="89" t="str">
        <f>if(isblank(M1092),"",vlookup(M1092,Pacing!$A$1:$Z$213,25))</f>
        <v/>
      </c>
      <c r="I1092" s="86" t="str">
        <f t="shared" ref="I1092:M1092" si="1162">I1091</f>
        <v/>
      </c>
      <c r="J1092" s="86">
        <f t="shared" si="1162"/>
        <v>171</v>
      </c>
      <c r="K1092" s="86">
        <f t="shared" si="1162"/>
        <v>172</v>
      </c>
      <c r="L1092" s="86">
        <f t="shared" si="1162"/>
        <v>173</v>
      </c>
      <c r="M1092" s="86">
        <f t="shared" si="1162"/>
        <v>174</v>
      </c>
    </row>
    <row r="1093" ht="15.75" customHeight="1">
      <c r="A1093" s="69"/>
      <c r="B1093" s="69"/>
      <c r="C1093" s="71"/>
      <c r="D1093" s="129" t="str">
        <f>if(isblank(I1093),"",vlookup(I1093,Pacing!$A$1:$Z$213,26))</f>
        <v/>
      </c>
      <c r="E1093" s="89" t="str">
        <f>if(isblank(J1093),"",vlookup(J1093,Pacing!$A$1:$Z$213,26))</f>
        <v/>
      </c>
      <c r="F1093" s="89" t="str">
        <f>if(isblank(K1093),"",vlookup(K1093,Pacing!$A$1:$Z$213,26))</f>
        <v/>
      </c>
      <c r="G1093" s="89" t="str">
        <f>if(isblank(L1093),"",vlookup(L1093,Pacing!$A$1:$Z$213,26))</f>
        <v/>
      </c>
      <c r="H1093" s="89" t="str">
        <f>if(isblank(M1093),"",vlookup(M1093,Pacing!$A$1:$Z$213,26))</f>
        <v/>
      </c>
      <c r="I1093" s="86" t="str">
        <f t="shared" ref="I1093:M1093" si="1163">I1092</f>
        <v/>
      </c>
      <c r="J1093" s="86">
        <f t="shared" si="1163"/>
        <v>171</v>
      </c>
      <c r="K1093" s="86">
        <f t="shared" si="1163"/>
        <v>172</v>
      </c>
      <c r="L1093" s="86">
        <f t="shared" si="1163"/>
        <v>173</v>
      </c>
      <c r="M1093" s="86">
        <f t="shared" si="1163"/>
        <v>174</v>
      </c>
    </row>
    <row r="1094" ht="15.75" customHeight="1">
      <c r="A1094" s="137"/>
      <c r="B1094" s="137"/>
      <c r="C1094" s="138"/>
      <c r="D1094" s="139">
        <f>H1067+1</f>
        <v>175</v>
      </c>
      <c r="E1094" s="139">
        <f t="shared" ref="E1094:H1094" si="1164">D1094+1</f>
        <v>176</v>
      </c>
      <c r="F1094" s="139">
        <f t="shared" si="1164"/>
        <v>177</v>
      </c>
      <c r="G1094" s="139">
        <f t="shared" si="1164"/>
        <v>178</v>
      </c>
      <c r="H1094" s="139">
        <f t="shared" si="1164"/>
        <v>179</v>
      </c>
      <c r="I1094" s="55">
        <f t="shared" ref="I1094:M1094" si="1165">D1094</f>
        <v>175</v>
      </c>
      <c r="J1094" s="55">
        <f t="shared" si="1165"/>
        <v>176</v>
      </c>
      <c r="K1094" s="55">
        <f t="shared" si="1165"/>
        <v>177</v>
      </c>
      <c r="L1094" s="55">
        <f t="shared" si="1165"/>
        <v>178</v>
      </c>
      <c r="M1094" s="55">
        <f t="shared" si="1165"/>
        <v>179</v>
      </c>
    </row>
    <row r="1095" ht="15.75" customHeight="1">
      <c r="A1095" s="69">
        <f>B1095+1</f>
        <v>411</v>
      </c>
      <c r="B1095" s="69">
        <f t="shared" ref="B1095:B1102" si="1167">$C$1095*10</f>
        <v>410</v>
      </c>
      <c r="C1095" s="71">
        <v>41.0</v>
      </c>
      <c r="D1095" s="72">
        <f>D1068+7</f>
        <v>46545</v>
      </c>
      <c r="E1095" s="72">
        <f t="shared" ref="E1095:H1095" si="1166">D1095+1</f>
        <v>46546</v>
      </c>
      <c r="F1095" s="72">
        <f t="shared" si="1166"/>
        <v>46547</v>
      </c>
      <c r="G1095" s="72">
        <f t="shared" si="1166"/>
        <v>46548</v>
      </c>
      <c r="H1095" s="72">
        <f t="shared" si="1166"/>
        <v>46549</v>
      </c>
      <c r="I1095" s="62" t="s">
        <v>42</v>
      </c>
    </row>
    <row r="1096" ht="15.75" customHeight="1">
      <c r="A1096" s="75">
        <f>B1096+2</f>
        <v>412</v>
      </c>
      <c r="B1096" s="75">
        <f t="shared" si="1167"/>
        <v>410</v>
      </c>
      <c r="C1096" s="76"/>
      <c r="D1096" s="131" t="str">
        <f>if(isblank(I1096),"",vlookup(I1096,Pacing!$A$1:$Z$213,2))</f>
        <v/>
      </c>
      <c r="E1096" s="131" t="str">
        <f>if(isblank(J1096),"",vlookup(J1096,Pacing!$A$1:$Z$213,2))</f>
        <v/>
      </c>
      <c r="F1096" s="131" t="str">
        <f>if(isblank(K1096),"",vlookup(K1096,Pacing!$A$1:$Z$213,2))</f>
        <v/>
      </c>
      <c r="G1096" s="131" t="str">
        <f>if(isblank(L1096),"",vlookup(L1096,Pacing!$A$1:$Z$213,2))</f>
        <v/>
      </c>
      <c r="H1096" s="131" t="str">
        <f>if(isblank(M1096),"",vlookup(M1096,Pacing!$A$1:$Z$213,2))</f>
        <v/>
      </c>
      <c r="I1096" s="78">
        <f t="shared" ref="I1096:M1096" si="1168">I1094</f>
        <v>175</v>
      </c>
      <c r="J1096" s="78">
        <f t="shared" si="1168"/>
        <v>176</v>
      </c>
      <c r="K1096" s="78">
        <f t="shared" si="1168"/>
        <v>177</v>
      </c>
      <c r="L1096" s="78">
        <f t="shared" si="1168"/>
        <v>178</v>
      </c>
      <c r="M1096" s="78">
        <f t="shared" si="1168"/>
        <v>179</v>
      </c>
    </row>
    <row r="1097" ht="15.75" customHeight="1">
      <c r="A1097" s="69">
        <f>B1097+3</f>
        <v>413</v>
      </c>
      <c r="B1097" s="69">
        <f t="shared" si="1167"/>
        <v>410</v>
      </c>
      <c r="C1097" s="76"/>
      <c r="D1097" s="91" t="str">
        <f>if(isblank(I1097),"",vlookup(I1097,Pacing!$A$1:$Z$213,3))</f>
        <v/>
      </c>
      <c r="E1097" s="89" t="str">
        <f>if(isblank(J1097),"",vlookup(J1097,Pacing!$A$1:$Z$213,3))</f>
        <v/>
      </c>
      <c r="F1097" s="89" t="str">
        <f>if(isblank(K1097),"",vlookup(K1097,Pacing!$A$1:$Z$213,3))</f>
        <v/>
      </c>
      <c r="G1097" s="89" t="str">
        <f>if(isblank(L1097),"",vlookup(L1097,Pacing!$A$1:$Z$213,3))</f>
        <v/>
      </c>
      <c r="H1097" s="89" t="str">
        <f>if(isblank(M1097),"",vlookup(M1097,Pacing!$A$1:$Z$213,3))</f>
        <v/>
      </c>
      <c r="I1097" s="86">
        <f t="shared" ref="I1097:M1097" si="1169">I1096</f>
        <v>175</v>
      </c>
      <c r="J1097" s="86">
        <f t="shared" si="1169"/>
        <v>176</v>
      </c>
      <c r="K1097" s="86">
        <f t="shared" si="1169"/>
        <v>177</v>
      </c>
      <c r="L1097" s="86">
        <f t="shared" si="1169"/>
        <v>178</v>
      </c>
      <c r="M1097" s="86">
        <f t="shared" si="1169"/>
        <v>179</v>
      </c>
    </row>
    <row r="1098" ht="15.75" customHeight="1">
      <c r="A1098" s="69">
        <f>B1098+4</f>
        <v>414</v>
      </c>
      <c r="B1098" s="69">
        <f t="shared" si="1167"/>
        <v>410</v>
      </c>
      <c r="C1098" s="76"/>
      <c r="D1098" s="91" t="str">
        <f>if(isblank(I1098),"",vlookup(I1098,Pacing!$A$1:$Z$213,4))</f>
        <v/>
      </c>
      <c r="E1098" s="89" t="str">
        <f>if(isblank(J1098),"",vlookup(J1098,Pacing!$A$1:$Z$213,4))</f>
        <v/>
      </c>
      <c r="F1098" s="89" t="str">
        <f>if(isblank(K1098),"",vlookup(K1098,Pacing!$A$1:$Z$213,4))</f>
        <v/>
      </c>
      <c r="G1098" s="89" t="str">
        <f>if(isblank(L1098),"",vlookup(L1098,Pacing!$A$1:$Z$213,4))</f>
        <v/>
      </c>
      <c r="H1098" s="89" t="str">
        <f>if(isblank(M1098),"",vlookup(M1098,Pacing!$A$1:$Z$213,4))</f>
        <v/>
      </c>
      <c r="I1098" s="86">
        <f t="shared" ref="I1098:M1098" si="1170">I1097</f>
        <v>175</v>
      </c>
      <c r="J1098" s="86">
        <f t="shared" si="1170"/>
        <v>176</v>
      </c>
      <c r="K1098" s="86">
        <f t="shared" si="1170"/>
        <v>177</v>
      </c>
      <c r="L1098" s="86">
        <f t="shared" si="1170"/>
        <v>178</v>
      </c>
      <c r="M1098" s="86">
        <f t="shared" si="1170"/>
        <v>179</v>
      </c>
    </row>
    <row r="1099" ht="15.75" customHeight="1">
      <c r="A1099" s="69">
        <f>B1099+5</f>
        <v>415</v>
      </c>
      <c r="B1099" s="69">
        <f t="shared" si="1167"/>
        <v>410</v>
      </c>
      <c r="C1099" s="76"/>
      <c r="D1099" s="91" t="str">
        <f>if(isblank(I1099),"",vlookup(I1099,Pacing!$A$1:$Z$213,5))</f>
        <v/>
      </c>
      <c r="E1099" s="89" t="str">
        <f>if(isblank(J1099),"",vlookup(J1099,Pacing!$A$1:$Z$213,5))</f>
        <v/>
      </c>
      <c r="F1099" s="89" t="str">
        <f>if(isblank(K1099),"",vlookup(K1099,Pacing!$A$1:$Z$213,5))</f>
        <v/>
      </c>
      <c r="G1099" s="89" t="str">
        <f>if(isblank(L1099),"",vlookup(L1099,Pacing!$A$1:$Z$213,5))</f>
        <v/>
      </c>
      <c r="H1099" s="89" t="str">
        <f>if(isblank(M1099),"",vlookup(M1099,Pacing!$A$1:$Z$213,5))</f>
        <v/>
      </c>
      <c r="I1099" s="86">
        <f t="shared" ref="I1099:M1099" si="1171">I1098</f>
        <v>175</v>
      </c>
      <c r="J1099" s="86">
        <f t="shared" si="1171"/>
        <v>176</v>
      </c>
      <c r="K1099" s="86">
        <f t="shared" si="1171"/>
        <v>177</v>
      </c>
      <c r="L1099" s="86">
        <f t="shared" si="1171"/>
        <v>178</v>
      </c>
      <c r="M1099" s="86">
        <f t="shared" si="1171"/>
        <v>179</v>
      </c>
    </row>
    <row r="1100" ht="15.75" customHeight="1">
      <c r="A1100" s="69">
        <f>B1100+6</f>
        <v>416</v>
      </c>
      <c r="B1100" s="69">
        <f t="shared" si="1167"/>
        <v>410</v>
      </c>
      <c r="C1100" s="76"/>
      <c r="D1100" s="91" t="str">
        <f>if(isblank(I1100),"",vlookup(I1100,Pacing!$A$1:$Z$213,6))</f>
        <v/>
      </c>
      <c r="E1100" s="89" t="str">
        <f>if(isblank(J1100),"",vlookup(J1100,Pacing!$A$1:$Z$213,6))</f>
        <v/>
      </c>
      <c r="F1100" s="89" t="str">
        <f>if(isblank(K1100),"",vlookup(K1100,Pacing!$A$1:$Z$213,6))</f>
        <v/>
      </c>
      <c r="G1100" s="89" t="str">
        <f>if(isblank(L1100),"",vlookup(L1100,Pacing!$A$1:$Z$213,6))</f>
        <v/>
      </c>
      <c r="H1100" s="89" t="str">
        <f>if(isblank(M1100),"",vlookup(M1100,Pacing!$A$1:$Z$213,6))</f>
        <v/>
      </c>
      <c r="I1100" s="86">
        <f t="shared" ref="I1100:M1100" si="1172">I1099</f>
        <v>175</v>
      </c>
      <c r="J1100" s="86">
        <f t="shared" si="1172"/>
        <v>176</v>
      </c>
      <c r="K1100" s="86">
        <f t="shared" si="1172"/>
        <v>177</v>
      </c>
      <c r="L1100" s="86">
        <f t="shared" si="1172"/>
        <v>178</v>
      </c>
      <c r="M1100" s="86">
        <f t="shared" si="1172"/>
        <v>179</v>
      </c>
    </row>
    <row r="1101" ht="15.75" customHeight="1">
      <c r="A1101" s="69">
        <f>B1101+7</f>
        <v>417</v>
      </c>
      <c r="B1101" s="69">
        <f t="shared" si="1167"/>
        <v>410</v>
      </c>
      <c r="C1101" s="76"/>
      <c r="D1101" s="91" t="str">
        <f>if(isblank(I1101),"",vlookup(I1101,Pacing!$A$1:$Z$213,7))</f>
        <v/>
      </c>
      <c r="E1101" s="89" t="str">
        <f>if(isblank(J1101),"",vlookup(J1101,Pacing!$A$1:$Z$213,7))</f>
        <v/>
      </c>
      <c r="F1101" s="89" t="str">
        <f>if(isblank(K1101),"",vlookup(K1101,Pacing!$A$1:$Z$213,7))</f>
        <v/>
      </c>
      <c r="G1101" s="89" t="str">
        <f>if(isblank(L1101),"",vlookup(L1101,Pacing!$A$1:$Z$213,7))</f>
        <v/>
      </c>
      <c r="H1101" s="89" t="str">
        <f>if(isblank(M1101),"",vlookup(M1101,Pacing!$A$1:$Z$213,7))</f>
        <v/>
      </c>
      <c r="I1101" s="86">
        <f t="shared" ref="I1101:M1101" si="1173">I1100</f>
        <v>175</v>
      </c>
      <c r="J1101" s="86">
        <f t="shared" si="1173"/>
        <v>176</v>
      </c>
      <c r="K1101" s="86">
        <f t="shared" si="1173"/>
        <v>177</v>
      </c>
      <c r="L1101" s="86">
        <f t="shared" si="1173"/>
        <v>178</v>
      </c>
      <c r="M1101" s="86">
        <f t="shared" si="1173"/>
        <v>179</v>
      </c>
    </row>
    <row r="1102" ht="15.75" customHeight="1">
      <c r="A1102" s="69">
        <f>B1102+8</f>
        <v>418</v>
      </c>
      <c r="B1102" s="69">
        <f t="shared" si="1167"/>
        <v>410</v>
      </c>
      <c r="C1102" s="95"/>
      <c r="D1102" s="91" t="str">
        <f>if(isblank(I1102),"",vlookup(I1102,Pacing!$A$1:$Z$213,8))</f>
        <v/>
      </c>
      <c r="E1102" s="89" t="str">
        <f>if(isblank(J1102),"",vlookup(J1102,Pacing!$A$1:$Z$213,8))</f>
        <v/>
      </c>
      <c r="F1102" s="89" t="str">
        <f>if(isblank(K1102),"",vlookup(K1102,Pacing!$A$1:$Z$213,8))</f>
        <v/>
      </c>
      <c r="G1102" s="89" t="str">
        <f>if(isblank(L1102),"",vlookup(L1102,Pacing!$A$1:$Z$213,8))</f>
        <v/>
      </c>
      <c r="H1102" s="89" t="str">
        <f>if(isblank(M1102),"",vlookup(M1102,Pacing!$A$1:$Z$213,8))</f>
        <v/>
      </c>
      <c r="I1102" s="86">
        <f t="shared" ref="I1102:M1102" si="1174">I1101</f>
        <v>175</v>
      </c>
      <c r="J1102" s="86">
        <f t="shared" si="1174"/>
        <v>176</v>
      </c>
      <c r="K1102" s="86">
        <f t="shared" si="1174"/>
        <v>177</v>
      </c>
      <c r="L1102" s="86">
        <f t="shared" si="1174"/>
        <v>178</v>
      </c>
      <c r="M1102" s="86">
        <f t="shared" si="1174"/>
        <v>179</v>
      </c>
    </row>
    <row r="1103" ht="15.75" customHeight="1">
      <c r="A1103" s="69"/>
      <c r="B1103" s="69"/>
      <c r="C1103" s="71"/>
      <c r="D1103" s="91" t="str">
        <f>if(isblank(I1103),"",vlookup(I1103,Pacing!$A$1:$Z$213,9))</f>
        <v/>
      </c>
      <c r="E1103" s="89" t="str">
        <f>if(isblank(J1103),"",vlookup(J1103,Pacing!$A$1:$Z$213,9))</f>
        <v/>
      </c>
      <c r="F1103" s="89" t="str">
        <f>if(isblank(K1103),"",vlookup(K1103,Pacing!$A$1:$Z$213,9))</f>
        <v/>
      </c>
      <c r="G1103" s="89" t="str">
        <f>if(isblank(L1103),"",vlookup(L1103,Pacing!$A$1:$Z$213,9))</f>
        <v/>
      </c>
      <c r="H1103" s="89" t="str">
        <f>if(isblank(M1103),"",vlookup(M1103,Pacing!$A$1:$Z$213,9))</f>
        <v/>
      </c>
      <c r="I1103" s="86">
        <f t="shared" ref="I1103:M1103" si="1175">I1102</f>
        <v>175</v>
      </c>
      <c r="J1103" s="86">
        <f t="shared" si="1175"/>
        <v>176</v>
      </c>
      <c r="K1103" s="86">
        <f t="shared" si="1175"/>
        <v>177</v>
      </c>
      <c r="L1103" s="86">
        <f t="shared" si="1175"/>
        <v>178</v>
      </c>
      <c r="M1103" s="86">
        <f t="shared" si="1175"/>
        <v>179</v>
      </c>
    </row>
    <row r="1104" ht="15.75" customHeight="1">
      <c r="A1104" s="69"/>
      <c r="B1104" s="69"/>
      <c r="C1104" s="71"/>
      <c r="D1104" s="91" t="str">
        <f>if(isblank(I1104),"",vlookup(I1104,Pacing!$A$1:$Z$213,10))</f>
        <v/>
      </c>
      <c r="E1104" s="89" t="str">
        <f>if(isblank(J1104),"",vlookup(J1104,Pacing!$A$1:$Z$213,10))</f>
        <v/>
      </c>
      <c r="F1104" s="89" t="str">
        <f>if(isblank(K1104),"",vlookup(K1104,Pacing!$A$1:$Z$213,10))</f>
        <v/>
      </c>
      <c r="G1104" s="89" t="str">
        <f>if(isblank(L1104),"",vlookup(L1104,Pacing!$A$1:$Z$213,10))</f>
        <v/>
      </c>
      <c r="H1104" s="89" t="str">
        <f>if(isblank(M1104),"",vlookup(M1104,Pacing!$A$1:$Z$213,10))</f>
        <v/>
      </c>
      <c r="I1104" s="86">
        <f t="shared" ref="I1104:M1104" si="1176">I1103</f>
        <v>175</v>
      </c>
      <c r="J1104" s="86">
        <f t="shared" si="1176"/>
        <v>176</v>
      </c>
      <c r="K1104" s="86">
        <f t="shared" si="1176"/>
        <v>177</v>
      </c>
      <c r="L1104" s="86">
        <f t="shared" si="1176"/>
        <v>178</v>
      </c>
      <c r="M1104" s="86">
        <f t="shared" si="1176"/>
        <v>179</v>
      </c>
    </row>
    <row r="1105" ht="15.75" customHeight="1">
      <c r="A1105" s="69"/>
      <c r="B1105" s="69"/>
      <c r="C1105" s="71"/>
      <c r="D1105" s="91" t="str">
        <f>if(isblank(I1105),"",vlookup(I1105,Pacing!$A$1:$Z$213,11))</f>
        <v/>
      </c>
      <c r="E1105" s="89" t="str">
        <f>if(isblank(J1105),"",vlookup(J1105,Pacing!$A$1:$Z$213,11))</f>
        <v/>
      </c>
      <c r="F1105" s="89" t="str">
        <f>if(isblank(K1105),"",vlookup(K1105,Pacing!$A$1:$Z$213,11))</f>
        <v/>
      </c>
      <c r="G1105" s="89" t="str">
        <f>if(isblank(L1105),"",vlookup(L1105,Pacing!$A$1:$Z$213,11))</f>
        <v/>
      </c>
      <c r="H1105" s="89" t="str">
        <f>if(isblank(M1105),"",vlookup(M1105,Pacing!$A$1:$Z$213,11))</f>
        <v/>
      </c>
      <c r="I1105" s="86">
        <f t="shared" ref="I1105:M1105" si="1177">I1104</f>
        <v>175</v>
      </c>
      <c r="J1105" s="86">
        <f t="shared" si="1177"/>
        <v>176</v>
      </c>
      <c r="K1105" s="86">
        <f t="shared" si="1177"/>
        <v>177</v>
      </c>
      <c r="L1105" s="86">
        <f t="shared" si="1177"/>
        <v>178</v>
      </c>
      <c r="M1105" s="86">
        <f t="shared" si="1177"/>
        <v>179</v>
      </c>
    </row>
    <row r="1106" ht="15.75" customHeight="1">
      <c r="A1106" s="69"/>
      <c r="B1106" s="69"/>
      <c r="C1106" s="71"/>
      <c r="D1106" s="91" t="str">
        <f>if(isblank(I1106),"",vlookup(I1106,Pacing!$A$1:$Z$213,12))</f>
        <v/>
      </c>
      <c r="E1106" s="91" t="str">
        <f>if(isblank(J1106),"",vlookup(J1106,Pacing!$A$1:$Z$213,12))</f>
        <v/>
      </c>
      <c r="F1106" s="91" t="str">
        <f>if(isblank(K1106),"",vlookup(K1106,Pacing!$A$1:$Z$213,12))</f>
        <v/>
      </c>
      <c r="G1106" s="91" t="str">
        <f>if(isblank(L1106),"",vlookup(L1106,Pacing!$A$1:$Z$213,12))</f>
        <v/>
      </c>
      <c r="H1106" s="91" t="str">
        <f>if(isblank(M1106),"",vlookup(M1106,Pacing!$A$1:$Z$213,12))</f>
        <v/>
      </c>
      <c r="I1106" s="86">
        <f t="shared" ref="I1106:M1106" si="1178">I1105</f>
        <v>175</v>
      </c>
      <c r="J1106" s="86">
        <f t="shared" si="1178"/>
        <v>176</v>
      </c>
      <c r="K1106" s="86">
        <f t="shared" si="1178"/>
        <v>177</v>
      </c>
      <c r="L1106" s="86">
        <f t="shared" si="1178"/>
        <v>178</v>
      </c>
      <c r="M1106" s="86">
        <f t="shared" si="1178"/>
        <v>179</v>
      </c>
    </row>
    <row r="1107" ht="15.75" customHeight="1">
      <c r="A1107" s="69"/>
      <c r="B1107" s="69"/>
      <c r="C1107" s="71"/>
      <c r="D1107" s="91" t="str">
        <f>if(isblank(I1107),"",vlookup(I1107,Pacing!$A$1:$Z$213,13))</f>
        <v/>
      </c>
      <c r="E1107" s="91" t="str">
        <f>if(isblank(J1107),"",vlookup(J1107,Pacing!$A$1:$Z$213,13))</f>
        <v/>
      </c>
      <c r="F1107" s="91" t="str">
        <f>if(isblank(K1107),"",vlookup(K1107,Pacing!$A$1:$Z$213,13))</f>
        <v/>
      </c>
      <c r="G1107" s="91" t="str">
        <f>if(isblank(L1107),"",vlookup(L1107,Pacing!$A$1:$Z$213,13))</f>
        <v/>
      </c>
      <c r="H1107" s="91" t="str">
        <f>if(isblank(M1107),"",vlookup(M1107,Pacing!$A$1:$Z$213,13))</f>
        <v/>
      </c>
      <c r="I1107" s="86">
        <f t="shared" ref="I1107:M1107" si="1179">I1106</f>
        <v>175</v>
      </c>
      <c r="J1107" s="86">
        <f t="shared" si="1179"/>
        <v>176</v>
      </c>
      <c r="K1107" s="86">
        <f t="shared" si="1179"/>
        <v>177</v>
      </c>
      <c r="L1107" s="86">
        <f t="shared" si="1179"/>
        <v>178</v>
      </c>
      <c r="M1107" s="86">
        <f t="shared" si="1179"/>
        <v>179</v>
      </c>
    </row>
    <row r="1108" ht="15.75" customHeight="1">
      <c r="A1108" s="69"/>
      <c r="B1108" s="69"/>
      <c r="C1108" s="71"/>
      <c r="D1108" s="91" t="str">
        <f>if(isblank(I1108),"",vlookup(I1108,Pacing!$A$1:$Z$213,14))</f>
        <v/>
      </c>
      <c r="E1108" s="89" t="str">
        <f>if(isblank(J1108),"",vlookup(J1108,Pacing!$A$1:$Z$213,14))</f>
        <v/>
      </c>
      <c r="F1108" s="89" t="str">
        <f>if(isblank(K1108),"",vlookup(K1108,Pacing!$A$1:$Z$213,14))</f>
        <v/>
      </c>
      <c r="G1108" s="89" t="str">
        <f>if(isblank(L1108),"",vlookup(L1108,Pacing!$A$1:$Z$213,14))</f>
        <v/>
      </c>
      <c r="H1108" s="89" t="str">
        <f>if(isblank(M1108),"",vlookup(M1108,Pacing!$A$1:$Z$213,14))</f>
        <v/>
      </c>
      <c r="I1108" s="86">
        <f t="shared" ref="I1108:M1108" si="1180">I1107</f>
        <v>175</v>
      </c>
      <c r="J1108" s="86">
        <f t="shared" si="1180"/>
        <v>176</v>
      </c>
      <c r="K1108" s="86">
        <f t="shared" si="1180"/>
        <v>177</v>
      </c>
      <c r="L1108" s="86">
        <f t="shared" si="1180"/>
        <v>178</v>
      </c>
      <c r="M1108" s="86">
        <f t="shared" si="1180"/>
        <v>179</v>
      </c>
    </row>
    <row r="1109" ht="15.75" customHeight="1">
      <c r="A1109" s="69"/>
      <c r="B1109" s="69"/>
      <c r="C1109" s="71"/>
      <c r="D1109" s="91" t="str">
        <f>if(isblank(I1109),"",vlookup(I1109,Pacing!$A$1:$Z$213,15))</f>
        <v/>
      </c>
      <c r="E1109" s="89" t="str">
        <f>if(isblank(J1109),"",vlookup(J1109,Pacing!$A$1:$Z$213,15))</f>
        <v/>
      </c>
      <c r="F1109" s="89" t="str">
        <f>if(isblank(K1109),"",vlookup(K1109,Pacing!$A$1:$Z$213,15))</f>
        <v/>
      </c>
      <c r="G1109" s="89" t="str">
        <f>if(isblank(L1109),"",vlookup(L1109,Pacing!$A$1:$Z$213,15))</f>
        <v/>
      </c>
      <c r="H1109" s="89" t="str">
        <f>if(isblank(M1109),"",vlookup(M1109,Pacing!$A$1:$Z$213,15))</f>
        <v/>
      </c>
      <c r="I1109" s="86">
        <f t="shared" ref="I1109:M1109" si="1181">I1108</f>
        <v>175</v>
      </c>
      <c r="J1109" s="86">
        <f t="shared" si="1181"/>
        <v>176</v>
      </c>
      <c r="K1109" s="86">
        <f t="shared" si="1181"/>
        <v>177</v>
      </c>
      <c r="L1109" s="86">
        <f t="shared" si="1181"/>
        <v>178</v>
      </c>
      <c r="M1109" s="86">
        <f t="shared" si="1181"/>
        <v>179</v>
      </c>
    </row>
    <row r="1110" ht="15.75" customHeight="1">
      <c r="A1110" s="69"/>
      <c r="B1110" s="69"/>
      <c r="C1110" s="71"/>
      <c r="D1110" s="91" t="str">
        <f>if(isblank(I1110),"",vlookup(I1110,Pacing!$A$1:$Z$213,16))</f>
        <v/>
      </c>
      <c r="E1110" s="89" t="str">
        <f>if(isblank(J1110),"",vlookup(J1110,Pacing!$A$1:$Z$213,16))</f>
        <v/>
      </c>
      <c r="F1110" s="89" t="str">
        <f>if(isblank(K1110),"",vlookup(K1110,Pacing!$A$1:$Z$213,16))</f>
        <v/>
      </c>
      <c r="G1110" s="89" t="str">
        <f>if(isblank(L1110),"",vlookup(L1110,Pacing!$A$1:$Z$213,16))</f>
        <v/>
      </c>
      <c r="H1110" s="89" t="str">
        <f>if(isblank(M1110),"",vlookup(M1110,Pacing!$A$1:$Z$213,16))</f>
        <v/>
      </c>
      <c r="I1110" s="86">
        <f t="shared" ref="I1110:M1110" si="1182">I1109</f>
        <v>175</v>
      </c>
      <c r="J1110" s="86">
        <f t="shared" si="1182"/>
        <v>176</v>
      </c>
      <c r="K1110" s="86">
        <f t="shared" si="1182"/>
        <v>177</v>
      </c>
      <c r="L1110" s="86">
        <f t="shared" si="1182"/>
        <v>178</v>
      </c>
      <c r="M1110" s="86">
        <f t="shared" si="1182"/>
        <v>179</v>
      </c>
    </row>
    <row r="1111" ht="15.75" customHeight="1">
      <c r="A1111" s="69"/>
      <c r="B1111" s="69"/>
      <c r="C1111" s="71"/>
      <c r="D1111" s="91" t="str">
        <f>if(isblank(I1111),"",vlookup(I1111,Pacing!$A$1:$Z$213,17))</f>
        <v/>
      </c>
      <c r="E1111" s="89" t="str">
        <f>if(isblank(J1111),"",vlookup(J1111,Pacing!$A$1:$Z$213,17))</f>
        <v/>
      </c>
      <c r="F1111" s="89" t="str">
        <f>if(isblank(K1111),"",vlookup(K1111,Pacing!$A$1:$Z$213,17))</f>
        <v/>
      </c>
      <c r="G1111" s="89" t="str">
        <f>if(isblank(L1111),"",vlookup(L1111,Pacing!$A$1:$Z$213,17))</f>
        <v/>
      </c>
      <c r="H1111" s="89" t="str">
        <f>if(isblank(M1111),"",vlookup(M1111,Pacing!$A$1:$Z$213,17))</f>
        <v/>
      </c>
      <c r="I1111" s="86">
        <f t="shared" ref="I1111:M1111" si="1183">I1110</f>
        <v>175</v>
      </c>
      <c r="J1111" s="86">
        <f t="shared" si="1183"/>
        <v>176</v>
      </c>
      <c r="K1111" s="86">
        <f t="shared" si="1183"/>
        <v>177</v>
      </c>
      <c r="L1111" s="86">
        <f t="shared" si="1183"/>
        <v>178</v>
      </c>
      <c r="M1111" s="86">
        <f t="shared" si="1183"/>
        <v>179</v>
      </c>
    </row>
    <row r="1112" ht="15.75" customHeight="1">
      <c r="A1112" s="69"/>
      <c r="B1112" s="69"/>
      <c r="C1112" s="71"/>
      <c r="D1112" s="91" t="str">
        <f>if(isblank(I1112),"",vlookup(I1112,Pacing!$A$1:$Z$213,18))</f>
        <v/>
      </c>
      <c r="E1112" s="91" t="str">
        <f>if(isblank(J1112),"",vlookup(J1112,Pacing!$A$1:$Z$213,18))</f>
        <v/>
      </c>
      <c r="F1112" s="91" t="str">
        <f>if(isblank(K1112),"",vlookup(K1112,Pacing!$A$1:$Z$213,18))</f>
        <v/>
      </c>
      <c r="G1112" s="91" t="str">
        <f>if(isblank(L1112),"",vlookup(L1112,Pacing!$A$1:$Z$213,18))</f>
        <v/>
      </c>
      <c r="H1112" s="91" t="str">
        <f>if(isblank(M1112),"",vlookup(M1112,Pacing!$A$1:$Z$213,18))</f>
        <v/>
      </c>
      <c r="I1112" s="86">
        <f t="shared" ref="I1112:M1112" si="1184">I1111</f>
        <v>175</v>
      </c>
      <c r="J1112" s="86">
        <f t="shared" si="1184"/>
        <v>176</v>
      </c>
      <c r="K1112" s="86">
        <f t="shared" si="1184"/>
        <v>177</v>
      </c>
      <c r="L1112" s="86">
        <f t="shared" si="1184"/>
        <v>178</v>
      </c>
      <c r="M1112" s="86">
        <f t="shared" si="1184"/>
        <v>179</v>
      </c>
    </row>
    <row r="1113" ht="15.75" customHeight="1">
      <c r="A1113" s="69"/>
      <c r="B1113" s="69"/>
      <c r="C1113" s="71"/>
      <c r="D1113" s="91" t="str">
        <f>if(isblank(I1113),"",vlookup(I1113,Pacing!$A$1:$Z$213,19))</f>
        <v/>
      </c>
      <c r="E1113" s="89" t="str">
        <f>if(isblank(J1113),"",vlookup(J1113,Pacing!$A$1:$Z$213,19))</f>
        <v/>
      </c>
      <c r="F1113" s="89" t="str">
        <f>if(isblank(K1113),"",vlookup(K1113,Pacing!$A$1:$Z$213,19))</f>
        <v/>
      </c>
      <c r="G1113" s="89" t="str">
        <f>if(isblank(L1113),"",vlookup(L1113,Pacing!$A$1:$Z$213,19))</f>
        <v/>
      </c>
      <c r="H1113" s="89" t="str">
        <f>if(isblank(M1113),"",vlookup(M1113,Pacing!$A$1:$Z$213,19))</f>
        <v/>
      </c>
      <c r="I1113" s="86">
        <f t="shared" ref="I1113:M1113" si="1185">I1112</f>
        <v>175</v>
      </c>
      <c r="J1113" s="86">
        <f t="shared" si="1185"/>
        <v>176</v>
      </c>
      <c r="K1113" s="86">
        <f t="shared" si="1185"/>
        <v>177</v>
      </c>
      <c r="L1113" s="86">
        <f t="shared" si="1185"/>
        <v>178</v>
      </c>
      <c r="M1113" s="86">
        <f t="shared" si="1185"/>
        <v>179</v>
      </c>
    </row>
    <row r="1114" ht="15.75" customHeight="1">
      <c r="A1114" s="69"/>
      <c r="B1114" s="69"/>
      <c r="C1114" s="71"/>
      <c r="D1114" s="91" t="str">
        <f>if(isblank(I1114),"",vlookup(I1114,Pacing!$A$1:$Z$213,20))</f>
        <v/>
      </c>
      <c r="E1114" s="89" t="str">
        <f>if(isblank(J1114),"",vlookup(J1114,Pacing!$A$1:$Z$213,20))</f>
        <v/>
      </c>
      <c r="F1114" s="89" t="str">
        <f>if(isblank(K1114),"",vlookup(K1114,Pacing!$A$1:$Z$213,20))</f>
        <v/>
      </c>
      <c r="G1114" s="89" t="str">
        <f>if(isblank(L1114),"",vlookup(L1114,Pacing!$A$1:$Z$213,20))</f>
        <v/>
      </c>
      <c r="H1114" s="89" t="str">
        <f>if(isblank(M1114),"",vlookup(M1114,Pacing!$A$1:$Z$213,20))</f>
        <v/>
      </c>
      <c r="I1114" s="86">
        <f t="shared" ref="I1114:M1114" si="1186">I1113</f>
        <v>175</v>
      </c>
      <c r="J1114" s="86">
        <f t="shared" si="1186"/>
        <v>176</v>
      </c>
      <c r="K1114" s="86">
        <f t="shared" si="1186"/>
        <v>177</v>
      </c>
      <c r="L1114" s="86">
        <f t="shared" si="1186"/>
        <v>178</v>
      </c>
      <c r="M1114" s="86">
        <f t="shared" si="1186"/>
        <v>179</v>
      </c>
    </row>
    <row r="1115" ht="15.75" customHeight="1">
      <c r="A1115" s="69"/>
      <c r="B1115" s="69"/>
      <c r="C1115" s="71"/>
      <c r="D1115" s="91" t="str">
        <f>if(isblank(I1115),"",vlookup(I1115,Pacing!$A$1:$Z$213,21))</f>
        <v/>
      </c>
      <c r="E1115" s="89" t="str">
        <f>if(isblank(J1115),"",vlookup(J1115,Pacing!$A$1:$Z$213,21))</f>
        <v/>
      </c>
      <c r="F1115" s="89" t="str">
        <f>if(isblank(K1115),"",vlookup(K1115,Pacing!$A$1:$Z$213,21))</f>
        <v/>
      </c>
      <c r="G1115" s="89" t="str">
        <f>if(isblank(L1115),"",vlookup(L1115,Pacing!$A$1:$Z$213,21))</f>
        <v/>
      </c>
      <c r="H1115" s="89" t="str">
        <f>if(isblank(M1115),"",vlookup(M1115,Pacing!$A$1:$Z$213,21))</f>
        <v/>
      </c>
      <c r="I1115" s="86">
        <f t="shared" ref="I1115:M1115" si="1187">I1114</f>
        <v>175</v>
      </c>
      <c r="J1115" s="86">
        <f t="shared" si="1187"/>
        <v>176</v>
      </c>
      <c r="K1115" s="86">
        <f t="shared" si="1187"/>
        <v>177</v>
      </c>
      <c r="L1115" s="86">
        <f t="shared" si="1187"/>
        <v>178</v>
      </c>
      <c r="M1115" s="86">
        <f t="shared" si="1187"/>
        <v>179</v>
      </c>
    </row>
    <row r="1116" ht="15.75" customHeight="1">
      <c r="A1116" s="69"/>
      <c r="B1116" s="69"/>
      <c r="C1116" s="71"/>
      <c r="D1116" s="91" t="str">
        <f>if(isblank(I1116),"",vlookup(I1116,Pacing!$A$1:$Z$213,22))</f>
        <v/>
      </c>
      <c r="E1116" s="91" t="str">
        <f>if(isblank(J1116),"",vlookup(J1116,Pacing!$A$1:$Z$213,22))</f>
        <v/>
      </c>
      <c r="F1116" s="91" t="str">
        <f>if(isblank(K1116),"",vlookup(K1116,Pacing!$A$1:$Z$213,22))</f>
        <v/>
      </c>
      <c r="G1116" s="91" t="str">
        <f>if(isblank(L1116),"",vlookup(L1116,Pacing!$A$1:$Z$213,22))</f>
        <v/>
      </c>
      <c r="H1116" s="91" t="str">
        <f>if(isblank(M1116),"",vlookup(M1116,Pacing!$A$1:$Z$213,22))</f>
        <v/>
      </c>
      <c r="I1116" s="86">
        <f t="shared" ref="I1116:M1116" si="1188">I1115</f>
        <v>175</v>
      </c>
      <c r="J1116" s="86">
        <f t="shared" si="1188"/>
        <v>176</v>
      </c>
      <c r="K1116" s="86">
        <f t="shared" si="1188"/>
        <v>177</v>
      </c>
      <c r="L1116" s="86">
        <f t="shared" si="1188"/>
        <v>178</v>
      </c>
      <c r="M1116" s="86">
        <f t="shared" si="1188"/>
        <v>179</v>
      </c>
    </row>
    <row r="1117" ht="15.75" customHeight="1">
      <c r="A1117" s="69"/>
      <c r="B1117" s="69"/>
      <c r="C1117" s="71"/>
      <c r="D1117" s="91" t="str">
        <f>if(isblank(I1117),"",vlookup(I1117,Pacing!$A$1:$Z$213,23))</f>
        <v/>
      </c>
      <c r="E1117" s="89" t="str">
        <f>if(isblank(J1117),"",vlookup(J1117,Pacing!$A$1:$Z$213,23))</f>
        <v/>
      </c>
      <c r="F1117" s="89" t="str">
        <f>if(isblank(K1117),"",vlookup(K1117,Pacing!$A$1:$Z$213,23))</f>
        <v/>
      </c>
      <c r="G1117" s="89" t="str">
        <f>if(isblank(L1117),"",vlookup(L1117,Pacing!$A$1:$Z$213,23))</f>
        <v/>
      </c>
      <c r="H1117" s="89" t="str">
        <f>if(isblank(M1117),"",vlookup(M1117,Pacing!$A$1:$Z$213,23))</f>
        <v/>
      </c>
      <c r="I1117" s="86">
        <f t="shared" ref="I1117:M1117" si="1189">I1116</f>
        <v>175</v>
      </c>
      <c r="J1117" s="86">
        <f t="shared" si="1189"/>
        <v>176</v>
      </c>
      <c r="K1117" s="86">
        <f t="shared" si="1189"/>
        <v>177</v>
      </c>
      <c r="L1117" s="86">
        <f t="shared" si="1189"/>
        <v>178</v>
      </c>
      <c r="M1117" s="86">
        <f t="shared" si="1189"/>
        <v>179</v>
      </c>
    </row>
    <row r="1118" ht="15.75" customHeight="1">
      <c r="A1118" s="69"/>
      <c r="B1118" s="69"/>
      <c r="C1118" s="71"/>
      <c r="D1118" s="91" t="str">
        <f>if(isblank(I1118),"",vlookup(I1118,Pacing!$A$1:$Z$213,24))</f>
        <v/>
      </c>
      <c r="E1118" s="89" t="str">
        <f>if(isblank(J1118),"",vlookup(J1118,Pacing!$A$1:$Z$213,24))</f>
        <v/>
      </c>
      <c r="F1118" s="89" t="str">
        <f>if(isblank(K1118),"",vlookup(K1118,Pacing!$A$1:$Z$213,24))</f>
        <v/>
      </c>
      <c r="G1118" s="89" t="str">
        <f>if(isblank(L1118),"",vlookup(L1118,Pacing!$A$1:$Z$213,24))</f>
        <v/>
      </c>
      <c r="H1118" s="89" t="str">
        <f>if(isblank(M1118),"",vlookup(M1118,Pacing!$A$1:$Z$213,24))</f>
        <v/>
      </c>
      <c r="I1118" s="86">
        <f t="shared" ref="I1118:M1118" si="1190">I1117</f>
        <v>175</v>
      </c>
      <c r="J1118" s="86">
        <f t="shared" si="1190"/>
        <v>176</v>
      </c>
      <c r="K1118" s="86">
        <f t="shared" si="1190"/>
        <v>177</v>
      </c>
      <c r="L1118" s="86">
        <f t="shared" si="1190"/>
        <v>178</v>
      </c>
      <c r="M1118" s="86">
        <f t="shared" si="1190"/>
        <v>179</v>
      </c>
    </row>
    <row r="1119" ht="15.75" customHeight="1">
      <c r="A1119" s="69"/>
      <c r="B1119" s="69"/>
      <c r="C1119" s="71"/>
      <c r="D1119" s="91" t="str">
        <f>if(isblank(I1119),"",vlookup(I1119,Pacing!$A$1:$Z$213,25))</f>
        <v/>
      </c>
      <c r="E1119" s="89" t="str">
        <f>if(isblank(J1119),"",vlookup(J1119,Pacing!$A$1:$Z$213,25))</f>
        <v/>
      </c>
      <c r="F1119" s="89" t="str">
        <f>if(isblank(K1119),"",vlookup(K1119,Pacing!$A$1:$Z$213,25))</f>
        <v/>
      </c>
      <c r="G1119" s="89" t="str">
        <f>if(isblank(L1119),"",vlookup(L1119,Pacing!$A$1:$Z$213,25))</f>
        <v/>
      </c>
      <c r="H1119" s="89" t="str">
        <f>if(isblank(M1119),"",vlookup(M1119,Pacing!$A$1:$Z$213,25))</f>
        <v/>
      </c>
      <c r="I1119" s="86">
        <f t="shared" ref="I1119:M1119" si="1191">I1118</f>
        <v>175</v>
      </c>
      <c r="J1119" s="86">
        <f t="shared" si="1191"/>
        <v>176</v>
      </c>
      <c r="K1119" s="86">
        <f t="shared" si="1191"/>
        <v>177</v>
      </c>
      <c r="L1119" s="86">
        <f t="shared" si="1191"/>
        <v>178</v>
      </c>
      <c r="M1119" s="86">
        <f t="shared" si="1191"/>
        <v>179</v>
      </c>
    </row>
    <row r="1120" ht="15.75" customHeight="1">
      <c r="A1120" s="69"/>
      <c r="B1120" s="69"/>
      <c r="C1120" s="71"/>
      <c r="D1120" s="91" t="str">
        <f>if(isblank(I1120),"",vlookup(I1120,Pacing!$A$1:$Z$213,26))</f>
        <v/>
      </c>
      <c r="E1120" s="89" t="str">
        <f>if(isblank(J1120),"",vlookup(J1120,Pacing!$A$1:$Z$213,26))</f>
        <v/>
      </c>
      <c r="F1120" s="89" t="str">
        <f>if(isblank(K1120),"",vlookup(K1120,Pacing!$A$1:$Z$213,26))</f>
        <v/>
      </c>
      <c r="G1120" s="89" t="str">
        <f>if(isblank(L1120),"",vlookup(L1120,Pacing!$A$1:$Z$213,26))</f>
        <v/>
      </c>
      <c r="H1120" s="89" t="str">
        <f>if(isblank(M1120),"",vlookup(M1120,Pacing!$A$1:$Z$213,26))</f>
        <v/>
      </c>
      <c r="I1120" s="86">
        <f t="shared" ref="I1120:M1120" si="1192">I1119</f>
        <v>175</v>
      </c>
      <c r="J1120" s="86">
        <f t="shared" si="1192"/>
        <v>176</v>
      </c>
      <c r="K1120" s="86">
        <f t="shared" si="1192"/>
        <v>177</v>
      </c>
      <c r="L1120" s="86">
        <f t="shared" si="1192"/>
        <v>178</v>
      </c>
      <c r="M1120" s="86">
        <f t="shared" si="1192"/>
        <v>179</v>
      </c>
    </row>
    <row r="1121" ht="15.75" customHeight="1">
      <c r="A1121" s="137"/>
      <c r="B1121" s="137"/>
      <c r="C1121" s="138"/>
      <c r="D1121" s="139">
        <f>H1094+1</f>
        <v>180</v>
      </c>
      <c r="E1121" s="139">
        <f t="shared" ref="E1121:H1121" si="1193">D1121+1</f>
        <v>181</v>
      </c>
      <c r="F1121" s="139">
        <f t="shared" si="1193"/>
        <v>182</v>
      </c>
      <c r="G1121" s="139">
        <f t="shared" si="1193"/>
        <v>183</v>
      </c>
      <c r="H1121" s="139">
        <f t="shared" si="1193"/>
        <v>184</v>
      </c>
      <c r="I1121" s="55">
        <f t="shared" ref="I1121:M1121" si="1194">D1121</f>
        <v>180</v>
      </c>
      <c r="J1121" s="55">
        <f t="shared" si="1194"/>
        <v>181</v>
      </c>
      <c r="K1121" s="55">
        <f t="shared" si="1194"/>
        <v>182</v>
      </c>
      <c r="L1121" s="55">
        <f t="shared" si="1194"/>
        <v>183</v>
      </c>
      <c r="M1121" s="55">
        <f t="shared" si="1194"/>
        <v>184</v>
      </c>
    </row>
    <row r="1122" ht="15.75" customHeight="1">
      <c r="A1122" s="69">
        <f>B1122+1</f>
        <v>421</v>
      </c>
      <c r="B1122" s="69">
        <f t="shared" ref="B1122:B1129" si="1196">$C$1122*10</f>
        <v>420</v>
      </c>
      <c r="C1122" s="71">
        <v>42.0</v>
      </c>
      <c r="D1122" s="72">
        <f>D1095+7</f>
        <v>46552</v>
      </c>
      <c r="E1122" s="72">
        <f t="shared" ref="E1122:H1122" si="1195">D1122+1</f>
        <v>46553</v>
      </c>
      <c r="F1122" s="72">
        <f t="shared" si="1195"/>
        <v>46554</v>
      </c>
      <c r="G1122" s="72">
        <f t="shared" si="1195"/>
        <v>46555</v>
      </c>
      <c r="H1122" s="72">
        <f t="shared" si="1195"/>
        <v>46556</v>
      </c>
      <c r="I1122" s="62" t="s">
        <v>42</v>
      </c>
    </row>
    <row r="1123" ht="15.75" customHeight="1">
      <c r="A1123" s="75">
        <f>B1123+2</f>
        <v>422</v>
      </c>
      <c r="B1123" s="75">
        <f t="shared" si="1196"/>
        <v>420</v>
      </c>
      <c r="C1123" s="76"/>
      <c r="D1123" s="131" t="str">
        <f>if(isblank(I1123),"",vlookup(I1123,Pacing!$A$1:$Z$213,2))</f>
        <v/>
      </c>
      <c r="E1123" s="131" t="str">
        <f>if(isblank(J1123),"",vlookup(J1123,Pacing!$A$1:$Z$213,2))</f>
        <v/>
      </c>
      <c r="F1123" s="131" t="str">
        <f>if(isblank(K1123),"",vlookup(K1123,Pacing!$A$1:$Z$213,2))</f>
        <v/>
      </c>
      <c r="G1123" s="131" t="str">
        <f>if(isblank(L1123),"",vlookup(L1123,Pacing!$A$1:$Z$213,2))</f>
        <v/>
      </c>
      <c r="H1123" s="131" t="str">
        <f>if(isblank(M1123),"",vlookup(M1123,Pacing!$A$1:$Z$213,2))</f>
        <v/>
      </c>
      <c r="I1123" s="78">
        <f t="shared" ref="I1123:M1123" si="1197">I1121</f>
        <v>180</v>
      </c>
      <c r="J1123" s="78">
        <f t="shared" si="1197"/>
        <v>181</v>
      </c>
      <c r="K1123" s="78">
        <f t="shared" si="1197"/>
        <v>182</v>
      </c>
      <c r="L1123" s="78">
        <f t="shared" si="1197"/>
        <v>183</v>
      </c>
      <c r="M1123" s="78">
        <f t="shared" si="1197"/>
        <v>184</v>
      </c>
    </row>
    <row r="1124" ht="15.75" customHeight="1">
      <c r="A1124" s="69">
        <f>B1124+3</f>
        <v>423</v>
      </c>
      <c r="B1124" s="69">
        <f t="shared" si="1196"/>
        <v>420</v>
      </c>
      <c r="C1124" s="76"/>
      <c r="D1124" s="91" t="str">
        <f>if(isblank(I1124),"",vlookup(I1124,Pacing!$A$1:$Z$213,3))</f>
        <v/>
      </c>
      <c r="E1124" s="89" t="str">
        <f>if(isblank(J1124),"",vlookup(J1124,Pacing!$A$1:$Z$213,3))</f>
        <v/>
      </c>
      <c r="F1124" s="89" t="str">
        <f>if(isblank(K1124),"",vlookup(K1124,Pacing!$A$1:$Z$213,3))</f>
        <v/>
      </c>
      <c r="G1124" s="89" t="str">
        <f>if(isblank(L1124),"",vlookup(L1124,Pacing!$A$1:$Z$213,3))</f>
        <v/>
      </c>
      <c r="H1124" s="89" t="str">
        <f>if(isblank(M1124),"",vlookup(M1124,Pacing!$A$1:$Z$213,3))</f>
        <v/>
      </c>
      <c r="I1124" s="86">
        <f t="shared" ref="I1124:M1124" si="1198">I1123</f>
        <v>180</v>
      </c>
      <c r="J1124" s="86">
        <f t="shared" si="1198"/>
        <v>181</v>
      </c>
      <c r="K1124" s="86">
        <f t="shared" si="1198"/>
        <v>182</v>
      </c>
      <c r="L1124" s="86">
        <f t="shared" si="1198"/>
        <v>183</v>
      </c>
      <c r="M1124" s="86">
        <f t="shared" si="1198"/>
        <v>184</v>
      </c>
    </row>
    <row r="1125" ht="15.75" customHeight="1">
      <c r="A1125" s="69">
        <f>B1125+4</f>
        <v>424</v>
      </c>
      <c r="B1125" s="69">
        <f t="shared" si="1196"/>
        <v>420</v>
      </c>
      <c r="C1125" s="76"/>
      <c r="D1125" s="91" t="str">
        <f>if(isblank(I1125),"",vlookup(I1125,Pacing!$A$1:$Z$213,4))</f>
        <v/>
      </c>
      <c r="E1125" s="89" t="str">
        <f>if(isblank(J1125),"",vlookup(J1125,Pacing!$A$1:$Z$213,4))</f>
        <v/>
      </c>
      <c r="F1125" s="89" t="str">
        <f>if(isblank(K1125),"",vlookup(K1125,Pacing!$A$1:$Z$213,4))</f>
        <v/>
      </c>
      <c r="G1125" s="89" t="str">
        <f>if(isblank(L1125),"",vlookup(L1125,Pacing!$A$1:$Z$213,4))</f>
        <v/>
      </c>
      <c r="H1125" s="89" t="str">
        <f>if(isblank(M1125),"",vlookup(M1125,Pacing!$A$1:$Z$213,4))</f>
        <v/>
      </c>
      <c r="I1125" s="86">
        <f t="shared" ref="I1125:M1125" si="1199">I1124</f>
        <v>180</v>
      </c>
      <c r="J1125" s="86">
        <f t="shared" si="1199"/>
        <v>181</v>
      </c>
      <c r="K1125" s="86">
        <f t="shared" si="1199"/>
        <v>182</v>
      </c>
      <c r="L1125" s="86">
        <f t="shared" si="1199"/>
        <v>183</v>
      </c>
      <c r="M1125" s="86">
        <f t="shared" si="1199"/>
        <v>184</v>
      </c>
    </row>
    <row r="1126" ht="15.75" customHeight="1">
      <c r="A1126" s="69">
        <f>B1126+5</f>
        <v>425</v>
      </c>
      <c r="B1126" s="69">
        <f t="shared" si="1196"/>
        <v>420</v>
      </c>
      <c r="C1126" s="76"/>
      <c r="D1126" s="91" t="str">
        <f>if(isblank(I1126),"",vlookup(I1126,Pacing!$A$1:$Z$213,5))</f>
        <v/>
      </c>
      <c r="E1126" s="89" t="str">
        <f>if(isblank(J1126),"",vlookup(J1126,Pacing!$A$1:$Z$213,5))</f>
        <v/>
      </c>
      <c r="F1126" s="89" t="str">
        <f>if(isblank(K1126),"",vlookup(K1126,Pacing!$A$1:$Z$213,5))</f>
        <v/>
      </c>
      <c r="G1126" s="89" t="str">
        <f>if(isblank(L1126),"",vlookup(L1126,Pacing!$A$1:$Z$213,5))</f>
        <v/>
      </c>
      <c r="H1126" s="89" t="str">
        <f>if(isblank(M1126),"",vlookup(M1126,Pacing!$A$1:$Z$213,5))</f>
        <v/>
      </c>
      <c r="I1126" s="86">
        <f t="shared" ref="I1126:M1126" si="1200">I1125</f>
        <v>180</v>
      </c>
      <c r="J1126" s="86">
        <f t="shared" si="1200"/>
        <v>181</v>
      </c>
      <c r="K1126" s="86">
        <f t="shared" si="1200"/>
        <v>182</v>
      </c>
      <c r="L1126" s="86">
        <f t="shared" si="1200"/>
        <v>183</v>
      </c>
      <c r="M1126" s="86">
        <f t="shared" si="1200"/>
        <v>184</v>
      </c>
    </row>
    <row r="1127" ht="15.75" customHeight="1">
      <c r="A1127" s="69">
        <f>B1127+6</f>
        <v>426</v>
      </c>
      <c r="B1127" s="69">
        <f t="shared" si="1196"/>
        <v>420</v>
      </c>
      <c r="C1127" s="76"/>
      <c r="D1127" s="91" t="str">
        <f>if(isblank(I1127),"",vlookup(I1127,Pacing!$A$1:$Z$213,6))</f>
        <v/>
      </c>
      <c r="E1127" s="89" t="str">
        <f>if(isblank(J1127),"",vlookup(J1127,Pacing!$A$1:$Z$213,6))</f>
        <v/>
      </c>
      <c r="F1127" s="89" t="str">
        <f>if(isblank(K1127),"",vlookup(K1127,Pacing!$A$1:$Z$213,6))</f>
        <v/>
      </c>
      <c r="G1127" s="89" t="str">
        <f>if(isblank(L1127),"",vlookup(L1127,Pacing!$A$1:$Z$213,6))</f>
        <v/>
      </c>
      <c r="H1127" s="89" t="str">
        <f>if(isblank(M1127),"",vlookup(M1127,Pacing!$A$1:$Z$213,6))</f>
        <v/>
      </c>
      <c r="I1127" s="86">
        <f t="shared" ref="I1127:M1127" si="1201">I1126</f>
        <v>180</v>
      </c>
      <c r="J1127" s="86">
        <f t="shared" si="1201"/>
        <v>181</v>
      </c>
      <c r="K1127" s="86">
        <f t="shared" si="1201"/>
        <v>182</v>
      </c>
      <c r="L1127" s="86">
        <f t="shared" si="1201"/>
        <v>183</v>
      </c>
      <c r="M1127" s="86">
        <f t="shared" si="1201"/>
        <v>184</v>
      </c>
    </row>
    <row r="1128" ht="15.75" customHeight="1">
      <c r="A1128" s="69">
        <f>B1128+7</f>
        <v>427</v>
      </c>
      <c r="B1128" s="69">
        <f t="shared" si="1196"/>
        <v>420</v>
      </c>
      <c r="C1128" s="76"/>
      <c r="D1128" s="91" t="str">
        <f>if(isblank(I1128),"",vlookup(I1128,Pacing!$A$1:$Z$213,7))</f>
        <v/>
      </c>
      <c r="E1128" s="89" t="str">
        <f>if(isblank(J1128),"",vlookup(J1128,Pacing!$A$1:$Z$213,7))</f>
        <v/>
      </c>
      <c r="F1128" s="89" t="str">
        <f>if(isblank(K1128),"",vlookup(K1128,Pacing!$A$1:$Z$213,7))</f>
        <v/>
      </c>
      <c r="G1128" s="89" t="str">
        <f>if(isblank(L1128),"",vlookup(L1128,Pacing!$A$1:$Z$213,7))</f>
        <v/>
      </c>
      <c r="H1128" s="89" t="str">
        <f>if(isblank(M1128),"",vlookup(M1128,Pacing!$A$1:$Z$213,7))</f>
        <v/>
      </c>
      <c r="I1128" s="86">
        <f t="shared" ref="I1128:M1128" si="1202">I1127</f>
        <v>180</v>
      </c>
      <c r="J1128" s="86">
        <f t="shared" si="1202"/>
        <v>181</v>
      </c>
      <c r="K1128" s="86">
        <f t="shared" si="1202"/>
        <v>182</v>
      </c>
      <c r="L1128" s="86">
        <f t="shared" si="1202"/>
        <v>183</v>
      </c>
      <c r="M1128" s="86">
        <f t="shared" si="1202"/>
        <v>184</v>
      </c>
    </row>
    <row r="1129" ht="15.75" customHeight="1">
      <c r="A1129" s="69">
        <f>B1129+8</f>
        <v>428</v>
      </c>
      <c r="B1129" s="69">
        <f t="shared" si="1196"/>
        <v>420</v>
      </c>
      <c r="C1129" s="95"/>
      <c r="D1129" s="91" t="str">
        <f>if(isblank(I1129),"",vlookup(I1129,Pacing!$A$1:$Z$213,8))</f>
        <v/>
      </c>
      <c r="E1129" s="89" t="str">
        <f>if(isblank(J1129),"",vlookup(J1129,Pacing!$A$1:$Z$213,8))</f>
        <v/>
      </c>
      <c r="F1129" s="89" t="str">
        <f>if(isblank(K1129),"",vlookup(K1129,Pacing!$A$1:$Z$213,8))</f>
        <v/>
      </c>
      <c r="G1129" s="89" t="str">
        <f>if(isblank(L1129),"",vlookup(L1129,Pacing!$A$1:$Z$213,8))</f>
        <v/>
      </c>
      <c r="H1129" s="89" t="str">
        <f>if(isblank(M1129),"",vlookup(M1129,Pacing!$A$1:$Z$213,8))</f>
        <v/>
      </c>
      <c r="I1129" s="86">
        <f t="shared" ref="I1129:M1129" si="1203">I1128</f>
        <v>180</v>
      </c>
      <c r="J1129" s="86">
        <f t="shared" si="1203"/>
        <v>181</v>
      </c>
      <c r="K1129" s="86">
        <f t="shared" si="1203"/>
        <v>182</v>
      </c>
      <c r="L1129" s="86">
        <f t="shared" si="1203"/>
        <v>183</v>
      </c>
      <c r="M1129" s="86">
        <f t="shared" si="1203"/>
        <v>184</v>
      </c>
    </row>
    <row r="1130" ht="15.75" customHeight="1">
      <c r="A1130" s="69"/>
      <c r="B1130" s="69"/>
      <c r="C1130" s="71"/>
      <c r="D1130" s="91" t="str">
        <f>if(isblank(I1130),"",vlookup(I1130,Pacing!$A$1:$Z$213,9))</f>
        <v/>
      </c>
      <c r="E1130" s="89" t="str">
        <f>if(isblank(J1130),"",vlookup(J1130,Pacing!$A$1:$Z$213,9))</f>
        <v/>
      </c>
      <c r="F1130" s="89" t="str">
        <f>if(isblank(K1130),"",vlookup(K1130,Pacing!$A$1:$Z$213,9))</f>
        <v/>
      </c>
      <c r="G1130" s="89" t="str">
        <f>if(isblank(L1130),"",vlookup(L1130,Pacing!$A$1:$Z$213,9))</f>
        <v/>
      </c>
      <c r="H1130" s="89" t="str">
        <f>if(isblank(M1130),"",vlookup(M1130,Pacing!$A$1:$Z$213,9))</f>
        <v/>
      </c>
      <c r="I1130" s="86">
        <f t="shared" ref="I1130:M1130" si="1204">I1129</f>
        <v>180</v>
      </c>
      <c r="J1130" s="86">
        <f t="shared" si="1204"/>
        <v>181</v>
      </c>
      <c r="K1130" s="86">
        <f t="shared" si="1204"/>
        <v>182</v>
      </c>
      <c r="L1130" s="86">
        <f t="shared" si="1204"/>
        <v>183</v>
      </c>
      <c r="M1130" s="86">
        <f t="shared" si="1204"/>
        <v>184</v>
      </c>
    </row>
    <row r="1131" ht="15.75" customHeight="1">
      <c r="A1131" s="69"/>
      <c r="B1131" s="69"/>
      <c r="C1131" s="71"/>
      <c r="D1131" s="91" t="str">
        <f>if(isblank(I1131),"",vlookup(I1131,Pacing!$A$1:$Z$213,10))</f>
        <v/>
      </c>
      <c r="E1131" s="89" t="str">
        <f>if(isblank(J1131),"",vlookup(J1131,Pacing!$A$1:$Z$213,10))</f>
        <v/>
      </c>
      <c r="F1131" s="89" t="str">
        <f>if(isblank(K1131),"",vlookup(K1131,Pacing!$A$1:$Z$213,10))</f>
        <v/>
      </c>
      <c r="G1131" s="89" t="str">
        <f>if(isblank(L1131),"",vlookup(L1131,Pacing!$A$1:$Z$213,10))</f>
        <v/>
      </c>
      <c r="H1131" s="89" t="str">
        <f>if(isblank(M1131),"",vlookup(M1131,Pacing!$A$1:$Z$213,10))</f>
        <v/>
      </c>
      <c r="I1131" s="86">
        <f t="shared" ref="I1131:M1131" si="1205">I1130</f>
        <v>180</v>
      </c>
      <c r="J1131" s="86">
        <f t="shared" si="1205"/>
        <v>181</v>
      </c>
      <c r="K1131" s="86">
        <f t="shared" si="1205"/>
        <v>182</v>
      </c>
      <c r="L1131" s="86">
        <f t="shared" si="1205"/>
        <v>183</v>
      </c>
      <c r="M1131" s="86">
        <f t="shared" si="1205"/>
        <v>184</v>
      </c>
    </row>
    <row r="1132" ht="15.75" customHeight="1">
      <c r="A1132" s="69"/>
      <c r="B1132" s="69"/>
      <c r="C1132" s="71"/>
      <c r="D1132" s="91" t="str">
        <f>if(isblank(I1132),"",vlookup(I1132,Pacing!$A$1:$Z$213,11))</f>
        <v/>
      </c>
      <c r="E1132" s="89" t="str">
        <f>if(isblank(J1132),"",vlookup(J1132,Pacing!$A$1:$Z$213,11))</f>
        <v/>
      </c>
      <c r="F1132" s="89" t="str">
        <f>if(isblank(K1132),"",vlookup(K1132,Pacing!$A$1:$Z$213,11))</f>
        <v/>
      </c>
      <c r="G1132" s="89" t="str">
        <f>if(isblank(L1132),"",vlookup(L1132,Pacing!$A$1:$Z$213,11))</f>
        <v/>
      </c>
      <c r="H1132" s="89" t="str">
        <f>if(isblank(M1132),"",vlookup(M1132,Pacing!$A$1:$Z$213,11))</f>
        <v/>
      </c>
      <c r="I1132" s="86">
        <f t="shared" ref="I1132:M1132" si="1206">I1131</f>
        <v>180</v>
      </c>
      <c r="J1132" s="86">
        <f t="shared" si="1206"/>
        <v>181</v>
      </c>
      <c r="K1132" s="86">
        <f t="shared" si="1206"/>
        <v>182</v>
      </c>
      <c r="L1132" s="86">
        <f t="shared" si="1206"/>
        <v>183</v>
      </c>
      <c r="M1132" s="86">
        <f t="shared" si="1206"/>
        <v>184</v>
      </c>
    </row>
    <row r="1133" ht="15.75" customHeight="1">
      <c r="A1133" s="69"/>
      <c r="B1133" s="69"/>
      <c r="C1133" s="71"/>
      <c r="D1133" s="91" t="str">
        <f>if(isblank(I1133),"",vlookup(I1133,Pacing!$A$1:$Z$213,12))</f>
        <v/>
      </c>
      <c r="E1133" s="91" t="str">
        <f>if(isblank(J1133),"",vlookup(J1133,Pacing!$A$1:$Z$213,12))</f>
        <v/>
      </c>
      <c r="F1133" s="91" t="str">
        <f>if(isblank(K1133),"",vlookup(K1133,Pacing!$A$1:$Z$213,12))</f>
        <v/>
      </c>
      <c r="G1133" s="91" t="str">
        <f>if(isblank(L1133),"",vlookup(L1133,Pacing!$A$1:$Z$213,12))</f>
        <v/>
      </c>
      <c r="H1133" s="91" t="str">
        <f>if(isblank(M1133),"",vlookup(M1133,Pacing!$A$1:$Z$213,12))</f>
        <v/>
      </c>
      <c r="I1133" s="86">
        <f t="shared" ref="I1133:M1133" si="1207">I1132</f>
        <v>180</v>
      </c>
      <c r="J1133" s="86">
        <f t="shared" si="1207"/>
        <v>181</v>
      </c>
      <c r="K1133" s="86">
        <f t="shared" si="1207"/>
        <v>182</v>
      </c>
      <c r="L1133" s="86">
        <f t="shared" si="1207"/>
        <v>183</v>
      </c>
      <c r="M1133" s="86">
        <f t="shared" si="1207"/>
        <v>184</v>
      </c>
    </row>
    <row r="1134" ht="15.75" customHeight="1">
      <c r="A1134" s="69"/>
      <c r="B1134" s="69"/>
      <c r="C1134" s="71"/>
      <c r="D1134" s="91" t="str">
        <f>if(isblank(I1134),"",vlookup(I1134,Pacing!$A$1:$Z$213,13))</f>
        <v/>
      </c>
      <c r="E1134" s="91" t="str">
        <f>if(isblank(J1134),"",vlookup(J1134,Pacing!$A$1:$Z$213,13))</f>
        <v/>
      </c>
      <c r="F1134" s="91" t="str">
        <f>if(isblank(K1134),"",vlookup(K1134,Pacing!$A$1:$Z$213,13))</f>
        <v/>
      </c>
      <c r="G1134" s="91" t="str">
        <f>if(isblank(L1134),"",vlookup(L1134,Pacing!$A$1:$Z$213,13))</f>
        <v/>
      </c>
      <c r="H1134" s="91" t="str">
        <f>if(isblank(M1134),"",vlookup(M1134,Pacing!$A$1:$Z$213,13))</f>
        <v/>
      </c>
      <c r="I1134" s="86">
        <f t="shared" ref="I1134:M1134" si="1208">I1133</f>
        <v>180</v>
      </c>
      <c r="J1134" s="86">
        <f t="shared" si="1208"/>
        <v>181</v>
      </c>
      <c r="K1134" s="86">
        <f t="shared" si="1208"/>
        <v>182</v>
      </c>
      <c r="L1134" s="86">
        <f t="shared" si="1208"/>
        <v>183</v>
      </c>
      <c r="M1134" s="86">
        <f t="shared" si="1208"/>
        <v>184</v>
      </c>
    </row>
    <row r="1135" ht="15.75" customHeight="1">
      <c r="A1135" s="69"/>
      <c r="B1135" s="69"/>
      <c r="C1135" s="71"/>
      <c r="D1135" s="91" t="str">
        <f>if(isblank(I1135),"",vlookup(I1135,Pacing!$A$1:$Z$213,14))</f>
        <v/>
      </c>
      <c r="E1135" s="89" t="str">
        <f>if(isblank(J1135),"",vlookup(J1135,Pacing!$A$1:$Z$213,14))</f>
        <v/>
      </c>
      <c r="F1135" s="89" t="str">
        <f>if(isblank(K1135),"",vlookup(K1135,Pacing!$A$1:$Z$213,14))</f>
        <v/>
      </c>
      <c r="G1135" s="89" t="str">
        <f>if(isblank(L1135),"",vlookup(L1135,Pacing!$A$1:$Z$213,14))</f>
        <v/>
      </c>
      <c r="H1135" s="89" t="str">
        <f>if(isblank(M1135),"",vlookup(M1135,Pacing!$A$1:$Z$213,14))</f>
        <v/>
      </c>
      <c r="I1135" s="86">
        <f t="shared" ref="I1135:M1135" si="1209">I1134</f>
        <v>180</v>
      </c>
      <c r="J1135" s="86">
        <f t="shared" si="1209"/>
        <v>181</v>
      </c>
      <c r="K1135" s="86">
        <f t="shared" si="1209"/>
        <v>182</v>
      </c>
      <c r="L1135" s="86">
        <f t="shared" si="1209"/>
        <v>183</v>
      </c>
      <c r="M1135" s="86">
        <f t="shared" si="1209"/>
        <v>184</v>
      </c>
    </row>
    <row r="1136" ht="15.75" customHeight="1">
      <c r="A1136" s="69"/>
      <c r="B1136" s="69"/>
      <c r="C1136" s="71"/>
      <c r="D1136" s="91" t="str">
        <f>if(isblank(I1136),"",vlookup(I1136,Pacing!$A$1:$Z$213,15))</f>
        <v/>
      </c>
      <c r="E1136" s="89" t="str">
        <f>if(isblank(J1136),"",vlookup(J1136,Pacing!$A$1:$Z$213,15))</f>
        <v/>
      </c>
      <c r="F1136" s="89" t="str">
        <f>if(isblank(K1136),"",vlookup(K1136,Pacing!$A$1:$Z$213,15))</f>
        <v/>
      </c>
      <c r="G1136" s="89" t="str">
        <f>if(isblank(L1136),"",vlookup(L1136,Pacing!$A$1:$Z$213,15))</f>
        <v/>
      </c>
      <c r="H1136" s="89" t="str">
        <f>if(isblank(M1136),"",vlookup(M1136,Pacing!$A$1:$Z$213,15))</f>
        <v/>
      </c>
      <c r="I1136" s="86">
        <f t="shared" ref="I1136:M1136" si="1210">I1135</f>
        <v>180</v>
      </c>
      <c r="J1136" s="86">
        <f t="shared" si="1210"/>
        <v>181</v>
      </c>
      <c r="K1136" s="86">
        <f t="shared" si="1210"/>
        <v>182</v>
      </c>
      <c r="L1136" s="86">
        <f t="shared" si="1210"/>
        <v>183</v>
      </c>
      <c r="M1136" s="86">
        <f t="shared" si="1210"/>
        <v>184</v>
      </c>
    </row>
    <row r="1137" ht="15.75" customHeight="1">
      <c r="A1137" s="69"/>
      <c r="B1137" s="69"/>
      <c r="C1137" s="71"/>
      <c r="D1137" s="91" t="str">
        <f>if(isblank(I1137),"",vlookup(I1137,Pacing!$A$1:$Z$213,16))</f>
        <v/>
      </c>
      <c r="E1137" s="89" t="str">
        <f>if(isblank(J1137),"",vlookup(J1137,Pacing!$A$1:$Z$213,16))</f>
        <v/>
      </c>
      <c r="F1137" s="89" t="str">
        <f>if(isblank(K1137),"",vlookup(K1137,Pacing!$A$1:$Z$213,16))</f>
        <v/>
      </c>
      <c r="G1137" s="89" t="str">
        <f>if(isblank(L1137),"",vlookup(L1137,Pacing!$A$1:$Z$213,16))</f>
        <v/>
      </c>
      <c r="H1137" s="89" t="str">
        <f>if(isblank(M1137),"",vlookup(M1137,Pacing!$A$1:$Z$213,16))</f>
        <v/>
      </c>
      <c r="I1137" s="86">
        <f t="shared" ref="I1137:M1137" si="1211">I1136</f>
        <v>180</v>
      </c>
      <c r="J1137" s="86">
        <f t="shared" si="1211"/>
        <v>181</v>
      </c>
      <c r="K1137" s="86">
        <f t="shared" si="1211"/>
        <v>182</v>
      </c>
      <c r="L1137" s="86">
        <f t="shared" si="1211"/>
        <v>183</v>
      </c>
      <c r="M1137" s="86">
        <f t="shared" si="1211"/>
        <v>184</v>
      </c>
    </row>
    <row r="1138" ht="15.75" customHeight="1">
      <c r="A1138" s="69"/>
      <c r="B1138" s="69"/>
      <c r="C1138" s="71"/>
      <c r="D1138" s="91" t="str">
        <f>if(isblank(I1138),"",vlookup(I1138,Pacing!$A$1:$Z$213,17))</f>
        <v/>
      </c>
      <c r="E1138" s="89" t="str">
        <f>if(isblank(J1138),"",vlookup(J1138,Pacing!$A$1:$Z$213,17))</f>
        <v/>
      </c>
      <c r="F1138" s="89" t="str">
        <f>if(isblank(K1138),"",vlookup(K1138,Pacing!$A$1:$Z$213,17))</f>
        <v/>
      </c>
      <c r="G1138" s="89" t="str">
        <f>if(isblank(L1138),"",vlookup(L1138,Pacing!$A$1:$Z$213,17))</f>
        <v/>
      </c>
      <c r="H1138" s="89" t="str">
        <f>if(isblank(M1138),"",vlookup(M1138,Pacing!$A$1:$Z$213,17))</f>
        <v/>
      </c>
      <c r="I1138" s="86">
        <f t="shared" ref="I1138:M1138" si="1212">I1137</f>
        <v>180</v>
      </c>
      <c r="J1138" s="86">
        <f t="shared" si="1212"/>
        <v>181</v>
      </c>
      <c r="K1138" s="86">
        <f t="shared" si="1212"/>
        <v>182</v>
      </c>
      <c r="L1138" s="86">
        <f t="shared" si="1212"/>
        <v>183</v>
      </c>
      <c r="M1138" s="86">
        <f t="shared" si="1212"/>
        <v>184</v>
      </c>
    </row>
    <row r="1139" ht="15.75" customHeight="1">
      <c r="A1139" s="69"/>
      <c r="B1139" s="69"/>
      <c r="C1139" s="71"/>
      <c r="D1139" s="91" t="str">
        <f>if(isblank(I1139),"",vlookup(I1139,Pacing!$A$1:$Z$213,18))</f>
        <v/>
      </c>
      <c r="E1139" s="91" t="str">
        <f>if(isblank(J1139),"",vlookup(J1139,Pacing!$A$1:$Z$213,18))</f>
        <v/>
      </c>
      <c r="F1139" s="91" t="str">
        <f>if(isblank(K1139),"",vlookup(K1139,Pacing!$A$1:$Z$213,18))</f>
        <v/>
      </c>
      <c r="G1139" s="91" t="str">
        <f>if(isblank(L1139),"",vlookup(L1139,Pacing!$A$1:$Z$213,18))</f>
        <v/>
      </c>
      <c r="H1139" s="91" t="str">
        <f>if(isblank(M1139),"",vlookup(M1139,Pacing!$A$1:$Z$213,18))</f>
        <v/>
      </c>
      <c r="I1139" s="86">
        <f t="shared" ref="I1139:M1139" si="1213">I1138</f>
        <v>180</v>
      </c>
      <c r="J1139" s="86">
        <f t="shared" si="1213"/>
        <v>181</v>
      </c>
      <c r="K1139" s="86">
        <f t="shared" si="1213"/>
        <v>182</v>
      </c>
      <c r="L1139" s="86">
        <f t="shared" si="1213"/>
        <v>183</v>
      </c>
      <c r="M1139" s="86">
        <f t="shared" si="1213"/>
        <v>184</v>
      </c>
    </row>
    <row r="1140" ht="15.75" customHeight="1">
      <c r="A1140" s="69"/>
      <c r="B1140" s="69"/>
      <c r="C1140" s="71"/>
      <c r="D1140" s="91" t="str">
        <f>if(isblank(I1140),"",vlookup(I1140,Pacing!$A$1:$Z$213,19))</f>
        <v/>
      </c>
      <c r="E1140" s="89" t="str">
        <f>if(isblank(J1140),"",vlookup(J1140,Pacing!$A$1:$Z$213,19))</f>
        <v/>
      </c>
      <c r="F1140" s="89" t="str">
        <f>if(isblank(K1140),"",vlookup(K1140,Pacing!$A$1:$Z$213,19))</f>
        <v/>
      </c>
      <c r="G1140" s="89" t="str">
        <f>if(isblank(L1140),"",vlookup(L1140,Pacing!$A$1:$Z$213,19))</f>
        <v/>
      </c>
      <c r="H1140" s="89" t="str">
        <f>if(isblank(M1140),"",vlookup(M1140,Pacing!$A$1:$Z$213,19))</f>
        <v/>
      </c>
      <c r="I1140" s="86">
        <f t="shared" ref="I1140:M1140" si="1214">I1139</f>
        <v>180</v>
      </c>
      <c r="J1140" s="86">
        <f t="shared" si="1214"/>
        <v>181</v>
      </c>
      <c r="K1140" s="86">
        <f t="shared" si="1214"/>
        <v>182</v>
      </c>
      <c r="L1140" s="86">
        <f t="shared" si="1214"/>
        <v>183</v>
      </c>
      <c r="M1140" s="86">
        <f t="shared" si="1214"/>
        <v>184</v>
      </c>
    </row>
    <row r="1141" ht="15.75" customHeight="1">
      <c r="A1141" s="69"/>
      <c r="B1141" s="69"/>
      <c r="C1141" s="71"/>
      <c r="D1141" s="91" t="str">
        <f>if(isblank(I1141),"",vlookup(I1141,Pacing!$A$1:$Z$213,20))</f>
        <v/>
      </c>
      <c r="E1141" s="89" t="str">
        <f>if(isblank(J1141),"",vlookup(J1141,Pacing!$A$1:$Z$213,20))</f>
        <v/>
      </c>
      <c r="F1141" s="89" t="str">
        <f>if(isblank(K1141),"",vlookup(K1141,Pacing!$A$1:$Z$213,20))</f>
        <v/>
      </c>
      <c r="G1141" s="89" t="str">
        <f>if(isblank(L1141),"",vlookup(L1141,Pacing!$A$1:$Z$213,20))</f>
        <v/>
      </c>
      <c r="H1141" s="89" t="str">
        <f>if(isblank(M1141),"",vlookup(M1141,Pacing!$A$1:$Z$213,20))</f>
        <v/>
      </c>
      <c r="I1141" s="86">
        <f t="shared" ref="I1141:M1141" si="1215">I1140</f>
        <v>180</v>
      </c>
      <c r="J1141" s="86">
        <f t="shared" si="1215"/>
        <v>181</v>
      </c>
      <c r="K1141" s="86">
        <f t="shared" si="1215"/>
        <v>182</v>
      </c>
      <c r="L1141" s="86">
        <f t="shared" si="1215"/>
        <v>183</v>
      </c>
      <c r="M1141" s="86">
        <f t="shared" si="1215"/>
        <v>184</v>
      </c>
    </row>
    <row r="1142" ht="15.75" customHeight="1">
      <c r="A1142" s="69"/>
      <c r="B1142" s="69"/>
      <c r="C1142" s="71"/>
      <c r="D1142" s="91" t="str">
        <f>if(isblank(I1142),"",vlookup(I1142,Pacing!$A$1:$Z$213,21))</f>
        <v/>
      </c>
      <c r="E1142" s="89" t="str">
        <f>if(isblank(J1142),"",vlookup(J1142,Pacing!$A$1:$Z$213,21))</f>
        <v/>
      </c>
      <c r="F1142" s="89" t="str">
        <f>if(isblank(K1142),"",vlookup(K1142,Pacing!$A$1:$Z$213,21))</f>
        <v/>
      </c>
      <c r="G1142" s="89" t="str">
        <f>if(isblank(L1142),"",vlookup(L1142,Pacing!$A$1:$Z$213,21))</f>
        <v/>
      </c>
      <c r="H1142" s="89" t="str">
        <f>if(isblank(M1142),"",vlookup(M1142,Pacing!$A$1:$Z$213,21))</f>
        <v/>
      </c>
      <c r="I1142" s="86">
        <f t="shared" ref="I1142:M1142" si="1216">I1141</f>
        <v>180</v>
      </c>
      <c r="J1142" s="86">
        <f t="shared" si="1216"/>
        <v>181</v>
      </c>
      <c r="K1142" s="86">
        <f t="shared" si="1216"/>
        <v>182</v>
      </c>
      <c r="L1142" s="86">
        <f t="shared" si="1216"/>
        <v>183</v>
      </c>
      <c r="M1142" s="86">
        <f t="shared" si="1216"/>
        <v>184</v>
      </c>
    </row>
    <row r="1143" ht="15.75" customHeight="1">
      <c r="A1143" s="69"/>
      <c r="B1143" s="69"/>
      <c r="C1143" s="71"/>
      <c r="D1143" s="91" t="str">
        <f>if(isblank(I1143),"",vlookup(I1143,Pacing!$A$1:$Z$213,22))</f>
        <v/>
      </c>
      <c r="E1143" s="91" t="str">
        <f>if(isblank(J1143),"",vlookup(J1143,Pacing!$A$1:$Z$213,22))</f>
        <v/>
      </c>
      <c r="F1143" s="91" t="str">
        <f>if(isblank(K1143),"",vlookup(K1143,Pacing!$A$1:$Z$213,22))</f>
        <v/>
      </c>
      <c r="G1143" s="91" t="str">
        <f>if(isblank(L1143),"",vlookup(L1143,Pacing!$A$1:$Z$213,22))</f>
        <v/>
      </c>
      <c r="H1143" s="91" t="str">
        <f>if(isblank(M1143),"",vlookup(M1143,Pacing!$A$1:$Z$213,22))</f>
        <v/>
      </c>
      <c r="I1143" s="86">
        <f t="shared" ref="I1143:M1143" si="1217">I1142</f>
        <v>180</v>
      </c>
      <c r="J1143" s="86">
        <f t="shared" si="1217"/>
        <v>181</v>
      </c>
      <c r="K1143" s="86">
        <f t="shared" si="1217"/>
        <v>182</v>
      </c>
      <c r="L1143" s="86">
        <f t="shared" si="1217"/>
        <v>183</v>
      </c>
      <c r="M1143" s="86">
        <f t="shared" si="1217"/>
        <v>184</v>
      </c>
    </row>
    <row r="1144" ht="15.75" customHeight="1">
      <c r="A1144" s="69"/>
      <c r="B1144" s="69"/>
      <c r="C1144" s="71"/>
      <c r="D1144" s="91" t="str">
        <f>if(isblank(I1144),"",vlookup(I1144,Pacing!$A$1:$Z$213,23))</f>
        <v/>
      </c>
      <c r="E1144" s="89" t="str">
        <f>if(isblank(J1144),"",vlookup(J1144,Pacing!$A$1:$Z$213,23))</f>
        <v/>
      </c>
      <c r="F1144" s="89" t="str">
        <f>if(isblank(K1144),"",vlookup(K1144,Pacing!$A$1:$Z$213,23))</f>
        <v/>
      </c>
      <c r="G1144" s="89" t="str">
        <f>if(isblank(L1144),"",vlookup(L1144,Pacing!$A$1:$Z$213,23))</f>
        <v/>
      </c>
      <c r="H1144" s="89" t="str">
        <f>if(isblank(M1144),"",vlookup(M1144,Pacing!$A$1:$Z$213,23))</f>
        <v/>
      </c>
      <c r="I1144" s="86">
        <f t="shared" ref="I1144:M1144" si="1218">I1143</f>
        <v>180</v>
      </c>
      <c r="J1144" s="86">
        <f t="shared" si="1218"/>
        <v>181</v>
      </c>
      <c r="K1144" s="86">
        <f t="shared" si="1218"/>
        <v>182</v>
      </c>
      <c r="L1144" s="86">
        <f t="shared" si="1218"/>
        <v>183</v>
      </c>
      <c r="M1144" s="86">
        <f t="shared" si="1218"/>
        <v>184</v>
      </c>
    </row>
    <row r="1145" ht="15.75" customHeight="1">
      <c r="A1145" s="69"/>
      <c r="B1145" s="69"/>
      <c r="C1145" s="71"/>
      <c r="D1145" s="91" t="str">
        <f>if(isblank(I1145),"",vlookup(I1145,Pacing!$A$1:$Z$213,24))</f>
        <v/>
      </c>
      <c r="E1145" s="89" t="str">
        <f>if(isblank(J1145),"",vlookup(J1145,Pacing!$A$1:$Z$213,24))</f>
        <v/>
      </c>
      <c r="F1145" s="89" t="str">
        <f>if(isblank(K1145),"",vlookup(K1145,Pacing!$A$1:$Z$213,24))</f>
        <v/>
      </c>
      <c r="G1145" s="89" t="str">
        <f>if(isblank(L1145),"",vlookup(L1145,Pacing!$A$1:$Z$213,24))</f>
        <v/>
      </c>
      <c r="H1145" s="89" t="str">
        <f>if(isblank(M1145),"",vlookup(M1145,Pacing!$A$1:$Z$213,24))</f>
        <v/>
      </c>
      <c r="I1145" s="86">
        <f t="shared" ref="I1145:M1145" si="1219">I1144</f>
        <v>180</v>
      </c>
      <c r="J1145" s="86">
        <f t="shared" si="1219"/>
        <v>181</v>
      </c>
      <c r="K1145" s="86">
        <f t="shared" si="1219"/>
        <v>182</v>
      </c>
      <c r="L1145" s="86">
        <f t="shared" si="1219"/>
        <v>183</v>
      </c>
      <c r="M1145" s="86">
        <f t="shared" si="1219"/>
        <v>184</v>
      </c>
    </row>
    <row r="1146" ht="15.75" customHeight="1">
      <c r="A1146" s="69"/>
      <c r="B1146" s="69"/>
      <c r="C1146" s="71"/>
      <c r="D1146" s="91" t="str">
        <f>if(isblank(I1146),"",vlookup(I1146,Pacing!$A$1:$Z$213,25))</f>
        <v/>
      </c>
      <c r="E1146" s="89" t="str">
        <f>if(isblank(J1146),"",vlookup(J1146,Pacing!$A$1:$Z$213,25))</f>
        <v/>
      </c>
      <c r="F1146" s="89" t="str">
        <f>if(isblank(K1146),"",vlookup(K1146,Pacing!$A$1:$Z$213,25))</f>
        <v/>
      </c>
      <c r="G1146" s="89" t="str">
        <f>if(isblank(L1146),"",vlookup(L1146,Pacing!$A$1:$Z$213,25))</f>
        <v/>
      </c>
      <c r="H1146" s="89" t="str">
        <f>if(isblank(M1146),"",vlookup(M1146,Pacing!$A$1:$Z$213,25))</f>
        <v/>
      </c>
      <c r="I1146" s="86">
        <f t="shared" ref="I1146:M1146" si="1220">I1145</f>
        <v>180</v>
      </c>
      <c r="J1146" s="86">
        <f t="shared" si="1220"/>
        <v>181</v>
      </c>
      <c r="K1146" s="86">
        <f t="shared" si="1220"/>
        <v>182</v>
      </c>
      <c r="L1146" s="86">
        <f t="shared" si="1220"/>
        <v>183</v>
      </c>
      <c r="M1146" s="86">
        <f t="shared" si="1220"/>
        <v>184</v>
      </c>
    </row>
    <row r="1147" ht="15.75" customHeight="1">
      <c r="A1147" s="69"/>
      <c r="B1147" s="69"/>
      <c r="C1147" s="71"/>
      <c r="D1147" s="91" t="str">
        <f>if(isblank(I1147),"",vlookup(I1147,Pacing!$A$1:$Z$213,26))</f>
        <v/>
      </c>
      <c r="E1147" s="89" t="str">
        <f>if(isblank(J1147),"",vlookup(J1147,Pacing!$A$1:$Z$213,26))</f>
        <v/>
      </c>
      <c r="F1147" s="89" t="str">
        <f>if(isblank(K1147),"",vlookup(K1147,Pacing!$A$1:$Z$213,26))</f>
        <v/>
      </c>
      <c r="G1147" s="89" t="str">
        <f>if(isblank(L1147),"",vlookup(L1147,Pacing!$A$1:$Z$213,26))</f>
        <v/>
      </c>
      <c r="H1147" s="89" t="str">
        <f>if(isblank(M1147),"",vlookup(M1147,Pacing!$A$1:$Z$213,26))</f>
        <v/>
      </c>
      <c r="I1147" s="86">
        <f t="shared" ref="I1147:M1147" si="1221">I1146</f>
        <v>180</v>
      </c>
      <c r="J1147" s="86">
        <f t="shared" si="1221"/>
        <v>181</v>
      </c>
      <c r="K1147" s="86">
        <f t="shared" si="1221"/>
        <v>182</v>
      </c>
      <c r="L1147" s="86">
        <f t="shared" si="1221"/>
        <v>183</v>
      </c>
      <c r="M1147" s="86">
        <f t="shared" si="1221"/>
        <v>184</v>
      </c>
    </row>
    <row r="1148" ht="15.75" customHeight="1">
      <c r="A1148" s="137"/>
      <c r="B1148" s="137"/>
      <c r="C1148" s="138"/>
      <c r="D1148" s="139">
        <f>H1121+1</f>
        <v>185</v>
      </c>
      <c r="E1148" s="139">
        <f t="shared" ref="E1148:H1148" si="1222">D1148+1</f>
        <v>186</v>
      </c>
      <c r="F1148" s="139">
        <f t="shared" si="1222"/>
        <v>187</v>
      </c>
      <c r="G1148" s="139">
        <f t="shared" si="1222"/>
        <v>188</v>
      </c>
      <c r="H1148" s="139">
        <f t="shared" si="1222"/>
        <v>189</v>
      </c>
      <c r="I1148" s="55">
        <f t="shared" ref="I1148:M1148" si="1223">D1148</f>
        <v>185</v>
      </c>
      <c r="J1148" s="55">
        <f t="shared" si="1223"/>
        <v>186</v>
      </c>
      <c r="K1148" s="55">
        <f t="shared" si="1223"/>
        <v>187</v>
      </c>
      <c r="L1148" s="55">
        <f t="shared" si="1223"/>
        <v>188</v>
      </c>
      <c r="M1148" s="55">
        <f t="shared" si="1223"/>
        <v>189</v>
      </c>
    </row>
    <row r="1149" ht="15.75" customHeight="1">
      <c r="A1149" s="69">
        <f>B1149+1</f>
        <v>431</v>
      </c>
      <c r="B1149" s="69">
        <f t="shared" ref="B1149:B1156" si="1225">$C$1149*10</f>
        <v>430</v>
      </c>
      <c r="C1149" s="71">
        <v>43.0</v>
      </c>
      <c r="D1149" s="72">
        <f>D1122+7</f>
        <v>46559</v>
      </c>
      <c r="E1149" s="72">
        <f t="shared" ref="E1149:H1149" si="1224">D1149+1</f>
        <v>46560</v>
      </c>
      <c r="F1149" s="72">
        <f t="shared" si="1224"/>
        <v>46561</v>
      </c>
      <c r="G1149" s="72">
        <f t="shared" si="1224"/>
        <v>46562</v>
      </c>
      <c r="H1149" s="72">
        <f t="shared" si="1224"/>
        <v>46563</v>
      </c>
      <c r="I1149" s="62" t="s">
        <v>42</v>
      </c>
    </row>
    <row r="1150" ht="15.75" customHeight="1">
      <c r="A1150" s="75">
        <f>B1150+2</f>
        <v>432</v>
      </c>
      <c r="B1150" s="75">
        <f t="shared" si="1225"/>
        <v>430</v>
      </c>
      <c r="C1150" s="76"/>
      <c r="D1150" s="131" t="str">
        <f>if(isblank(I1150),"",vlookup(I1150,Pacing!$A$1:$Z$213,2))</f>
        <v/>
      </c>
      <c r="E1150" s="131" t="str">
        <f>if(isblank(J1150),"",vlookup(J1150,Pacing!$A$1:$Z$213,2))</f>
        <v/>
      </c>
      <c r="F1150" s="131" t="str">
        <f>if(isblank(K1150),"",vlookup(K1150,Pacing!$A$1:$Z$213,2))</f>
        <v/>
      </c>
      <c r="G1150" s="131" t="str">
        <f>if(isblank(L1150),"",vlookup(L1150,Pacing!$A$1:$Z$213,2))</f>
        <v/>
      </c>
      <c r="H1150" s="131" t="str">
        <f>if(isblank(M1150),"",vlookup(M1150,Pacing!$A$1:$Z$213,2))</f>
        <v/>
      </c>
      <c r="I1150" s="78">
        <f t="shared" ref="I1150:M1150" si="1226">I1148</f>
        <v>185</v>
      </c>
      <c r="J1150" s="78">
        <f t="shared" si="1226"/>
        <v>186</v>
      </c>
      <c r="K1150" s="78">
        <f t="shared" si="1226"/>
        <v>187</v>
      </c>
      <c r="L1150" s="78">
        <f t="shared" si="1226"/>
        <v>188</v>
      </c>
      <c r="M1150" s="78">
        <f t="shared" si="1226"/>
        <v>189</v>
      </c>
    </row>
    <row r="1151" ht="15.75" customHeight="1">
      <c r="A1151" s="69">
        <f>B1151+3</f>
        <v>433</v>
      </c>
      <c r="B1151" s="69">
        <f t="shared" si="1225"/>
        <v>430</v>
      </c>
      <c r="C1151" s="76"/>
      <c r="D1151" s="91" t="str">
        <f>if(isblank(I1151),"",vlookup(I1151,Pacing!$A$1:$Z$213,3))</f>
        <v/>
      </c>
      <c r="E1151" s="89" t="str">
        <f>if(isblank(J1151),"",vlookup(J1151,Pacing!$A$1:$Z$213,3))</f>
        <v/>
      </c>
      <c r="F1151" s="89" t="str">
        <f>if(isblank(K1151),"",vlookup(K1151,Pacing!$A$1:$Z$213,3))</f>
        <v/>
      </c>
      <c r="G1151" s="89" t="str">
        <f>if(isblank(L1151),"",vlookup(L1151,Pacing!$A$1:$Z$213,3))</f>
        <v/>
      </c>
      <c r="H1151" s="89" t="str">
        <f>if(isblank(M1151),"",vlookup(M1151,Pacing!$A$1:$Z$213,3))</f>
        <v/>
      </c>
      <c r="I1151" s="86">
        <f t="shared" ref="I1151:M1151" si="1227">I1150</f>
        <v>185</v>
      </c>
      <c r="J1151" s="86">
        <f t="shared" si="1227"/>
        <v>186</v>
      </c>
      <c r="K1151" s="86">
        <f t="shared" si="1227"/>
        <v>187</v>
      </c>
      <c r="L1151" s="86">
        <f t="shared" si="1227"/>
        <v>188</v>
      </c>
      <c r="M1151" s="86">
        <f t="shared" si="1227"/>
        <v>189</v>
      </c>
    </row>
    <row r="1152" ht="15.75" customHeight="1">
      <c r="A1152" s="69">
        <f>B1152+4</f>
        <v>434</v>
      </c>
      <c r="B1152" s="69">
        <f t="shared" si="1225"/>
        <v>430</v>
      </c>
      <c r="C1152" s="76"/>
      <c r="D1152" s="91" t="str">
        <f>if(isblank(I1152),"",vlookup(I1152,Pacing!$A$1:$Z$213,4))</f>
        <v/>
      </c>
      <c r="E1152" s="89" t="str">
        <f>if(isblank(J1152),"",vlookup(J1152,Pacing!$A$1:$Z$213,4))</f>
        <v/>
      </c>
      <c r="F1152" s="89" t="str">
        <f>if(isblank(K1152),"",vlookup(K1152,Pacing!$A$1:$Z$213,4))</f>
        <v/>
      </c>
      <c r="G1152" s="89" t="str">
        <f>if(isblank(L1152),"",vlookup(L1152,Pacing!$A$1:$Z$213,4))</f>
        <v/>
      </c>
      <c r="H1152" s="89" t="str">
        <f>if(isblank(M1152),"",vlookup(M1152,Pacing!$A$1:$Z$213,4))</f>
        <v/>
      </c>
      <c r="I1152" s="86">
        <f t="shared" ref="I1152:M1152" si="1228">I1151</f>
        <v>185</v>
      </c>
      <c r="J1152" s="86">
        <f t="shared" si="1228"/>
        <v>186</v>
      </c>
      <c r="K1152" s="86">
        <f t="shared" si="1228"/>
        <v>187</v>
      </c>
      <c r="L1152" s="86">
        <f t="shared" si="1228"/>
        <v>188</v>
      </c>
      <c r="M1152" s="86">
        <f t="shared" si="1228"/>
        <v>189</v>
      </c>
    </row>
    <row r="1153" ht="15.75" customHeight="1">
      <c r="A1153" s="69">
        <f>B1153+5</f>
        <v>435</v>
      </c>
      <c r="B1153" s="69">
        <f t="shared" si="1225"/>
        <v>430</v>
      </c>
      <c r="C1153" s="76"/>
      <c r="D1153" s="91" t="str">
        <f>if(isblank(I1153),"",vlookup(I1153,Pacing!$A$1:$Z$213,5))</f>
        <v/>
      </c>
      <c r="E1153" s="89" t="str">
        <f>if(isblank(J1153),"",vlookup(J1153,Pacing!$A$1:$Z$213,5))</f>
        <v/>
      </c>
      <c r="F1153" s="89" t="str">
        <f>if(isblank(K1153),"",vlookup(K1153,Pacing!$A$1:$Z$213,5))</f>
        <v/>
      </c>
      <c r="G1153" s="89" t="str">
        <f>if(isblank(L1153),"",vlookup(L1153,Pacing!$A$1:$Z$213,5))</f>
        <v/>
      </c>
      <c r="H1153" s="89" t="str">
        <f>if(isblank(M1153),"",vlookup(M1153,Pacing!$A$1:$Z$213,5))</f>
        <v/>
      </c>
      <c r="I1153" s="86">
        <f t="shared" ref="I1153:M1153" si="1229">I1152</f>
        <v>185</v>
      </c>
      <c r="J1153" s="86">
        <f t="shared" si="1229"/>
        <v>186</v>
      </c>
      <c r="K1153" s="86">
        <f t="shared" si="1229"/>
        <v>187</v>
      </c>
      <c r="L1153" s="86">
        <f t="shared" si="1229"/>
        <v>188</v>
      </c>
      <c r="M1153" s="86">
        <f t="shared" si="1229"/>
        <v>189</v>
      </c>
    </row>
    <row r="1154" ht="15.75" customHeight="1">
      <c r="A1154" s="69">
        <f>B1154+6</f>
        <v>436</v>
      </c>
      <c r="B1154" s="69">
        <f t="shared" si="1225"/>
        <v>430</v>
      </c>
      <c r="C1154" s="76"/>
      <c r="D1154" s="91" t="str">
        <f>if(isblank(I1154),"",vlookup(I1154,Pacing!$A$1:$Z$213,6))</f>
        <v/>
      </c>
      <c r="E1154" s="89" t="str">
        <f>if(isblank(J1154),"",vlookup(J1154,Pacing!$A$1:$Z$213,6))</f>
        <v/>
      </c>
      <c r="F1154" s="89" t="str">
        <f>if(isblank(K1154),"",vlookup(K1154,Pacing!$A$1:$Z$213,6))</f>
        <v/>
      </c>
      <c r="G1154" s="89" t="str">
        <f>if(isblank(L1154),"",vlookup(L1154,Pacing!$A$1:$Z$213,6))</f>
        <v/>
      </c>
      <c r="H1154" s="89" t="str">
        <f>if(isblank(M1154),"",vlookup(M1154,Pacing!$A$1:$Z$213,6))</f>
        <v/>
      </c>
      <c r="I1154" s="86">
        <f t="shared" ref="I1154:M1154" si="1230">I1153</f>
        <v>185</v>
      </c>
      <c r="J1154" s="86">
        <f t="shared" si="1230"/>
        <v>186</v>
      </c>
      <c r="K1154" s="86">
        <f t="shared" si="1230"/>
        <v>187</v>
      </c>
      <c r="L1154" s="86">
        <f t="shared" si="1230"/>
        <v>188</v>
      </c>
      <c r="M1154" s="86">
        <f t="shared" si="1230"/>
        <v>189</v>
      </c>
    </row>
    <row r="1155" ht="15.75" customHeight="1">
      <c r="A1155" s="69">
        <f>B1155+7</f>
        <v>437</v>
      </c>
      <c r="B1155" s="69">
        <f t="shared" si="1225"/>
        <v>430</v>
      </c>
      <c r="C1155" s="76"/>
      <c r="D1155" s="91" t="str">
        <f>if(isblank(I1155),"",vlookup(I1155,Pacing!$A$1:$Z$213,7))</f>
        <v/>
      </c>
      <c r="E1155" s="89" t="str">
        <f>if(isblank(J1155),"",vlookup(J1155,Pacing!$A$1:$Z$213,7))</f>
        <v/>
      </c>
      <c r="F1155" s="89" t="str">
        <f>if(isblank(K1155),"",vlookup(K1155,Pacing!$A$1:$Z$213,7))</f>
        <v/>
      </c>
      <c r="G1155" s="89" t="str">
        <f>if(isblank(L1155),"",vlookup(L1155,Pacing!$A$1:$Z$213,7))</f>
        <v/>
      </c>
      <c r="H1155" s="89" t="str">
        <f>if(isblank(M1155),"",vlookup(M1155,Pacing!$A$1:$Z$213,7))</f>
        <v/>
      </c>
      <c r="I1155" s="86">
        <f t="shared" ref="I1155:M1155" si="1231">I1154</f>
        <v>185</v>
      </c>
      <c r="J1155" s="86">
        <f t="shared" si="1231"/>
        <v>186</v>
      </c>
      <c r="K1155" s="86">
        <f t="shared" si="1231"/>
        <v>187</v>
      </c>
      <c r="L1155" s="86">
        <f t="shared" si="1231"/>
        <v>188</v>
      </c>
      <c r="M1155" s="86">
        <f t="shared" si="1231"/>
        <v>189</v>
      </c>
    </row>
    <row r="1156" ht="15.75" customHeight="1">
      <c r="A1156" s="69">
        <f>B1156+8</f>
        <v>438</v>
      </c>
      <c r="B1156" s="69">
        <f t="shared" si="1225"/>
        <v>430</v>
      </c>
      <c r="C1156" s="95"/>
      <c r="D1156" s="91" t="str">
        <f>if(isblank(I1156),"",vlookup(I1156,Pacing!$A$1:$Z$213,8))</f>
        <v/>
      </c>
      <c r="E1156" s="89" t="str">
        <f>if(isblank(J1156),"",vlookup(J1156,Pacing!$A$1:$Z$213,8))</f>
        <v/>
      </c>
      <c r="F1156" s="89" t="str">
        <f>if(isblank(K1156),"",vlookup(K1156,Pacing!$A$1:$Z$213,8))</f>
        <v/>
      </c>
      <c r="G1156" s="89" t="str">
        <f>if(isblank(L1156),"",vlookup(L1156,Pacing!$A$1:$Z$213,8))</f>
        <v/>
      </c>
      <c r="H1156" s="89" t="str">
        <f>if(isblank(M1156),"",vlookup(M1156,Pacing!$A$1:$Z$213,8))</f>
        <v/>
      </c>
      <c r="I1156" s="86">
        <f t="shared" ref="I1156:M1156" si="1232">I1155</f>
        <v>185</v>
      </c>
      <c r="J1156" s="86">
        <f t="shared" si="1232"/>
        <v>186</v>
      </c>
      <c r="K1156" s="86">
        <f t="shared" si="1232"/>
        <v>187</v>
      </c>
      <c r="L1156" s="86">
        <f t="shared" si="1232"/>
        <v>188</v>
      </c>
      <c r="M1156" s="86">
        <f t="shared" si="1232"/>
        <v>189</v>
      </c>
    </row>
    <row r="1157" ht="15.75" customHeight="1">
      <c r="A1157" s="69"/>
      <c r="B1157" s="69"/>
      <c r="C1157" s="71"/>
      <c r="D1157" s="91" t="str">
        <f>if(isblank(I1157),"",vlookup(I1157,Pacing!$A$1:$Z$213,9))</f>
        <v/>
      </c>
      <c r="E1157" s="89" t="str">
        <f>if(isblank(J1157),"",vlookup(J1157,Pacing!$A$1:$Z$213,9))</f>
        <v/>
      </c>
      <c r="F1157" s="89" t="str">
        <f>if(isblank(K1157),"",vlookup(K1157,Pacing!$A$1:$Z$213,9))</f>
        <v/>
      </c>
      <c r="G1157" s="89" t="str">
        <f>if(isblank(L1157),"",vlookup(L1157,Pacing!$A$1:$Z$213,9))</f>
        <v/>
      </c>
      <c r="H1157" s="89" t="str">
        <f>if(isblank(M1157),"",vlookup(M1157,Pacing!$A$1:$Z$213,9))</f>
        <v/>
      </c>
      <c r="I1157" s="86">
        <f t="shared" ref="I1157:M1157" si="1233">I1156</f>
        <v>185</v>
      </c>
      <c r="J1157" s="86">
        <f t="shared" si="1233"/>
        <v>186</v>
      </c>
      <c r="K1157" s="86">
        <f t="shared" si="1233"/>
        <v>187</v>
      </c>
      <c r="L1157" s="86">
        <f t="shared" si="1233"/>
        <v>188</v>
      </c>
      <c r="M1157" s="86">
        <f t="shared" si="1233"/>
        <v>189</v>
      </c>
    </row>
    <row r="1158" ht="15.75" customHeight="1">
      <c r="A1158" s="69"/>
      <c r="B1158" s="69"/>
      <c r="C1158" s="71"/>
      <c r="D1158" s="91" t="str">
        <f>if(isblank(I1158),"",vlookup(I1158,Pacing!$A$1:$Z$213,10))</f>
        <v/>
      </c>
      <c r="E1158" s="89" t="str">
        <f>if(isblank(J1158),"",vlookup(J1158,Pacing!$A$1:$Z$213,10))</f>
        <v/>
      </c>
      <c r="F1158" s="89" t="str">
        <f>if(isblank(K1158),"",vlookup(K1158,Pacing!$A$1:$Z$213,10))</f>
        <v/>
      </c>
      <c r="G1158" s="89" t="str">
        <f>if(isblank(L1158),"",vlookup(L1158,Pacing!$A$1:$Z$213,10))</f>
        <v/>
      </c>
      <c r="H1158" s="89" t="str">
        <f>if(isblank(M1158),"",vlookup(M1158,Pacing!$A$1:$Z$213,10))</f>
        <v/>
      </c>
      <c r="I1158" s="86">
        <f t="shared" ref="I1158:M1158" si="1234">I1157</f>
        <v>185</v>
      </c>
      <c r="J1158" s="86">
        <f t="shared" si="1234"/>
        <v>186</v>
      </c>
      <c r="K1158" s="86">
        <f t="shared" si="1234"/>
        <v>187</v>
      </c>
      <c r="L1158" s="86">
        <f t="shared" si="1234"/>
        <v>188</v>
      </c>
      <c r="M1158" s="86">
        <f t="shared" si="1234"/>
        <v>189</v>
      </c>
    </row>
    <row r="1159" ht="15.75" customHeight="1">
      <c r="A1159" s="69"/>
      <c r="B1159" s="69"/>
      <c r="C1159" s="71"/>
      <c r="D1159" s="91" t="str">
        <f>if(isblank(I1159),"",vlookup(I1159,Pacing!$A$1:$Z$213,11))</f>
        <v/>
      </c>
      <c r="E1159" s="89" t="str">
        <f>if(isblank(J1159),"",vlookup(J1159,Pacing!$A$1:$Z$213,11))</f>
        <v/>
      </c>
      <c r="F1159" s="89" t="str">
        <f>if(isblank(K1159),"",vlookup(K1159,Pacing!$A$1:$Z$213,11))</f>
        <v/>
      </c>
      <c r="G1159" s="89" t="str">
        <f>if(isblank(L1159),"",vlookup(L1159,Pacing!$A$1:$Z$213,11))</f>
        <v/>
      </c>
      <c r="H1159" s="89" t="str">
        <f>if(isblank(M1159),"",vlookup(M1159,Pacing!$A$1:$Z$213,11))</f>
        <v/>
      </c>
      <c r="I1159" s="86">
        <f t="shared" ref="I1159:M1159" si="1235">I1158</f>
        <v>185</v>
      </c>
      <c r="J1159" s="86">
        <f t="shared" si="1235"/>
        <v>186</v>
      </c>
      <c r="K1159" s="86">
        <f t="shared" si="1235"/>
        <v>187</v>
      </c>
      <c r="L1159" s="86">
        <f t="shared" si="1235"/>
        <v>188</v>
      </c>
      <c r="M1159" s="86">
        <f t="shared" si="1235"/>
        <v>189</v>
      </c>
    </row>
    <row r="1160" ht="15.75" customHeight="1">
      <c r="A1160" s="69"/>
      <c r="B1160" s="69"/>
      <c r="C1160" s="71"/>
      <c r="D1160" s="91" t="str">
        <f>if(isblank(I1160),"",vlookup(I1160,Pacing!$A$1:$Z$213,12))</f>
        <v/>
      </c>
      <c r="E1160" s="91" t="str">
        <f>if(isblank(J1160),"",vlookup(J1160,Pacing!$A$1:$Z$213,12))</f>
        <v/>
      </c>
      <c r="F1160" s="91" t="str">
        <f>if(isblank(K1160),"",vlookup(K1160,Pacing!$A$1:$Z$213,12))</f>
        <v/>
      </c>
      <c r="G1160" s="91" t="str">
        <f>if(isblank(L1160),"",vlookup(L1160,Pacing!$A$1:$Z$213,12))</f>
        <v/>
      </c>
      <c r="H1160" s="91" t="str">
        <f>if(isblank(M1160),"",vlookup(M1160,Pacing!$A$1:$Z$213,12))</f>
        <v/>
      </c>
      <c r="I1160" s="86">
        <f t="shared" ref="I1160:M1160" si="1236">I1159</f>
        <v>185</v>
      </c>
      <c r="J1160" s="86">
        <f t="shared" si="1236"/>
        <v>186</v>
      </c>
      <c r="K1160" s="86">
        <f t="shared" si="1236"/>
        <v>187</v>
      </c>
      <c r="L1160" s="86">
        <f t="shared" si="1236"/>
        <v>188</v>
      </c>
      <c r="M1160" s="86">
        <f t="shared" si="1236"/>
        <v>189</v>
      </c>
    </row>
    <row r="1161" ht="15.75" customHeight="1">
      <c r="A1161" s="69"/>
      <c r="B1161" s="69"/>
      <c r="C1161" s="71"/>
      <c r="D1161" s="91" t="str">
        <f>if(isblank(I1161),"",vlookup(I1161,Pacing!$A$1:$Z$213,13))</f>
        <v/>
      </c>
      <c r="E1161" s="91" t="str">
        <f>if(isblank(J1161),"",vlookup(J1161,Pacing!$A$1:$Z$213,13))</f>
        <v/>
      </c>
      <c r="F1161" s="91" t="str">
        <f>if(isblank(K1161),"",vlookup(K1161,Pacing!$A$1:$Z$213,13))</f>
        <v/>
      </c>
      <c r="G1161" s="91" t="str">
        <f>if(isblank(L1161),"",vlookup(L1161,Pacing!$A$1:$Z$213,13))</f>
        <v/>
      </c>
      <c r="H1161" s="91" t="str">
        <f>if(isblank(M1161),"",vlookup(M1161,Pacing!$A$1:$Z$213,13))</f>
        <v/>
      </c>
      <c r="I1161" s="86">
        <f t="shared" ref="I1161:M1161" si="1237">I1160</f>
        <v>185</v>
      </c>
      <c r="J1161" s="86">
        <f t="shared" si="1237"/>
        <v>186</v>
      </c>
      <c r="K1161" s="86">
        <f t="shared" si="1237"/>
        <v>187</v>
      </c>
      <c r="L1161" s="86">
        <f t="shared" si="1237"/>
        <v>188</v>
      </c>
      <c r="M1161" s="86">
        <f t="shared" si="1237"/>
        <v>189</v>
      </c>
    </row>
    <row r="1162" ht="15.75" customHeight="1">
      <c r="A1162" s="69"/>
      <c r="B1162" s="69"/>
      <c r="C1162" s="71"/>
      <c r="D1162" s="91" t="str">
        <f>if(isblank(I1162),"",vlookup(I1162,Pacing!$A$1:$Z$213,14))</f>
        <v/>
      </c>
      <c r="E1162" s="89" t="str">
        <f>if(isblank(J1162),"",vlookup(J1162,Pacing!$A$1:$Z$213,14))</f>
        <v/>
      </c>
      <c r="F1162" s="89" t="str">
        <f>if(isblank(K1162),"",vlookup(K1162,Pacing!$A$1:$Z$213,14))</f>
        <v/>
      </c>
      <c r="G1162" s="89" t="str">
        <f>if(isblank(L1162),"",vlookup(L1162,Pacing!$A$1:$Z$213,14))</f>
        <v/>
      </c>
      <c r="H1162" s="89" t="str">
        <f>if(isblank(M1162),"",vlookup(M1162,Pacing!$A$1:$Z$213,14))</f>
        <v/>
      </c>
      <c r="I1162" s="86">
        <f t="shared" ref="I1162:M1162" si="1238">I1161</f>
        <v>185</v>
      </c>
      <c r="J1162" s="86">
        <f t="shared" si="1238"/>
        <v>186</v>
      </c>
      <c r="K1162" s="86">
        <f t="shared" si="1238"/>
        <v>187</v>
      </c>
      <c r="L1162" s="86">
        <f t="shared" si="1238"/>
        <v>188</v>
      </c>
      <c r="M1162" s="86">
        <f t="shared" si="1238"/>
        <v>189</v>
      </c>
    </row>
    <row r="1163" ht="15.75" customHeight="1">
      <c r="A1163" s="69"/>
      <c r="B1163" s="69"/>
      <c r="C1163" s="71"/>
      <c r="D1163" s="91" t="str">
        <f>if(isblank(I1163),"",vlookup(I1163,Pacing!$A$1:$Z$213,15))</f>
        <v/>
      </c>
      <c r="E1163" s="89" t="str">
        <f>if(isblank(J1163),"",vlookup(J1163,Pacing!$A$1:$Z$213,15))</f>
        <v/>
      </c>
      <c r="F1163" s="89" t="str">
        <f>if(isblank(K1163),"",vlookup(K1163,Pacing!$A$1:$Z$213,15))</f>
        <v/>
      </c>
      <c r="G1163" s="89" t="str">
        <f>if(isblank(L1163),"",vlookup(L1163,Pacing!$A$1:$Z$213,15))</f>
        <v/>
      </c>
      <c r="H1163" s="89" t="str">
        <f>if(isblank(M1163),"",vlookup(M1163,Pacing!$A$1:$Z$213,15))</f>
        <v/>
      </c>
      <c r="I1163" s="86">
        <f t="shared" ref="I1163:M1163" si="1239">I1162</f>
        <v>185</v>
      </c>
      <c r="J1163" s="86">
        <f t="shared" si="1239"/>
        <v>186</v>
      </c>
      <c r="K1163" s="86">
        <f t="shared" si="1239"/>
        <v>187</v>
      </c>
      <c r="L1163" s="86">
        <f t="shared" si="1239"/>
        <v>188</v>
      </c>
      <c r="M1163" s="86">
        <f t="shared" si="1239"/>
        <v>189</v>
      </c>
    </row>
    <row r="1164" ht="15.75" customHeight="1">
      <c r="A1164" s="69"/>
      <c r="B1164" s="69"/>
      <c r="C1164" s="71"/>
      <c r="D1164" s="91" t="str">
        <f>if(isblank(I1164),"",vlookup(I1164,Pacing!$A$1:$Z$213,16))</f>
        <v/>
      </c>
      <c r="E1164" s="89" t="str">
        <f>if(isblank(J1164),"",vlookup(J1164,Pacing!$A$1:$Z$213,16))</f>
        <v/>
      </c>
      <c r="F1164" s="89" t="str">
        <f>if(isblank(K1164),"",vlookup(K1164,Pacing!$A$1:$Z$213,16))</f>
        <v/>
      </c>
      <c r="G1164" s="89" t="str">
        <f>if(isblank(L1164),"",vlookup(L1164,Pacing!$A$1:$Z$213,16))</f>
        <v/>
      </c>
      <c r="H1164" s="89" t="str">
        <f>if(isblank(M1164),"",vlookup(M1164,Pacing!$A$1:$Z$213,16))</f>
        <v/>
      </c>
      <c r="I1164" s="86">
        <f t="shared" ref="I1164:M1164" si="1240">I1163</f>
        <v>185</v>
      </c>
      <c r="J1164" s="86">
        <f t="shared" si="1240"/>
        <v>186</v>
      </c>
      <c r="K1164" s="86">
        <f t="shared" si="1240"/>
        <v>187</v>
      </c>
      <c r="L1164" s="86">
        <f t="shared" si="1240"/>
        <v>188</v>
      </c>
      <c r="M1164" s="86">
        <f t="shared" si="1240"/>
        <v>189</v>
      </c>
    </row>
    <row r="1165" ht="15.75" customHeight="1">
      <c r="A1165" s="69"/>
      <c r="B1165" s="69"/>
      <c r="C1165" s="71"/>
      <c r="D1165" s="91" t="str">
        <f>if(isblank(I1165),"",vlookup(I1165,Pacing!$A$1:$Z$213,17))</f>
        <v/>
      </c>
      <c r="E1165" s="89" t="str">
        <f>if(isblank(J1165),"",vlookup(J1165,Pacing!$A$1:$Z$213,17))</f>
        <v/>
      </c>
      <c r="F1165" s="89" t="str">
        <f>if(isblank(K1165),"",vlookup(K1165,Pacing!$A$1:$Z$213,17))</f>
        <v/>
      </c>
      <c r="G1165" s="89" t="str">
        <f>if(isblank(L1165),"",vlookup(L1165,Pacing!$A$1:$Z$213,17))</f>
        <v/>
      </c>
      <c r="H1165" s="89" t="str">
        <f>if(isblank(M1165),"",vlookup(M1165,Pacing!$A$1:$Z$213,17))</f>
        <v/>
      </c>
      <c r="I1165" s="86">
        <f t="shared" ref="I1165:M1165" si="1241">I1164</f>
        <v>185</v>
      </c>
      <c r="J1165" s="86">
        <f t="shared" si="1241"/>
        <v>186</v>
      </c>
      <c r="K1165" s="86">
        <f t="shared" si="1241"/>
        <v>187</v>
      </c>
      <c r="L1165" s="86">
        <f t="shared" si="1241"/>
        <v>188</v>
      </c>
      <c r="M1165" s="86">
        <f t="shared" si="1241"/>
        <v>189</v>
      </c>
    </row>
    <row r="1166" ht="15.75" customHeight="1">
      <c r="A1166" s="69"/>
      <c r="B1166" s="69"/>
      <c r="C1166" s="71"/>
      <c r="D1166" s="91" t="str">
        <f>if(isblank(I1166),"",vlookup(I1166,Pacing!$A$1:$Z$213,18))</f>
        <v/>
      </c>
      <c r="E1166" s="91" t="str">
        <f>if(isblank(J1166),"",vlookup(J1166,Pacing!$A$1:$Z$213,18))</f>
        <v/>
      </c>
      <c r="F1166" s="91" t="str">
        <f>if(isblank(K1166),"",vlookup(K1166,Pacing!$A$1:$Z$213,18))</f>
        <v/>
      </c>
      <c r="G1166" s="91" t="str">
        <f>if(isblank(L1166),"",vlookup(L1166,Pacing!$A$1:$Z$213,18))</f>
        <v/>
      </c>
      <c r="H1166" s="91" t="str">
        <f>if(isblank(M1166),"",vlookup(M1166,Pacing!$A$1:$Z$213,18))</f>
        <v/>
      </c>
      <c r="I1166" s="86">
        <f t="shared" ref="I1166:M1166" si="1242">I1165</f>
        <v>185</v>
      </c>
      <c r="J1166" s="86">
        <f t="shared" si="1242"/>
        <v>186</v>
      </c>
      <c r="K1166" s="86">
        <f t="shared" si="1242"/>
        <v>187</v>
      </c>
      <c r="L1166" s="86">
        <f t="shared" si="1242"/>
        <v>188</v>
      </c>
      <c r="M1166" s="86">
        <f t="shared" si="1242"/>
        <v>189</v>
      </c>
    </row>
    <row r="1167" ht="15.75" customHeight="1">
      <c r="A1167" s="69"/>
      <c r="B1167" s="69"/>
      <c r="C1167" s="71"/>
      <c r="D1167" s="91" t="str">
        <f>if(isblank(I1167),"",vlookup(I1167,Pacing!$A$1:$Z$213,19))</f>
        <v/>
      </c>
      <c r="E1167" s="89" t="str">
        <f>if(isblank(J1167),"",vlookup(J1167,Pacing!$A$1:$Z$213,19))</f>
        <v/>
      </c>
      <c r="F1167" s="89" t="str">
        <f>if(isblank(K1167),"",vlookup(K1167,Pacing!$A$1:$Z$213,19))</f>
        <v/>
      </c>
      <c r="G1167" s="89" t="str">
        <f>if(isblank(L1167),"",vlookup(L1167,Pacing!$A$1:$Z$213,19))</f>
        <v/>
      </c>
      <c r="H1167" s="89" t="str">
        <f>if(isblank(M1167),"",vlookup(M1167,Pacing!$A$1:$Z$213,19))</f>
        <v/>
      </c>
      <c r="I1167" s="86">
        <f t="shared" ref="I1167:M1167" si="1243">I1166</f>
        <v>185</v>
      </c>
      <c r="J1167" s="86">
        <f t="shared" si="1243"/>
        <v>186</v>
      </c>
      <c r="K1167" s="86">
        <f t="shared" si="1243"/>
        <v>187</v>
      </c>
      <c r="L1167" s="86">
        <f t="shared" si="1243"/>
        <v>188</v>
      </c>
      <c r="M1167" s="86">
        <f t="shared" si="1243"/>
        <v>189</v>
      </c>
    </row>
    <row r="1168" ht="15.75" customHeight="1">
      <c r="A1168" s="69"/>
      <c r="B1168" s="69"/>
      <c r="C1168" s="71"/>
      <c r="D1168" s="91" t="str">
        <f>if(isblank(I1168),"",vlookup(I1168,Pacing!$A$1:$Z$213,20))</f>
        <v/>
      </c>
      <c r="E1168" s="89" t="str">
        <f>if(isblank(J1168),"",vlookup(J1168,Pacing!$A$1:$Z$213,20))</f>
        <v/>
      </c>
      <c r="F1168" s="89" t="str">
        <f>if(isblank(K1168),"",vlookup(K1168,Pacing!$A$1:$Z$213,20))</f>
        <v/>
      </c>
      <c r="G1168" s="89" t="str">
        <f>if(isblank(L1168),"",vlookup(L1168,Pacing!$A$1:$Z$213,20))</f>
        <v/>
      </c>
      <c r="H1168" s="89" t="str">
        <f>if(isblank(M1168),"",vlookup(M1168,Pacing!$A$1:$Z$213,20))</f>
        <v/>
      </c>
      <c r="I1168" s="86">
        <f t="shared" ref="I1168:M1168" si="1244">I1167</f>
        <v>185</v>
      </c>
      <c r="J1168" s="86">
        <f t="shared" si="1244"/>
        <v>186</v>
      </c>
      <c r="K1168" s="86">
        <f t="shared" si="1244"/>
        <v>187</v>
      </c>
      <c r="L1168" s="86">
        <f t="shared" si="1244"/>
        <v>188</v>
      </c>
      <c r="M1168" s="86">
        <f t="shared" si="1244"/>
        <v>189</v>
      </c>
    </row>
    <row r="1169" ht="15.75" customHeight="1">
      <c r="A1169" s="69"/>
      <c r="B1169" s="69"/>
      <c r="C1169" s="71"/>
      <c r="D1169" s="91" t="str">
        <f>if(isblank(I1169),"",vlookup(I1169,Pacing!$A$1:$Z$213,21))</f>
        <v/>
      </c>
      <c r="E1169" s="89" t="str">
        <f>if(isblank(J1169),"",vlookup(J1169,Pacing!$A$1:$Z$213,21))</f>
        <v/>
      </c>
      <c r="F1169" s="89" t="str">
        <f>if(isblank(K1169),"",vlookup(K1169,Pacing!$A$1:$Z$213,21))</f>
        <v/>
      </c>
      <c r="G1169" s="89" t="str">
        <f>if(isblank(L1169),"",vlookup(L1169,Pacing!$A$1:$Z$213,21))</f>
        <v/>
      </c>
      <c r="H1169" s="89" t="str">
        <f>if(isblank(M1169),"",vlookup(M1169,Pacing!$A$1:$Z$213,21))</f>
        <v/>
      </c>
      <c r="I1169" s="86">
        <f t="shared" ref="I1169:M1169" si="1245">I1168</f>
        <v>185</v>
      </c>
      <c r="J1169" s="86">
        <f t="shared" si="1245"/>
        <v>186</v>
      </c>
      <c r="K1169" s="86">
        <f t="shared" si="1245"/>
        <v>187</v>
      </c>
      <c r="L1169" s="86">
        <f t="shared" si="1245"/>
        <v>188</v>
      </c>
      <c r="M1169" s="86">
        <f t="shared" si="1245"/>
        <v>189</v>
      </c>
    </row>
    <row r="1170" ht="15.75" customHeight="1">
      <c r="A1170" s="69"/>
      <c r="B1170" s="69"/>
      <c r="C1170" s="71"/>
      <c r="D1170" s="91" t="str">
        <f>if(isblank(I1170),"",vlookup(I1170,Pacing!$A$1:$Z$213,22))</f>
        <v/>
      </c>
      <c r="E1170" s="91" t="str">
        <f>if(isblank(J1170),"",vlookup(J1170,Pacing!$A$1:$Z$213,22))</f>
        <v/>
      </c>
      <c r="F1170" s="91" t="str">
        <f>if(isblank(K1170),"",vlookup(K1170,Pacing!$A$1:$Z$213,22))</f>
        <v/>
      </c>
      <c r="G1170" s="91" t="str">
        <f>if(isblank(L1170),"",vlookup(L1170,Pacing!$A$1:$Z$213,22))</f>
        <v/>
      </c>
      <c r="H1170" s="91" t="str">
        <f>if(isblank(M1170),"",vlookup(M1170,Pacing!$A$1:$Z$213,22))</f>
        <v/>
      </c>
      <c r="I1170" s="86">
        <f t="shared" ref="I1170:M1170" si="1246">I1169</f>
        <v>185</v>
      </c>
      <c r="J1170" s="86">
        <f t="shared" si="1246"/>
        <v>186</v>
      </c>
      <c r="K1170" s="86">
        <f t="shared" si="1246"/>
        <v>187</v>
      </c>
      <c r="L1170" s="86">
        <f t="shared" si="1246"/>
        <v>188</v>
      </c>
      <c r="M1170" s="86">
        <f t="shared" si="1246"/>
        <v>189</v>
      </c>
    </row>
    <row r="1171" ht="15.75" customHeight="1">
      <c r="A1171" s="69"/>
      <c r="B1171" s="69"/>
      <c r="C1171" s="71"/>
      <c r="D1171" s="91" t="str">
        <f>if(isblank(I1171),"",vlookup(I1171,Pacing!$A$1:$Z$213,23))</f>
        <v/>
      </c>
      <c r="E1171" s="89" t="str">
        <f>if(isblank(J1171),"",vlookup(J1171,Pacing!$A$1:$Z$213,23))</f>
        <v/>
      </c>
      <c r="F1171" s="89" t="str">
        <f>if(isblank(K1171),"",vlookup(K1171,Pacing!$A$1:$Z$213,23))</f>
        <v/>
      </c>
      <c r="G1171" s="89" t="str">
        <f>if(isblank(L1171),"",vlookup(L1171,Pacing!$A$1:$Z$213,23))</f>
        <v/>
      </c>
      <c r="H1171" s="89" t="str">
        <f>if(isblank(M1171),"",vlookup(M1171,Pacing!$A$1:$Z$213,23))</f>
        <v/>
      </c>
      <c r="I1171" s="86">
        <f t="shared" ref="I1171:M1171" si="1247">I1170</f>
        <v>185</v>
      </c>
      <c r="J1171" s="86">
        <f t="shared" si="1247"/>
        <v>186</v>
      </c>
      <c r="K1171" s="86">
        <f t="shared" si="1247"/>
        <v>187</v>
      </c>
      <c r="L1171" s="86">
        <f t="shared" si="1247"/>
        <v>188</v>
      </c>
      <c r="M1171" s="86">
        <f t="shared" si="1247"/>
        <v>189</v>
      </c>
    </row>
    <row r="1172" ht="15.75" customHeight="1">
      <c r="A1172" s="69"/>
      <c r="B1172" s="69"/>
      <c r="C1172" s="71"/>
      <c r="D1172" s="91" t="str">
        <f>if(isblank(I1172),"",vlookup(I1172,Pacing!$A$1:$Z$213,24))</f>
        <v/>
      </c>
      <c r="E1172" s="89" t="str">
        <f>if(isblank(J1172),"",vlookup(J1172,Pacing!$A$1:$Z$213,24))</f>
        <v/>
      </c>
      <c r="F1172" s="89" t="str">
        <f>if(isblank(K1172),"",vlookup(K1172,Pacing!$A$1:$Z$213,24))</f>
        <v/>
      </c>
      <c r="G1172" s="89" t="str">
        <f>if(isblank(L1172),"",vlookup(L1172,Pacing!$A$1:$Z$213,24))</f>
        <v/>
      </c>
      <c r="H1172" s="89" t="str">
        <f>if(isblank(M1172),"",vlookup(M1172,Pacing!$A$1:$Z$213,24))</f>
        <v/>
      </c>
      <c r="I1172" s="86">
        <f t="shared" ref="I1172:M1172" si="1248">I1171</f>
        <v>185</v>
      </c>
      <c r="J1172" s="86">
        <f t="shared" si="1248"/>
        <v>186</v>
      </c>
      <c r="K1172" s="86">
        <f t="shared" si="1248"/>
        <v>187</v>
      </c>
      <c r="L1172" s="86">
        <f t="shared" si="1248"/>
        <v>188</v>
      </c>
      <c r="M1172" s="86">
        <f t="shared" si="1248"/>
        <v>189</v>
      </c>
    </row>
    <row r="1173" ht="15.75" customHeight="1">
      <c r="A1173" s="69"/>
      <c r="B1173" s="69"/>
      <c r="C1173" s="71"/>
      <c r="D1173" s="91" t="str">
        <f>if(isblank(I1173),"",vlookup(I1173,Pacing!$A$1:$Z$213,25))</f>
        <v/>
      </c>
      <c r="E1173" s="89" t="str">
        <f>if(isblank(J1173),"",vlookup(J1173,Pacing!$A$1:$Z$213,25))</f>
        <v/>
      </c>
      <c r="F1173" s="89" t="str">
        <f>if(isblank(K1173),"",vlookup(K1173,Pacing!$A$1:$Z$213,25))</f>
        <v/>
      </c>
      <c r="G1173" s="89" t="str">
        <f>if(isblank(L1173),"",vlookup(L1173,Pacing!$A$1:$Z$213,25))</f>
        <v/>
      </c>
      <c r="H1173" s="89" t="str">
        <f>if(isblank(M1173),"",vlookup(M1173,Pacing!$A$1:$Z$213,25))</f>
        <v/>
      </c>
      <c r="I1173" s="86">
        <f t="shared" ref="I1173:M1173" si="1249">I1172</f>
        <v>185</v>
      </c>
      <c r="J1173" s="86">
        <f t="shared" si="1249"/>
        <v>186</v>
      </c>
      <c r="K1173" s="86">
        <f t="shared" si="1249"/>
        <v>187</v>
      </c>
      <c r="L1173" s="86">
        <f t="shared" si="1249"/>
        <v>188</v>
      </c>
      <c r="M1173" s="86">
        <f t="shared" si="1249"/>
        <v>189</v>
      </c>
    </row>
    <row r="1174" ht="15.75" customHeight="1">
      <c r="A1174" s="69"/>
      <c r="B1174" s="69"/>
      <c r="C1174" s="71"/>
      <c r="D1174" s="91" t="str">
        <f>if(isblank(I1174),"",vlookup(I1174,Pacing!$A$1:$Z$213,26))</f>
        <v/>
      </c>
      <c r="E1174" s="89" t="str">
        <f>if(isblank(J1174),"",vlookup(J1174,Pacing!$A$1:$Z$213,26))</f>
        <v/>
      </c>
      <c r="F1174" s="89" t="str">
        <f>if(isblank(K1174),"",vlookup(K1174,Pacing!$A$1:$Z$213,26))</f>
        <v/>
      </c>
      <c r="G1174" s="89" t="str">
        <f>if(isblank(L1174),"",vlookup(L1174,Pacing!$A$1:$Z$213,26))</f>
        <v/>
      </c>
      <c r="H1174" s="89" t="str">
        <f>if(isblank(M1174),"",vlookup(M1174,Pacing!$A$1:$Z$213,26))</f>
        <v/>
      </c>
      <c r="I1174" s="86">
        <f t="shared" ref="I1174:M1174" si="1250">I1173</f>
        <v>185</v>
      </c>
      <c r="J1174" s="86">
        <f t="shared" si="1250"/>
        <v>186</v>
      </c>
      <c r="K1174" s="86">
        <f t="shared" si="1250"/>
        <v>187</v>
      </c>
      <c r="L1174" s="86">
        <f t="shared" si="1250"/>
        <v>188</v>
      </c>
      <c r="M1174" s="86">
        <f t="shared" si="1250"/>
        <v>189</v>
      </c>
    </row>
    <row r="1175" ht="15.75" customHeight="1">
      <c r="A1175" s="137"/>
      <c r="B1175" s="137"/>
      <c r="C1175" s="138"/>
      <c r="D1175" s="139">
        <f>H1148+1</f>
        <v>190</v>
      </c>
      <c r="E1175" s="139">
        <f t="shared" ref="E1175:H1175" si="1251">D1175+1</f>
        <v>191</v>
      </c>
      <c r="F1175" s="139">
        <f t="shared" si="1251"/>
        <v>192</v>
      </c>
      <c r="G1175" s="139">
        <f t="shared" si="1251"/>
        <v>193</v>
      </c>
      <c r="H1175" s="139">
        <f t="shared" si="1251"/>
        <v>194</v>
      </c>
      <c r="I1175" s="55">
        <f t="shared" ref="I1175:M1175" si="1252">D1175</f>
        <v>190</v>
      </c>
      <c r="J1175" s="55">
        <f t="shared" si="1252"/>
        <v>191</v>
      </c>
      <c r="K1175" s="55">
        <f t="shared" si="1252"/>
        <v>192</v>
      </c>
      <c r="L1175" s="55">
        <f t="shared" si="1252"/>
        <v>193</v>
      </c>
      <c r="M1175" s="55">
        <f t="shared" si="1252"/>
        <v>194</v>
      </c>
    </row>
  </sheetData>
  <mergeCells count="91">
    <mergeCell ref="C501:C508"/>
    <mergeCell ref="C528:C535"/>
    <mergeCell ref="C555:C562"/>
    <mergeCell ref="C582:C589"/>
    <mergeCell ref="C609:C616"/>
    <mergeCell ref="C636:C643"/>
    <mergeCell ref="C663:C670"/>
    <mergeCell ref="C690:C697"/>
    <mergeCell ref="C717:C724"/>
    <mergeCell ref="C744:C751"/>
    <mergeCell ref="C771:C778"/>
    <mergeCell ref="C798:C805"/>
    <mergeCell ref="C825:C832"/>
    <mergeCell ref="C852:C859"/>
    <mergeCell ref="C1068:C1075"/>
    <mergeCell ref="C1095:C1102"/>
    <mergeCell ref="C1122:C1129"/>
    <mergeCell ref="C1149:C1156"/>
    <mergeCell ref="C879:C886"/>
    <mergeCell ref="C906:C913"/>
    <mergeCell ref="C933:C940"/>
    <mergeCell ref="C960:C967"/>
    <mergeCell ref="C987:C994"/>
    <mergeCell ref="C1014:C1021"/>
    <mergeCell ref="C1041:C1048"/>
    <mergeCell ref="I717:M717"/>
    <mergeCell ref="I744:M744"/>
    <mergeCell ref="I771:M771"/>
    <mergeCell ref="I798:M798"/>
    <mergeCell ref="I825:M825"/>
    <mergeCell ref="I852:M852"/>
    <mergeCell ref="I879:M879"/>
    <mergeCell ref="I1095:M1095"/>
    <mergeCell ref="I1122:M1122"/>
    <mergeCell ref="I1149:M1149"/>
    <mergeCell ref="I906:M906"/>
    <mergeCell ref="I933:M933"/>
    <mergeCell ref="I960:M960"/>
    <mergeCell ref="I987:M987"/>
    <mergeCell ref="I1014:M1014"/>
    <mergeCell ref="I1041:M1041"/>
    <mergeCell ref="I1068:M1068"/>
    <mergeCell ref="C2:C9"/>
    <mergeCell ref="I2:M2"/>
    <mergeCell ref="C10:H10"/>
    <mergeCell ref="D12:H12"/>
    <mergeCell ref="D13:H13"/>
    <mergeCell ref="C15:C22"/>
    <mergeCell ref="I15:M15"/>
    <mergeCell ref="C42:C49"/>
    <mergeCell ref="I42:M42"/>
    <mergeCell ref="C69:C76"/>
    <mergeCell ref="I69:M69"/>
    <mergeCell ref="C96:C103"/>
    <mergeCell ref="I96:M96"/>
    <mergeCell ref="I123:M123"/>
    <mergeCell ref="C123:C130"/>
    <mergeCell ref="C150:C157"/>
    <mergeCell ref="C177:C184"/>
    <mergeCell ref="C204:C211"/>
    <mergeCell ref="C231:C238"/>
    <mergeCell ref="C258:C265"/>
    <mergeCell ref="C285:C292"/>
    <mergeCell ref="I150:M150"/>
    <mergeCell ref="I177:M177"/>
    <mergeCell ref="I204:M204"/>
    <mergeCell ref="I231:M231"/>
    <mergeCell ref="I258:M258"/>
    <mergeCell ref="I285:M285"/>
    <mergeCell ref="I312:M312"/>
    <mergeCell ref="C312:C319"/>
    <mergeCell ref="C339:C346"/>
    <mergeCell ref="C366:C373"/>
    <mergeCell ref="C393:C400"/>
    <mergeCell ref="C420:C427"/>
    <mergeCell ref="C447:C454"/>
    <mergeCell ref="C474:C481"/>
    <mergeCell ref="I339:M339"/>
    <mergeCell ref="I366:M366"/>
    <mergeCell ref="I393:M393"/>
    <mergeCell ref="I420:M420"/>
    <mergeCell ref="I447:M447"/>
    <mergeCell ref="I474:M474"/>
    <mergeCell ref="I501:M501"/>
    <mergeCell ref="I528:M528"/>
    <mergeCell ref="I555:M555"/>
    <mergeCell ref="I582:M582"/>
    <mergeCell ref="I609:M609"/>
    <mergeCell ref="I636:M636"/>
    <mergeCell ref="I663:M663"/>
    <mergeCell ref="I690:M690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7.13"/>
    <col customWidth="1" min="2" max="2" width="19.38"/>
    <col customWidth="1" min="3" max="3" width="10.5"/>
    <col customWidth="1" min="4" max="4" width="8.75"/>
    <col customWidth="1" min="5" max="5" width="9.0"/>
    <col customWidth="1" min="6" max="6" width="11.88"/>
    <col customWidth="1" min="7" max="7" width="8.25"/>
    <col customWidth="1" min="8" max="8" width="12.5"/>
    <col customWidth="1" min="9" max="9" width="13.75"/>
    <col customWidth="1" min="10" max="10" width="6.75"/>
    <col customWidth="1" min="11" max="11" width="8.88"/>
    <col customWidth="1" min="12" max="12" width="8.13"/>
    <col customWidth="1" min="13" max="13" width="5.38"/>
    <col customWidth="1" min="14" max="14" width="13.0"/>
    <col customWidth="1" min="15" max="16" width="13.5"/>
    <col customWidth="1" min="17" max="17" width="11.38"/>
    <col customWidth="1" min="18" max="18" width="10.5"/>
    <col customWidth="1" min="19" max="19" width="13.0"/>
    <col customWidth="1" min="20" max="20" width="12.0"/>
    <col customWidth="1" min="21" max="21" width="9.88"/>
    <col customWidth="1" min="22" max="23" width="9.38"/>
    <col customWidth="1" min="24" max="24" width="10.88"/>
    <col customWidth="1" min="25" max="25" width="6.88"/>
    <col customWidth="1" min="26" max="26" width="9.38"/>
  </cols>
  <sheetData>
    <row r="1" ht="15.75" customHeight="1">
      <c r="A1" s="1">
        <v>1.0</v>
      </c>
      <c r="B1" s="3" t="s">
        <v>0</v>
      </c>
      <c r="C1" s="6" t="s">
        <v>1</v>
      </c>
      <c r="D1" s="6" t="s">
        <v>6</v>
      </c>
      <c r="E1" s="6" t="s">
        <v>9</v>
      </c>
      <c r="F1" s="11"/>
      <c r="G1" s="11"/>
      <c r="H1" s="11"/>
      <c r="I1" s="11"/>
      <c r="J1" s="11"/>
      <c r="K1" s="11"/>
      <c r="L1" s="11"/>
      <c r="M1" s="12"/>
      <c r="N1" s="6" t="s">
        <v>10</v>
      </c>
      <c r="O1" s="17" t="s">
        <v>11</v>
      </c>
      <c r="P1" s="18" t="s">
        <v>12</v>
      </c>
      <c r="Q1" s="19" t="s">
        <v>13</v>
      </c>
      <c r="R1" s="19" t="s">
        <v>14</v>
      </c>
      <c r="S1" s="20" t="s">
        <v>15</v>
      </c>
      <c r="T1" s="20" t="s">
        <v>16</v>
      </c>
      <c r="U1" s="20" t="s">
        <v>11</v>
      </c>
      <c r="V1" s="20" t="s">
        <v>17</v>
      </c>
      <c r="W1" s="20" t="s">
        <v>18</v>
      </c>
      <c r="X1" s="20"/>
      <c r="Y1" s="20"/>
      <c r="Z1" s="20"/>
    </row>
    <row r="2" ht="15.75" customHeight="1">
      <c r="A2" s="1">
        <v>2.0</v>
      </c>
      <c r="B2" s="3" t="s">
        <v>0</v>
      </c>
      <c r="C2" s="6" t="s">
        <v>1</v>
      </c>
      <c r="D2" s="6" t="s">
        <v>19</v>
      </c>
      <c r="E2" s="6" t="s">
        <v>9</v>
      </c>
      <c r="F2" s="6" t="s">
        <v>20</v>
      </c>
      <c r="G2" s="11"/>
      <c r="H2" s="11"/>
      <c r="I2" s="11"/>
      <c r="J2" s="11"/>
      <c r="K2" s="11"/>
      <c r="L2" s="11"/>
      <c r="M2" s="12"/>
      <c r="N2" s="6" t="s">
        <v>21</v>
      </c>
      <c r="O2" s="17" t="s">
        <v>11</v>
      </c>
      <c r="P2" s="18" t="s">
        <v>22</v>
      </c>
      <c r="Q2" s="19" t="s">
        <v>13</v>
      </c>
      <c r="R2" s="19" t="s">
        <v>14</v>
      </c>
      <c r="S2" s="20" t="s">
        <v>15</v>
      </c>
      <c r="T2" s="20" t="s">
        <v>16</v>
      </c>
      <c r="U2" s="20" t="s">
        <v>11</v>
      </c>
      <c r="V2" s="20" t="s">
        <v>17</v>
      </c>
      <c r="W2" s="20" t="s">
        <v>18</v>
      </c>
      <c r="X2" s="20"/>
      <c r="Y2" s="20"/>
      <c r="Z2" s="20"/>
    </row>
    <row r="3" ht="15.75" customHeight="1">
      <c r="A3" s="1">
        <v>3.0</v>
      </c>
      <c r="B3" s="3" t="s">
        <v>0</v>
      </c>
      <c r="C3" s="6" t="s">
        <v>1</v>
      </c>
      <c r="D3" s="6" t="s">
        <v>19</v>
      </c>
      <c r="E3" s="6" t="s">
        <v>25</v>
      </c>
      <c r="F3" s="6" t="s">
        <v>9</v>
      </c>
      <c r="G3" s="6" t="s">
        <v>20</v>
      </c>
      <c r="H3" s="11"/>
      <c r="I3" s="11"/>
      <c r="J3" s="11"/>
      <c r="K3" s="11"/>
      <c r="L3" s="11"/>
      <c r="M3" s="12"/>
      <c r="N3" s="6" t="s">
        <v>21</v>
      </c>
      <c r="O3" s="17" t="s">
        <v>11</v>
      </c>
      <c r="P3" s="11"/>
      <c r="Q3" s="19" t="s">
        <v>13</v>
      </c>
      <c r="R3" s="19" t="s">
        <v>14</v>
      </c>
      <c r="S3" s="20" t="s">
        <v>15</v>
      </c>
      <c r="T3" s="20" t="s">
        <v>16</v>
      </c>
      <c r="U3" s="20" t="s">
        <v>11</v>
      </c>
      <c r="V3" s="20" t="s">
        <v>17</v>
      </c>
      <c r="W3" s="20" t="s">
        <v>18</v>
      </c>
      <c r="X3" s="20"/>
      <c r="Y3" s="20"/>
      <c r="Z3" s="20"/>
    </row>
    <row r="4" ht="15.75" customHeight="1">
      <c r="A4" s="1">
        <v>4.0</v>
      </c>
      <c r="B4" s="3" t="s">
        <v>29</v>
      </c>
      <c r="C4" s="6" t="s">
        <v>1</v>
      </c>
      <c r="D4" s="6" t="s">
        <v>25</v>
      </c>
      <c r="E4" s="54" t="s">
        <v>31</v>
      </c>
      <c r="F4" s="60" t="s">
        <v>24</v>
      </c>
      <c r="G4" s="54" t="s">
        <v>34</v>
      </c>
      <c r="H4" s="11"/>
      <c r="I4" s="11"/>
      <c r="J4" s="11"/>
      <c r="K4" s="11"/>
      <c r="L4" s="11"/>
      <c r="M4" s="12"/>
      <c r="N4" s="11"/>
      <c r="O4" s="11"/>
      <c r="P4" s="11"/>
      <c r="Q4" s="19"/>
      <c r="R4" s="19"/>
      <c r="S4" s="20"/>
      <c r="T4" s="20"/>
      <c r="U4" s="20"/>
      <c r="V4" s="20"/>
      <c r="W4" s="20"/>
      <c r="X4" s="20"/>
      <c r="Y4" s="20"/>
      <c r="Z4" s="20"/>
    </row>
    <row r="5" ht="15.75" customHeight="1">
      <c r="A5" s="63">
        <v>5.0</v>
      </c>
      <c r="B5" s="70" t="s">
        <v>38</v>
      </c>
      <c r="C5" s="73" t="s">
        <v>1</v>
      </c>
      <c r="D5" s="73" t="s">
        <v>40</v>
      </c>
      <c r="E5" s="73" t="s">
        <v>6</v>
      </c>
      <c r="F5" s="73" t="s">
        <v>19</v>
      </c>
      <c r="G5" s="73" t="s">
        <v>25</v>
      </c>
      <c r="H5" s="73" t="s">
        <v>9</v>
      </c>
      <c r="I5" s="73" t="s">
        <v>20</v>
      </c>
      <c r="J5" s="73" t="s">
        <v>48</v>
      </c>
      <c r="K5" s="73" t="s">
        <v>49</v>
      </c>
      <c r="L5" s="73" t="s">
        <v>52</v>
      </c>
      <c r="M5" s="87"/>
      <c r="N5" s="73" t="s">
        <v>10</v>
      </c>
      <c r="O5" s="73" t="s">
        <v>55</v>
      </c>
      <c r="P5" s="73" t="s">
        <v>21</v>
      </c>
      <c r="Q5" s="73" t="s">
        <v>13</v>
      </c>
      <c r="R5" s="73" t="s">
        <v>14</v>
      </c>
      <c r="S5" s="73" t="s">
        <v>15</v>
      </c>
      <c r="T5" s="73" t="s">
        <v>16</v>
      </c>
      <c r="U5" s="73" t="s">
        <v>11</v>
      </c>
      <c r="V5" s="73" t="s">
        <v>17</v>
      </c>
      <c r="W5" s="73" t="s">
        <v>18</v>
      </c>
      <c r="X5" s="73" t="s">
        <v>64</v>
      </c>
      <c r="Y5" s="73" t="s">
        <v>66</v>
      </c>
      <c r="Z5" s="93"/>
    </row>
    <row r="6" ht="15.75" customHeight="1">
      <c r="A6" s="94">
        <v>6.0</v>
      </c>
      <c r="B6" s="70" t="s">
        <v>38</v>
      </c>
      <c r="C6" s="96" t="s">
        <v>1</v>
      </c>
      <c r="D6" s="96" t="s">
        <v>40</v>
      </c>
      <c r="E6" s="96" t="s">
        <v>6</v>
      </c>
      <c r="F6" s="96" t="s">
        <v>19</v>
      </c>
      <c r="G6" s="96" t="s">
        <v>25</v>
      </c>
      <c r="H6" s="96" t="s">
        <v>9</v>
      </c>
      <c r="I6" s="96" t="s">
        <v>20</v>
      </c>
      <c r="J6" s="96" t="s">
        <v>48</v>
      </c>
      <c r="K6" s="96" t="s">
        <v>49</v>
      </c>
      <c r="L6" s="96" t="s">
        <v>52</v>
      </c>
      <c r="M6" s="101"/>
      <c r="N6" s="96" t="s">
        <v>10</v>
      </c>
      <c r="O6" s="96" t="s">
        <v>55</v>
      </c>
      <c r="P6" s="96" t="s">
        <v>21</v>
      </c>
      <c r="Q6" s="96" t="s">
        <v>13</v>
      </c>
      <c r="R6" s="96" t="s">
        <v>14</v>
      </c>
      <c r="S6" s="96" t="s">
        <v>15</v>
      </c>
      <c r="T6" s="96" t="s">
        <v>16</v>
      </c>
      <c r="U6" s="96" t="s">
        <v>11</v>
      </c>
      <c r="V6" s="96" t="s">
        <v>17</v>
      </c>
      <c r="W6" s="96" t="s">
        <v>18</v>
      </c>
      <c r="X6" s="96" t="s">
        <v>64</v>
      </c>
      <c r="Y6" s="96" t="s">
        <v>66</v>
      </c>
      <c r="Z6" s="105"/>
    </row>
    <row r="7" ht="15.75" customHeight="1">
      <c r="A7" s="94">
        <v>7.0</v>
      </c>
      <c r="B7" s="106" t="s">
        <v>38</v>
      </c>
      <c r="C7" s="96" t="s">
        <v>1</v>
      </c>
      <c r="D7" s="96" t="s">
        <v>40</v>
      </c>
      <c r="E7" s="96" t="s">
        <v>6</v>
      </c>
      <c r="F7" s="96" t="s">
        <v>19</v>
      </c>
      <c r="G7" s="96" t="s">
        <v>25</v>
      </c>
      <c r="H7" s="96" t="s">
        <v>9</v>
      </c>
      <c r="I7" s="96" t="s">
        <v>20</v>
      </c>
      <c r="J7" s="96" t="s">
        <v>48</v>
      </c>
      <c r="K7" s="96" t="s">
        <v>49</v>
      </c>
      <c r="L7" s="96" t="s">
        <v>52</v>
      </c>
      <c r="M7" s="101"/>
      <c r="N7" s="96" t="s">
        <v>10</v>
      </c>
      <c r="O7" s="96" t="s">
        <v>55</v>
      </c>
      <c r="P7" s="96" t="s">
        <v>21</v>
      </c>
      <c r="Q7" s="96" t="s">
        <v>13</v>
      </c>
      <c r="R7" s="96" t="s">
        <v>14</v>
      </c>
      <c r="S7" s="96" t="s">
        <v>15</v>
      </c>
      <c r="T7" s="96" t="s">
        <v>16</v>
      </c>
      <c r="U7" s="96" t="s">
        <v>11</v>
      </c>
      <c r="V7" s="96" t="s">
        <v>17</v>
      </c>
      <c r="W7" s="96" t="s">
        <v>18</v>
      </c>
      <c r="X7" s="96" t="s">
        <v>64</v>
      </c>
      <c r="Y7" s="96" t="s">
        <v>66</v>
      </c>
      <c r="Z7" s="105"/>
    </row>
    <row r="8" ht="15.75" customHeight="1">
      <c r="A8" s="111">
        <v>8.0</v>
      </c>
      <c r="B8" s="113" t="s">
        <v>71</v>
      </c>
      <c r="C8" s="114" t="s">
        <v>1</v>
      </c>
      <c r="D8" s="114" t="s">
        <v>40</v>
      </c>
      <c r="E8" s="114" t="s">
        <v>6</v>
      </c>
      <c r="F8" s="114" t="s">
        <v>19</v>
      </c>
      <c r="G8" s="114" t="s">
        <v>25</v>
      </c>
      <c r="H8" s="114" t="s">
        <v>9</v>
      </c>
      <c r="I8" s="114" t="s">
        <v>20</v>
      </c>
      <c r="J8" s="114" t="s">
        <v>48</v>
      </c>
      <c r="K8" s="114" t="s">
        <v>49</v>
      </c>
      <c r="L8" s="114" t="s">
        <v>52</v>
      </c>
      <c r="M8" s="120"/>
      <c r="N8" s="114" t="s">
        <v>10</v>
      </c>
      <c r="O8" s="114" t="s">
        <v>55</v>
      </c>
      <c r="P8" s="114" t="s">
        <v>21</v>
      </c>
      <c r="Q8" s="114" t="s">
        <v>13</v>
      </c>
      <c r="R8" s="114" t="s">
        <v>14</v>
      </c>
      <c r="S8" s="114" t="s">
        <v>15</v>
      </c>
      <c r="T8" s="114" t="s">
        <v>16</v>
      </c>
      <c r="U8" s="114" t="s">
        <v>11</v>
      </c>
      <c r="V8" s="114" t="s">
        <v>17</v>
      </c>
      <c r="W8" s="114" t="s">
        <v>18</v>
      </c>
      <c r="X8" s="114" t="s">
        <v>64</v>
      </c>
      <c r="Y8" s="114" t="s">
        <v>66</v>
      </c>
      <c r="Z8" s="130"/>
    </row>
    <row r="9" ht="15.75" customHeight="1">
      <c r="A9" s="111">
        <v>9.0</v>
      </c>
      <c r="B9" s="113" t="s">
        <v>71</v>
      </c>
      <c r="C9" s="114" t="s">
        <v>1</v>
      </c>
      <c r="D9" s="114" t="s">
        <v>40</v>
      </c>
      <c r="E9" s="114" t="s">
        <v>6</v>
      </c>
      <c r="F9" s="114" t="s">
        <v>19</v>
      </c>
      <c r="G9" s="114" t="s">
        <v>25</v>
      </c>
      <c r="H9" s="114" t="s">
        <v>9</v>
      </c>
      <c r="I9" s="114" t="s">
        <v>20</v>
      </c>
      <c r="J9" s="114" t="s">
        <v>48</v>
      </c>
      <c r="K9" s="114" t="s">
        <v>49</v>
      </c>
      <c r="L9" s="114" t="s">
        <v>52</v>
      </c>
      <c r="M9" s="120"/>
      <c r="N9" s="114" t="s">
        <v>10</v>
      </c>
      <c r="O9" s="114" t="s">
        <v>55</v>
      </c>
      <c r="P9" s="114" t="s">
        <v>21</v>
      </c>
      <c r="Q9" s="114" t="s">
        <v>13</v>
      </c>
      <c r="R9" s="114" t="s">
        <v>14</v>
      </c>
      <c r="S9" s="114" t="s">
        <v>15</v>
      </c>
      <c r="T9" s="114" t="s">
        <v>16</v>
      </c>
      <c r="U9" s="114" t="s">
        <v>11</v>
      </c>
      <c r="V9" s="114" t="s">
        <v>17</v>
      </c>
      <c r="W9" s="114" t="s">
        <v>18</v>
      </c>
      <c r="X9" s="114" t="s">
        <v>64</v>
      </c>
      <c r="Y9" s="114" t="s">
        <v>66</v>
      </c>
      <c r="Z9" s="130"/>
    </row>
    <row r="10" ht="15.75" customHeight="1">
      <c r="A10" s="111">
        <v>10.0</v>
      </c>
      <c r="B10" s="113" t="s">
        <v>71</v>
      </c>
      <c r="C10" s="114" t="s">
        <v>1</v>
      </c>
      <c r="D10" s="114" t="s">
        <v>40</v>
      </c>
      <c r="E10" s="114" t="s">
        <v>6</v>
      </c>
      <c r="F10" s="114" t="s">
        <v>19</v>
      </c>
      <c r="G10" s="114" t="s">
        <v>25</v>
      </c>
      <c r="H10" s="114" t="s">
        <v>9</v>
      </c>
      <c r="I10" s="114" t="s">
        <v>20</v>
      </c>
      <c r="J10" s="114" t="s">
        <v>48</v>
      </c>
      <c r="K10" s="114" t="s">
        <v>49</v>
      </c>
      <c r="L10" s="114" t="s">
        <v>52</v>
      </c>
      <c r="M10" s="120"/>
      <c r="N10" s="114" t="s">
        <v>10</v>
      </c>
      <c r="O10" s="114" t="s">
        <v>55</v>
      </c>
      <c r="P10" s="114" t="s">
        <v>21</v>
      </c>
      <c r="Q10" s="114" t="s">
        <v>13</v>
      </c>
      <c r="R10" s="114" t="s">
        <v>14</v>
      </c>
      <c r="S10" s="114" t="s">
        <v>15</v>
      </c>
      <c r="T10" s="114" t="s">
        <v>16</v>
      </c>
      <c r="U10" s="114" t="s">
        <v>11</v>
      </c>
      <c r="V10" s="114" t="s">
        <v>17</v>
      </c>
      <c r="W10" s="114" t="s">
        <v>18</v>
      </c>
      <c r="X10" s="114" t="s">
        <v>64</v>
      </c>
      <c r="Y10" s="114" t="s">
        <v>66</v>
      </c>
      <c r="Z10" s="130"/>
    </row>
    <row r="11" ht="15.75" customHeight="1">
      <c r="A11" s="94">
        <v>11.0</v>
      </c>
      <c r="B11" s="106" t="s">
        <v>78</v>
      </c>
      <c r="C11" s="96" t="s">
        <v>1</v>
      </c>
      <c r="D11" s="96" t="s">
        <v>40</v>
      </c>
      <c r="E11" s="96" t="s">
        <v>6</v>
      </c>
      <c r="F11" s="96" t="s">
        <v>19</v>
      </c>
      <c r="G11" s="96" t="s">
        <v>25</v>
      </c>
      <c r="H11" s="96" t="s">
        <v>9</v>
      </c>
      <c r="I11" s="96" t="s">
        <v>20</v>
      </c>
      <c r="J11" s="96" t="s">
        <v>48</v>
      </c>
      <c r="K11" s="96" t="s">
        <v>49</v>
      </c>
      <c r="L11" s="96" t="s">
        <v>52</v>
      </c>
      <c r="M11" s="101"/>
      <c r="N11" s="96" t="s">
        <v>10</v>
      </c>
      <c r="O11" s="96" t="s">
        <v>55</v>
      </c>
      <c r="P11" s="96" t="s">
        <v>21</v>
      </c>
      <c r="Q11" s="96" t="s">
        <v>13</v>
      </c>
      <c r="R11" s="96" t="s">
        <v>14</v>
      </c>
      <c r="S11" s="96" t="s">
        <v>15</v>
      </c>
      <c r="T11" s="96" t="s">
        <v>16</v>
      </c>
      <c r="U11" s="96" t="s">
        <v>11</v>
      </c>
      <c r="V11" s="96" t="s">
        <v>17</v>
      </c>
      <c r="W11" s="96" t="s">
        <v>18</v>
      </c>
      <c r="X11" s="96" t="s">
        <v>64</v>
      </c>
      <c r="Y11" s="96" t="s">
        <v>66</v>
      </c>
      <c r="Z11" s="105"/>
    </row>
    <row r="12" ht="15.75" customHeight="1">
      <c r="A12" s="94">
        <v>12.0</v>
      </c>
      <c r="B12" s="106" t="s">
        <v>78</v>
      </c>
      <c r="C12" s="96" t="s">
        <v>1</v>
      </c>
      <c r="D12" s="96" t="s">
        <v>40</v>
      </c>
      <c r="E12" s="96" t="s">
        <v>6</v>
      </c>
      <c r="F12" s="96" t="s">
        <v>19</v>
      </c>
      <c r="G12" s="96" t="s">
        <v>25</v>
      </c>
      <c r="H12" s="96" t="s">
        <v>9</v>
      </c>
      <c r="I12" s="96" t="s">
        <v>20</v>
      </c>
      <c r="J12" s="96" t="s">
        <v>48</v>
      </c>
      <c r="K12" s="96" t="s">
        <v>49</v>
      </c>
      <c r="L12" s="96" t="s">
        <v>52</v>
      </c>
      <c r="M12" s="101"/>
      <c r="N12" s="96" t="s">
        <v>10</v>
      </c>
      <c r="O12" s="96" t="s">
        <v>55</v>
      </c>
      <c r="P12" s="96" t="s">
        <v>21</v>
      </c>
      <c r="Q12" s="96" t="s">
        <v>13</v>
      </c>
      <c r="R12" s="96" t="s">
        <v>14</v>
      </c>
      <c r="S12" s="96" t="s">
        <v>15</v>
      </c>
      <c r="T12" s="96" t="s">
        <v>16</v>
      </c>
      <c r="U12" s="96" t="s">
        <v>11</v>
      </c>
      <c r="V12" s="96" t="s">
        <v>17</v>
      </c>
      <c r="W12" s="96" t="s">
        <v>18</v>
      </c>
      <c r="X12" s="96" t="s">
        <v>64</v>
      </c>
      <c r="Y12" s="96" t="s">
        <v>66</v>
      </c>
      <c r="Z12" s="105"/>
    </row>
    <row r="13" ht="15.75" customHeight="1">
      <c r="A13" s="94">
        <v>13.0</v>
      </c>
      <c r="B13" s="106" t="s">
        <v>78</v>
      </c>
      <c r="C13" s="96" t="s">
        <v>1</v>
      </c>
      <c r="D13" s="96" t="s">
        <v>40</v>
      </c>
      <c r="E13" s="96" t="s">
        <v>6</v>
      </c>
      <c r="F13" s="96" t="s">
        <v>19</v>
      </c>
      <c r="G13" s="96" t="s">
        <v>25</v>
      </c>
      <c r="H13" s="96" t="s">
        <v>9</v>
      </c>
      <c r="I13" s="96" t="s">
        <v>20</v>
      </c>
      <c r="J13" s="96" t="s">
        <v>48</v>
      </c>
      <c r="K13" s="96" t="s">
        <v>49</v>
      </c>
      <c r="L13" s="96" t="s">
        <v>52</v>
      </c>
      <c r="M13" s="101"/>
      <c r="N13" s="96" t="s">
        <v>10</v>
      </c>
      <c r="O13" s="96" t="s">
        <v>55</v>
      </c>
      <c r="P13" s="96" t="s">
        <v>21</v>
      </c>
      <c r="Q13" s="96" t="s">
        <v>13</v>
      </c>
      <c r="R13" s="96" t="s">
        <v>14</v>
      </c>
      <c r="S13" s="96" t="s">
        <v>15</v>
      </c>
      <c r="T13" s="96" t="s">
        <v>16</v>
      </c>
      <c r="U13" s="96" t="s">
        <v>11</v>
      </c>
      <c r="V13" s="96" t="s">
        <v>17</v>
      </c>
      <c r="W13" s="96" t="s">
        <v>18</v>
      </c>
      <c r="X13" s="96" t="s">
        <v>64</v>
      </c>
      <c r="Y13" s="96" t="s">
        <v>66</v>
      </c>
      <c r="Z13" s="105"/>
    </row>
    <row r="14" ht="15.75" customHeight="1">
      <c r="A14" s="111">
        <v>14.0</v>
      </c>
      <c r="B14" s="113" t="s">
        <v>79</v>
      </c>
      <c r="C14" s="114" t="s">
        <v>1</v>
      </c>
      <c r="D14" s="114" t="s">
        <v>40</v>
      </c>
      <c r="E14" s="114" t="s">
        <v>6</v>
      </c>
      <c r="F14" s="114" t="s">
        <v>19</v>
      </c>
      <c r="G14" s="114" t="s">
        <v>25</v>
      </c>
      <c r="H14" s="114" t="s">
        <v>9</v>
      </c>
      <c r="I14" s="114" t="s">
        <v>20</v>
      </c>
      <c r="J14" s="114" t="s">
        <v>48</v>
      </c>
      <c r="K14" s="114" t="s">
        <v>49</v>
      </c>
      <c r="L14" s="114" t="s">
        <v>52</v>
      </c>
      <c r="M14" s="120"/>
      <c r="N14" s="114" t="s">
        <v>10</v>
      </c>
      <c r="O14" s="114" t="s">
        <v>55</v>
      </c>
      <c r="P14" s="114" t="s">
        <v>21</v>
      </c>
      <c r="Q14" s="114" t="s">
        <v>13</v>
      </c>
      <c r="R14" s="114" t="s">
        <v>14</v>
      </c>
      <c r="S14" s="114" t="s">
        <v>15</v>
      </c>
      <c r="T14" s="114" t="s">
        <v>16</v>
      </c>
      <c r="U14" s="114" t="s">
        <v>11</v>
      </c>
      <c r="V14" s="114" t="s">
        <v>17</v>
      </c>
      <c r="W14" s="114" t="s">
        <v>18</v>
      </c>
      <c r="X14" s="114" t="s">
        <v>64</v>
      </c>
      <c r="Y14" s="114" t="s">
        <v>66</v>
      </c>
      <c r="Z14" s="130"/>
    </row>
    <row r="15" ht="15.75" customHeight="1">
      <c r="A15" s="111">
        <v>15.0</v>
      </c>
      <c r="B15" s="113" t="s">
        <v>79</v>
      </c>
      <c r="C15" s="114" t="s">
        <v>1</v>
      </c>
      <c r="D15" s="114" t="s">
        <v>40</v>
      </c>
      <c r="E15" s="114" t="s">
        <v>6</v>
      </c>
      <c r="F15" s="114" t="s">
        <v>19</v>
      </c>
      <c r="G15" s="114" t="s">
        <v>25</v>
      </c>
      <c r="H15" s="114" t="s">
        <v>9</v>
      </c>
      <c r="I15" s="114" t="s">
        <v>20</v>
      </c>
      <c r="J15" s="114" t="s">
        <v>48</v>
      </c>
      <c r="K15" s="114" t="s">
        <v>49</v>
      </c>
      <c r="L15" s="114" t="s">
        <v>52</v>
      </c>
      <c r="M15" s="120"/>
      <c r="N15" s="114" t="s">
        <v>10</v>
      </c>
      <c r="O15" s="114" t="s">
        <v>55</v>
      </c>
      <c r="P15" s="114" t="s">
        <v>21</v>
      </c>
      <c r="Q15" s="114" t="s">
        <v>13</v>
      </c>
      <c r="R15" s="114" t="s">
        <v>14</v>
      </c>
      <c r="S15" s="114" t="s">
        <v>15</v>
      </c>
      <c r="T15" s="114" t="s">
        <v>16</v>
      </c>
      <c r="U15" s="114" t="s">
        <v>11</v>
      </c>
      <c r="V15" s="114" t="s">
        <v>17</v>
      </c>
      <c r="W15" s="114" t="s">
        <v>18</v>
      </c>
      <c r="X15" s="114" t="s">
        <v>64</v>
      </c>
      <c r="Y15" s="114" t="s">
        <v>66</v>
      </c>
      <c r="Z15" s="130"/>
    </row>
    <row r="16" ht="15.75" customHeight="1">
      <c r="A16" s="111">
        <v>16.0</v>
      </c>
      <c r="B16" s="113" t="s">
        <v>79</v>
      </c>
      <c r="C16" s="114" t="s">
        <v>1</v>
      </c>
      <c r="D16" s="114" t="s">
        <v>40</v>
      </c>
      <c r="E16" s="114" t="s">
        <v>6</v>
      </c>
      <c r="F16" s="114" t="s">
        <v>19</v>
      </c>
      <c r="G16" s="114" t="s">
        <v>25</v>
      </c>
      <c r="H16" s="114" t="s">
        <v>9</v>
      </c>
      <c r="I16" s="114" t="s">
        <v>20</v>
      </c>
      <c r="J16" s="114" t="s">
        <v>48</v>
      </c>
      <c r="K16" s="114" t="s">
        <v>49</v>
      </c>
      <c r="L16" s="114" t="s">
        <v>52</v>
      </c>
      <c r="M16" s="120"/>
      <c r="N16" s="114" t="s">
        <v>10</v>
      </c>
      <c r="O16" s="114" t="s">
        <v>55</v>
      </c>
      <c r="P16" s="114" t="s">
        <v>21</v>
      </c>
      <c r="Q16" s="114" t="s">
        <v>13</v>
      </c>
      <c r="R16" s="114" t="s">
        <v>14</v>
      </c>
      <c r="S16" s="114" t="s">
        <v>15</v>
      </c>
      <c r="T16" s="114" t="s">
        <v>16</v>
      </c>
      <c r="U16" s="114" t="s">
        <v>11</v>
      </c>
      <c r="V16" s="114" t="s">
        <v>17</v>
      </c>
      <c r="W16" s="114" t="s">
        <v>18</v>
      </c>
      <c r="X16" s="114" t="s">
        <v>64</v>
      </c>
      <c r="Y16" s="114" t="s">
        <v>66</v>
      </c>
      <c r="Z16" s="130"/>
    </row>
    <row r="17" ht="15.75" customHeight="1">
      <c r="A17" s="94">
        <v>17.0</v>
      </c>
      <c r="B17" s="106" t="s">
        <v>110</v>
      </c>
      <c r="C17" s="96" t="s">
        <v>1</v>
      </c>
      <c r="D17" s="96" t="s">
        <v>40</v>
      </c>
      <c r="E17" s="96" t="s">
        <v>6</v>
      </c>
      <c r="F17" s="96" t="s">
        <v>19</v>
      </c>
      <c r="G17" s="96" t="s">
        <v>25</v>
      </c>
      <c r="H17" s="96" t="s">
        <v>9</v>
      </c>
      <c r="I17" s="96" t="s">
        <v>20</v>
      </c>
      <c r="J17" s="96" t="s">
        <v>48</v>
      </c>
      <c r="K17" s="96" t="s">
        <v>49</v>
      </c>
      <c r="L17" s="96" t="s">
        <v>52</v>
      </c>
      <c r="M17" s="101"/>
      <c r="N17" s="96" t="s">
        <v>10</v>
      </c>
      <c r="O17" s="96" t="s">
        <v>55</v>
      </c>
      <c r="P17" s="96" t="s">
        <v>21</v>
      </c>
      <c r="Q17" s="96" t="s">
        <v>13</v>
      </c>
      <c r="R17" s="96" t="s">
        <v>14</v>
      </c>
      <c r="S17" s="96" t="s">
        <v>15</v>
      </c>
      <c r="T17" s="96" t="s">
        <v>16</v>
      </c>
      <c r="U17" s="96" t="s">
        <v>11</v>
      </c>
      <c r="V17" s="96" t="s">
        <v>17</v>
      </c>
      <c r="W17" s="96" t="s">
        <v>18</v>
      </c>
      <c r="X17" s="96" t="s">
        <v>64</v>
      </c>
      <c r="Y17" s="96" t="s">
        <v>66</v>
      </c>
      <c r="Z17" s="105"/>
    </row>
    <row r="18" ht="15.75" customHeight="1">
      <c r="A18" s="94">
        <v>18.0</v>
      </c>
      <c r="B18" s="106" t="s">
        <v>110</v>
      </c>
      <c r="C18" s="96" t="s">
        <v>1</v>
      </c>
      <c r="D18" s="96" t="s">
        <v>40</v>
      </c>
      <c r="E18" s="96" t="s">
        <v>6</v>
      </c>
      <c r="F18" s="96" t="s">
        <v>19</v>
      </c>
      <c r="G18" s="96" t="s">
        <v>25</v>
      </c>
      <c r="H18" s="96" t="s">
        <v>9</v>
      </c>
      <c r="I18" s="96" t="s">
        <v>20</v>
      </c>
      <c r="J18" s="96" t="s">
        <v>48</v>
      </c>
      <c r="K18" s="96" t="s">
        <v>49</v>
      </c>
      <c r="L18" s="96" t="s">
        <v>52</v>
      </c>
      <c r="M18" s="101"/>
      <c r="N18" s="96" t="s">
        <v>10</v>
      </c>
      <c r="O18" s="96" t="s">
        <v>55</v>
      </c>
      <c r="P18" s="96" t="s">
        <v>21</v>
      </c>
      <c r="Q18" s="96" t="s">
        <v>13</v>
      </c>
      <c r="R18" s="96" t="s">
        <v>14</v>
      </c>
      <c r="S18" s="96" t="s">
        <v>15</v>
      </c>
      <c r="T18" s="96" t="s">
        <v>16</v>
      </c>
      <c r="U18" s="96" t="s">
        <v>11</v>
      </c>
      <c r="V18" s="96" t="s">
        <v>17</v>
      </c>
      <c r="W18" s="96" t="s">
        <v>18</v>
      </c>
      <c r="X18" s="96" t="s">
        <v>64</v>
      </c>
      <c r="Y18" s="96" t="s">
        <v>66</v>
      </c>
      <c r="Z18" s="105"/>
    </row>
    <row r="19" ht="15.75" customHeight="1">
      <c r="A19" s="94">
        <v>19.0</v>
      </c>
      <c r="B19" s="106" t="s">
        <v>110</v>
      </c>
      <c r="C19" s="96" t="s">
        <v>1</v>
      </c>
      <c r="D19" s="96" t="s">
        <v>40</v>
      </c>
      <c r="E19" s="96" t="s">
        <v>6</v>
      </c>
      <c r="F19" s="96" t="s">
        <v>19</v>
      </c>
      <c r="G19" s="96" t="s">
        <v>25</v>
      </c>
      <c r="H19" s="96" t="s">
        <v>9</v>
      </c>
      <c r="I19" s="96" t="s">
        <v>20</v>
      </c>
      <c r="J19" s="96" t="s">
        <v>48</v>
      </c>
      <c r="K19" s="96" t="s">
        <v>49</v>
      </c>
      <c r="L19" s="96" t="s">
        <v>52</v>
      </c>
      <c r="M19" s="101"/>
      <c r="N19" s="96" t="s">
        <v>10</v>
      </c>
      <c r="O19" s="96" t="s">
        <v>55</v>
      </c>
      <c r="P19" s="96" t="s">
        <v>21</v>
      </c>
      <c r="Q19" s="96" t="s">
        <v>13</v>
      </c>
      <c r="R19" s="96" t="s">
        <v>14</v>
      </c>
      <c r="S19" s="96" t="s">
        <v>15</v>
      </c>
      <c r="T19" s="96" t="s">
        <v>16</v>
      </c>
      <c r="U19" s="96" t="s">
        <v>11</v>
      </c>
      <c r="V19" s="96" t="s">
        <v>17</v>
      </c>
      <c r="W19" s="96" t="s">
        <v>18</v>
      </c>
      <c r="X19" s="96" t="s">
        <v>64</v>
      </c>
      <c r="Y19" s="96" t="s">
        <v>66</v>
      </c>
      <c r="Z19" s="105"/>
    </row>
    <row r="20" ht="15.75" customHeight="1">
      <c r="A20" s="140">
        <v>20.0</v>
      </c>
      <c r="B20" s="141" t="s">
        <v>112</v>
      </c>
      <c r="C20" s="142"/>
      <c r="D20" s="142"/>
      <c r="E20" s="142"/>
      <c r="F20" s="142"/>
      <c r="G20" s="142"/>
      <c r="H20" s="142"/>
      <c r="I20" s="142"/>
      <c r="J20" s="142"/>
      <c r="K20" s="142"/>
      <c r="L20" s="142"/>
      <c r="M20" s="143"/>
      <c r="N20" s="144" t="s">
        <v>64</v>
      </c>
      <c r="O20" s="144" t="s">
        <v>66</v>
      </c>
      <c r="P20" s="144" t="s">
        <v>14</v>
      </c>
      <c r="Q20" s="145"/>
      <c r="R20" s="145"/>
      <c r="S20" s="145"/>
      <c r="T20" s="145"/>
      <c r="U20" s="145"/>
      <c r="V20" s="145"/>
      <c r="W20" s="145"/>
      <c r="X20" s="145"/>
      <c r="Y20" s="145"/>
      <c r="Z20" s="142"/>
    </row>
    <row r="21" ht="15.75" customHeight="1">
      <c r="A21" s="94">
        <v>21.0</v>
      </c>
      <c r="B21" s="106" t="s">
        <v>113</v>
      </c>
      <c r="C21" s="73" t="s">
        <v>1</v>
      </c>
      <c r="D21" s="73" t="s">
        <v>40</v>
      </c>
      <c r="E21" s="73" t="s">
        <v>6</v>
      </c>
      <c r="F21" s="73" t="s">
        <v>19</v>
      </c>
      <c r="G21" s="73" t="s">
        <v>25</v>
      </c>
      <c r="H21" s="73" t="s">
        <v>9</v>
      </c>
      <c r="I21" s="73" t="s">
        <v>20</v>
      </c>
      <c r="J21" s="73" t="s">
        <v>48</v>
      </c>
      <c r="K21" s="73" t="s">
        <v>49</v>
      </c>
      <c r="L21" s="73" t="s">
        <v>52</v>
      </c>
      <c r="M21" s="87"/>
      <c r="N21" s="73" t="s">
        <v>10</v>
      </c>
      <c r="O21" s="73" t="s">
        <v>55</v>
      </c>
      <c r="P21" s="73" t="s">
        <v>21</v>
      </c>
      <c r="Q21" s="73" t="s">
        <v>13</v>
      </c>
      <c r="R21" s="73" t="s">
        <v>14</v>
      </c>
      <c r="S21" s="96" t="s">
        <v>15</v>
      </c>
      <c r="T21" s="96" t="s">
        <v>16</v>
      </c>
      <c r="U21" s="73" t="s">
        <v>11</v>
      </c>
      <c r="V21" s="73" t="s">
        <v>17</v>
      </c>
      <c r="W21" s="73" t="s">
        <v>18</v>
      </c>
      <c r="X21" s="73" t="s">
        <v>64</v>
      </c>
      <c r="Y21" s="73" t="s">
        <v>66</v>
      </c>
      <c r="Z21" s="93"/>
    </row>
    <row r="22" ht="15.75" customHeight="1">
      <c r="A22" s="94">
        <v>22.0</v>
      </c>
      <c r="B22" s="106" t="s">
        <v>113</v>
      </c>
      <c r="C22" s="96" t="s">
        <v>1</v>
      </c>
      <c r="D22" s="96" t="s">
        <v>40</v>
      </c>
      <c r="E22" s="96" t="s">
        <v>6</v>
      </c>
      <c r="F22" s="96" t="s">
        <v>19</v>
      </c>
      <c r="G22" s="96" t="s">
        <v>25</v>
      </c>
      <c r="H22" s="96" t="s">
        <v>9</v>
      </c>
      <c r="I22" s="96" t="s">
        <v>20</v>
      </c>
      <c r="J22" s="96" t="s">
        <v>48</v>
      </c>
      <c r="K22" s="96" t="s">
        <v>49</v>
      </c>
      <c r="L22" s="96" t="s">
        <v>52</v>
      </c>
      <c r="M22" s="101"/>
      <c r="N22" s="96" t="s">
        <v>10</v>
      </c>
      <c r="O22" s="96" t="s">
        <v>55</v>
      </c>
      <c r="P22" s="96" t="s">
        <v>21</v>
      </c>
      <c r="Q22" s="96" t="s">
        <v>13</v>
      </c>
      <c r="R22" s="96" t="s">
        <v>14</v>
      </c>
      <c r="S22" s="96" t="s">
        <v>15</v>
      </c>
      <c r="T22" s="96" t="s">
        <v>16</v>
      </c>
      <c r="U22" s="96" t="s">
        <v>11</v>
      </c>
      <c r="V22" s="96" t="s">
        <v>17</v>
      </c>
      <c r="W22" s="96" t="s">
        <v>18</v>
      </c>
      <c r="X22" s="96" t="s">
        <v>64</v>
      </c>
      <c r="Y22" s="96" t="s">
        <v>66</v>
      </c>
      <c r="Z22" s="105"/>
    </row>
    <row r="23" ht="15.75" customHeight="1">
      <c r="A23" s="94">
        <v>23.0</v>
      </c>
      <c r="B23" s="106" t="s">
        <v>113</v>
      </c>
      <c r="C23" s="96" t="s">
        <v>1</v>
      </c>
      <c r="D23" s="96" t="s">
        <v>40</v>
      </c>
      <c r="E23" s="96" t="s">
        <v>6</v>
      </c>
      <c r="F23" s="96" t="s">
        <v>19</v>
      </c>
      <c r="G23" s="96" t="s">
        <v>25</v>
      </c>
      <c r="H23" s="96" t="s">
        <v>9</v>
      </c>
      <c r="I23" s="96" t="s">
        <v>20</v>
      </c>
      <c r="J23" s="96" t="s">
        <v>48</v>
      </c>
      <c r="K23" s="96" t="s">
        <v>49</v>
      </c>
      <c r="L23" s="96" t="s">
        <v>52</v>
      </c>
      <c r="M23" s="101"/>
      <c r="N23" s="96" t="s">
        <v>10</v>
      </c>
      <c r="O23" s="96" t="s">
        <v>55</v>
      </c>
      <c r="P23" s="96" t="s">
        <v>21</v>
      </c>
      <c r="Q23" s="96" t="s">
        <v>13</v>
      </c>
      <c r="R23" s="96" t="s">
        <v>14</v>
      </c>
      <c r="S23" s="96" t="s">
        <v>15</v>
      </c>
      <c r="T23" s="96" t="s">
        <v>16</v>
      </c>
      <c r="U23" s="96" t="s">
        <v>11</v>
      </c>
      <c r="V23" s="96" t="s">
        <v>17</v>
      </c>
      <c r="W23" s="96" t="s">
        <v>18</v>
      </c>
      <c r="X23" s="96" t="s">
        <v>64</v>
      </c>
      <c r="Y23" s="96" t="s">
        <v>66</v>
      </c>
      <c r="Z23" s="105"/>
    </row>
    <row r="24" ht="15.75" customHeight="1">
      <c r="A24" s="148">
        <v>24.0</v>
      </c>
      <c r="B24" s="149" t="s">
        <v>121</v>
      </c>
      <c r="C24" s="150" t="s">
        <v>1</v>
      </c>
      <c r="D24" s="150" t="s">
        <v>40</v>
      </c>
      <c r="E24" s="150" t="s">
        <v>6</v>
      </c>
      <c r="F24" s="150" t="s">
        <v>19</v>
      </c>
      <c r="G24" s="150" t="s">
        <v>25</v>
      </c>
      <c r="H24" s="150" t="s">
        <v>9</v>
      </c>
      <c r="I24" s="150" t="s">
        <v>20</v>
      </c>
      <c r="J24" s="150" t="s">
        <v>48</v>
      </c>
      <c r="K24" s="150" t="s">
        <v>49</v>
      </c>
      <c r="L24" s="150" t="s">
        <v>52</v>
      </c>
      <c r="M24" s="151"/>
      <c r="N24" s="150" t="s">
        <v>10</v>
      </c>
      <c r="O24" s="150" t="s">
        <v>55</v>
      </c>
      <c r="P24" s="150" t="s">
        <v>21</v>
      </c>
      <c r="Q24" s="150" t="s">
        <v>13</v>
      </c>
      <c r="R24" s="150" t="s">
        <v>14</v>
      </c>
      <c r="S24" s="150" t="s">
        <v>15</v>
      </c>
      <c r="T24" s="150" t="s">
        <v>16</v>
      </c>
      <c r="U24" s="150" t="s">
        <v>11</v>
      </c>
      <c r="V24" s="150" t="s">
        <v>17</v>
      </c>
      <c r="W24" s="150" t="s">
        <v>18</v>
      </c>
      <c r="X24" s="150" t="s">
        <v>64</v>
      </c>
      <c r="Y24" s="150" t="s">
        <v>66</v>
      </c>
      <c r="Z24" s="152"/>
    </row>
    <row r="25" ht="15.75" customHeight="1">
      <c r="A25" s="148">
        <v>25.0</v>
      </c>
      <c r="B25" s="149" t="s">
        <v>121</v>
      </c>
      <c r="C25" s="150" t="s">
        <v>1</v>
      </c>
      <c r="D25" s="150" t="s">
        <v>40</v>
      </c>
      <c r="E25" s="150" t="s">
        <v>6</v>
      </c>
      <c r="F25" s="150" t="s">
        <v>19</v>
      </c>
      <c r="G25" s="150" t="s">
        <v>25</v>
      </c>
      <c r="H25" s="150" t="s">
        <v>9</v>
      </c>
      <c r="I25" s="150" t="s">
        <v>20</v>
      </c>
      <c r="J25" s="150" t="s">
        <v>48</v>
      </c>
      <c r="K25" s="150" t="s">
        <v>49</v>
      </c>
      <c r="L25" s="150" t="s">
        <v>52</v>
      </c>
      <c r="M25" s="151"/>
      <c r="N25" s="150" t="s">
        <v>10</v>
      </c>
      <c r="O25" s="150" t="s">
        <v>55</v>
      </c>
      <c r="P25" s="150" t="s">
        <v>21</v>
      </c>
      <c r="Q25" s="150" t="s">
        <v>13</v>
      </c>
      <c r="R25" s="150" t="s">
        <v>14</v>
      </c>
      <c r="S25" s="150" t="s">
        <v>15</v>
      </c>
      <c r="T25" s="150" t="s">
        <v>16</v>
      </c>
      <c r="U25" s="150" t="s">
        <v>11</v>
      </c>
      <c r="V25" s="150" t="s">
        <v>17</v>
      </c>
      <c r="W25" s="150" t="s">
        <v>18</v>
      </c>
      <c r="X25" s="150" t="s">
        <v>64</v>
      </c>
      <c r="Y25" s="150" t="s">
        <v>66</v>
      </c>
      <c r="Z25" s="152"/>
    </row>
    <row r="26" ht="15.75" customHeight="1">
      <c r="A26" s="148">
        <v>26.0</v>
      </c>
      <c r="B26" s="149" t="s">
        <v>121</v>
      </c>
      <c r="C26" s="150" t="s">
        <v>1</v>
      </c>
      <c r="D26" s="150" t="s">
        <v>40</v>
      </c>
      <c r="E26" s="150" t="s">
        <v>6</v>
      </c>
      <c r="F26" s="150" t="s">
        <v>19</v>
      </c>
      <c r="G26" s="150" t="s">
        <v>25</v>
      </c>
      <c r="H26" s="150" t="s">
        <v>9</v>
      </c>
      <c r="I26" s="150" t="s">
        <v>20</v>
      </c>
      <c r="J26" s="150" t="s">
        <v>48</v>
      </c>
      <c r="K26" s="150" t="s">
        <v>49</v>
      </c>
      <c r="L26" s="150" t="s">
        <v>52</v>
      </c>
      <c r="M26" s="151"/>
      <c r="N26" s="150" t="s">
        <v>10</v>
      </c>
      <c r="O26" s="150" t="s">
        <v>55</v>
      </c>
      <c r="P26" s="150" t="s">
        <v>21</v>
      </c>
      <c r="Q26" s="150" t="s">
        <v>13</v>
      </c>
      <c r="R26" s="150" t="s">
        <v>14</v>
      </c>
      <c r="S26" s="150" t="s">
        <v>15</v>
      </c>
      <c r="T26" s="150" t="s">
        <v>16</v>
      </c>
      <c r="U26" s="150" t="s">
        <v>11</v>
      </c>
      <c r="V26" s="150" t="s">
        <v>17</v>
      </c>
      <c r="W26" s="150" t="s">
        <v>18</v>
      </c>
      <c r="X26" s="150" t="s">
        <v>64</v>
      </c>
      <c r="Y26" s="150" t="s">
        <v>66</v>
      </c>
      <c r="Z26" s="152"/>
    </row>
    <row r="27" ht="15.75" customHeight="1">
      <c r="A27" s="94">
        <v>27.0</v>
      </c>
      <c r="B27" s="106" t="s">
        <v>125</v>
      </c>
      <c r="C27" s="96" t="s">
        <v>1</v>
      </c>
      <c r="D27" s="96" t="s">
        <v>40</v>
      </c>
      <c r="E27" s="96" t="s">
        <v>6</v>
      </c>
      <c r="F27" s="96" t="s">
        <v>19</v>
      </c>
      <c r="G27" s="96" t="s">
        <v>25</v>
      </c>
      <c r="H27" s="96" t="s">
        <v>9</v>
      </c>
      <c r="I27" s="96" t="s">
        <v>20</v>
      </c>
      <c r="J27" s="96" t="s">
        <v>48</v>
      </c>
      <c r="K27" s="96" t="s">
        <v>49</v>
      </c>
      <c r="L27" s="96" t="s">
        <v>52</v>
      </c>
      <c r="M27" s="101"/>
      <c r="N27" s="96" t="s">
        <v>10</v>
      </c>
      <c r="O27" s="96" t="s">
        <v>55</v>
      </c>
      <c r="P27" s="96" t="s">
        <v>21</v>
      </c>
      <c r="Q27" s="96" t="s">
        <v>13</v>
      </c>
      <c r="R27" s="96" t="s">
        <v>14</v>
      </c>
      <c r="S27" s="96" t="s">
        <v>15</v>
      </c>
      <c r="T27" s="96" t="s">
        <v>16</v>
      </c>
      <c r="U27" s="96" t="s">
        <v>11</v>
      </c>
      <c r="V27" s="96" t="s">
        <v>17</v>
      </c>
      <c r="W27" s="96" t="s">
        <v>18</v>
      </c>
      <c r="X27" s="96" t="s">
        <v>64</v>
      </c>
      <c r="Y27" s="96" t="s">
        <v>66</v>
      </c>
      <c r="Z27" s="105"/>
    </row>
    <row r="28" ht="15.75" customHeight="1">
      <c r="A28" s="94">
        <v>28.0</v>
      </c>
      <c r="B28" s="106" t="s">
        <v>125</v>
      </c>
      <c r="C28" s="96" t="s">
        <v>1</v>
      </c>
      <c r="D28" s="96" t="s">
        <v>40</v>
      </c>
      <c r="E28" s="96" t="s">
        <v>6</v>
      </c>
      <c r="F28" s="96" t="s">
        <v>19</v>
      </c>
      <c r="G28" s="96" t="s">
        <v>25</v>
      </c>
      <c r="H28" s="96" t="s">
        <v>9</v>
      </c>
      <c r="I28" s="96" t="s">
        <v>20</v>
      </c>
      <c r="J28" s="96" t="s">
        <v>48</v>
      </c>
      <c r="K28" s="96" t="s">
        <v>49</v>
      </c>
      <c r="L28" s="96" t="s">
        <v>52</v>
      </c>
      <c r="M28" s="101"/>
      <c r="N28" s="96" t="s">
        <v>10</v>
      </c>
      <c r="O28" s="96" t="s">
        <v>55</v>
      </c>
      <c r="P28" s="96" t="s">
        <v>21</v>
      </c>
      <c r="Q28" s="96" t="s">
        <v>13</v>
      </c>
      <c r="R28" s="96" t="s">
        <v>14</v>
      </c>
      <c r="S28" s="96" t="s">
        <v>15</v>
      </c>
      <c r="T28" s="96" t="s">
        <v>16</v>
      </c>
      <c r="U28" s="96" t="s">
        <v>11</v>
      </c>
      <c r="V28" s="96" t="s">
        <v>17</v>
      </c>
      <c r="W28" s="96" t="s">
        <v>18</v>
      </c>
      <c r="X28" s="96" t="s">
        <v>64</v>
      </c>
      <c r="Y28" s="96" t="s">
        <v>66</v>
      </c>
      <c r="Z28" s="105"/>
    </row>
    <row r="29" ht="15.75" customHeight="1">
      <c r="A29" s="94">
        <v>29.0</v>
      </c>
      <c r="B29" s="106" t="s">
        <v>125</v>
      </c>
      <c r="C29" s="96" t="s">
        <v>1</v>
      </c>
      <c r="D29" s="96" t="s">
        <v>40</v>
      </c>
      <c r="E29" s="96" t="s">
        <v>6</v>
      </c>
      <c r="F29" s="96" t="s">
        <v>19</v>
      </c>
      <c r="G29" s="96" t="s">
        <v>25</v>
      </c>
      <c r="H29" s="96" t="s">
        <v>9</v>
      </c>
      <c r="I29" s="96" t="s">
        <v>20</v>
      </c>
      <c r="J29" s="96" t="s">
        <v>48</v>
      </c>
      <c r="K29" s="96" t="s">
        <v>49</v>
      </c>
      <c r="L29" s="96" t="s">
        <v>52</v>
      </c>
      <c r="M29" s="101"/>
      <c r="N29" s="96" t="s">
        <v>10</v>
      </c>
      <c r="O29" s="96" t="s">
        <v>55</v>
      </c>
      <c r="P29" s="96" t="s">
        <v>21</v>
      </c>
      <c r="Q29" s="96" t="s">
        <v>13</v>
      </c>
      <c r="R29" s="96" t="s">
        <v>14</v>
      </c>
      <c r="S29" s="96" t="s">
        <v>15</v>
      </c>
      <c r="T29" s="96" t="s">
        <v>16</v>
      </c>
      <c r="U29" s="96" t="s">
        <v>11</v>
      </c>
      <c r="V29" s="96" t="s">
        <v>17</v>
      </c>
      <c r="W29" s="96" t="s">
        <v>18</v>
      </c>
      <c r="X29" s="96" t="s">
        <v>64</v>
      </c>
      <c r="Y29" s="96" t="s">
        <v>66</v>
      </c>
      <c r="Z29" s="105"/>
    </row>
    <row r="30" ht="15.75" customHeight="1">
      <c r="A30" s="148">
        <v>30.0</v>
      </c>
      <c r="B30" s="149" t="s">
        <v>137</v>
      </c>
      <c r="C30" s="150" t="s">
        <v>1</v>
      </c>
      <c r="D30" s="150" t="s">
        <v>40</v>
      </c>
      <c r="E30" s="150" t="s">
        <v>6</v>
      </c>
      <c r="F30" s="150" t="s">
        <v>19</v>
      </c>
      <c r="G30" s="150" t="s">
        <v>25</v>
      </c>
      <c r="H30" s="150" t="s">
        <v>9</v>
      </c>
      <c r="I30" s="150" t="s">
        <v>20</v>
      </c>
      <c r="J30" s="150" t="s">
        <v>48</v>
      </c>
      <c r="K30" s="150" t="s">
        <v>49</v>
      </c>
      <c r="L30" s="150" t="s">
        <v>52</v>
      </c>
      <c r="M30" s="151"/>
      <c r="N30" s="150" t="s">
        <v>10</v>
      </c>
      <c r="O30" s="150" t="s">
        <v>55</v>
      </c>
      <c r="P30" s="150" t="s">
        <v>21</v>
      </c>
      <c r="Q30" s="150" t="s">
        <v>13</v>
      </c>
      <c r="R30" s="150" t="s">
        <v>14</v>
      </c>
      <c r="S30" s="150" t="s">
        <v>15</v>
      </c>
      <c r="T30" s="150" t="s">
        <v>16</v>
      </c>
      <c r="U30" s="150" t="s">
        <v>11</v>
      </c>
      <c r="V30" s="150" t="s">
        <v>17</v>
      </c>
      <c r="W30" s="150" t="s">
        <v>18</v>
      </c>
      <c r="X30" s="150" t="s">
        <v>64</v>
      </c>
      <c r="Y30" s="150" t="s">
        <v>66</v>
      </c>
      <c r="Z30" s="152"/>
    </row>
    <row r="31" ht="15.75" customHeight="1">
      <c r="A31" s="148">
        <v>31.0</v>
      </c>
      <c r="B31" s="149" t="s">
        <v>137</v>
      </c>
      <c r="C31" s="150" t="s">
        <v>1</v>
      </c>
      <c r="D31" s="150" t="s">
        <v>40</v>
      </c>
      <c r="E31" s="150" t="s">
        <v>6</v>
      </c>
      <c r="F31" s="150" t="s">
        <v>19</v>
      </c>
      <c r="G31" s="150" t="s">
        <v>25</v>
      </c>
      <c r="H31" s="150" t="s">
        <v>9</v>
      </c>
      <c r="I31" s="150" t="s">
        <v>20</v>
      </c>
      <c r="J31" s="150" t="s">
        <v>48</v>
      </c>
      <c r="K31" s="150" t="s">
        <v>49</v>
      </c>
      <c r="L31" s="150" t="s">
        <v>52</v>
      </c>
      <c r="M31" s="151"/>
      <c r="N31" s="150" t="s">
        <v>10</v>
      </c>
      <c r="O31" s="150" t="s">
        <v>55</v>
      </c>
      <c r="P31" s="150" t="s">
        <v>21</v>
      </c>
      <c r="Q31" s="150" t="s">
        <v>13</v>
      </c>
      <c r="R31" s="150" t="s">
        <v>14</v>
      </c>
      <c r="S31" s="150" t="s">
        <v>15</v>
      </c>
      <c r="T31" s="150" t="s">
        <v>16</v>
      </c>
      <c r="U31" s="150" t="s">
        <v>11</v>
      </c>
      <c r="V31" s="150" t="s">
        <v>17</v>
      </c>
      <c r="W31" s="150" t="s">
        <v>18</v>
      </c>
      <c r="X31" s="150" t="s">
        <v>64</v>
      </c>
      <c r="Y31" s="150" t="s">
        <v>66</v>
      </c>
      <c r="Z31" s="152"/>
    </row>
    <row r="32" ht="15.75" customHeight="1">
      <c r="A32" s="148">
        <v>32.0</v>
      </c>
      <c r="B32" s="149" t="s">
        <v>137</v>
      </c>
      <c r="C32" s="150" t="s">
        <v>1</v>
      </c>
      <c r="D32" s="150" t="s">
        <v>40</v>
      </c>
      <c r="E32" s="150" t="s">
        <v>6</v>
      </c>
      <c r="F32" s="150" t="s">
        <v>19</v>
      </c>
      <c r="G32" s="150" t="s">
        <v>25</v>
      </c>
      <c r="H32" s="150" t="s">
        <v>9</v>
      </c>
      <c r="I32" s="150" t="s">
        <v>20</v>
      </c>
      <c r="J32" s="150" t="s">
        <v>48</v>
      </c>
      <c r="K32" s="150" t="s">
        <v>49</v>
      </c>
      <c r="L32" s="150" t="s">
        <v>52</v>
      </c>
      <c r="M32" s="151"/>
      <c r="N32" s="150" t="s">
        <v>10</v>
      </c>
      <c r="O32" s="150" t="s">
        <v>55</v>
      </c>
      <c r="P32" s="150" t="s">
        <v>21</v>
      </c>
      <c r="Q32" s="150" t="s">
        <v>13</v>
      </c>
      <c r="R32" s="150" t="s">
        <v>14</v>
      </c>
      <c r="S32" s="150" t="s">
        <v>15</v>
      </c>
      <c r="T32" s="150" t="s">
        <v>16</v>
      </c>
      <c r="U32" s="150" t="s">
        <v>11</v>
      </c>
      <c r="V32" s="150" t="s">
        <v>17</v>
      </c>
      <c r="W32" s="150" t="s">
        <v>18</v>
      </c>
      <c r="X32" s="150" t="s">
        <v>64</v>
      </c>
      <c r="Y32" s="150" t="s">
        <v>66</v>
      </c>
      <c r="Z32" s="152"/>
    </row>
    <row r="33" ht="15.75" customHeight="1">
      <c r="A33" s="94">
        <v>33.0</v>
      </c>
      <c r="B33" s="106" t="s">
        <v>138</v>
      </c>
      <c r="C33" s="96" t="s">
        <v>1</v>
      </c>
      <c r="D33" s="96" t="s">
        <v>40</v>
      </c>
      <c r="E33" s="96" t="s">
        <v>6</v>
      </c>
      <c r="F33" s="96" t="s">
        <v>19</v>
      </c>
      <c r="G33" s="96" t="s">
        <v>25</v>
      </c>
      <c r="H33" s="96" t="s">
        <v>9</v>
      </c>
      <c r="I33" s="96" t="s">
        <v>20</v>
      </c>
      <c r="J33" s="96" t="s">
        <v>48</v>
      </c>
      <c r="K33" s="96" t="s">
        <v>49</v>
      </c>
      <c r="L33" s="96" t="s">
        <v>52</v>
      </c>
      <c r="M33" s="101"/>
      <c r="N33" s="96" t="s">
        <v>10</v>
      </c>
      <c r="O33" s="96" t="s">
        <v>55</v>
      </c>
      <c r="P33" s="96" t="s">
        <v>21</v>
      </c>
      <c r="Q33" s="96" t="s">
        <v>13</v>
      </c>
      <c r="R33" s="96" t="s">
        <v>14</v>
      </c>
      <c r="S33" s="96" t="s">
        <v>15</v>
      </c>
      <c r="T33" s="96" t="s">
        <v>16</v>
      </c>
      <c r="U33" s="96" t="s">
        <v>11</v>
      </c>
      <c r="V33" s="96" t="s">
        <v>17</v>
      </c>
      <c r="W33" s="96" t="s">
        <v>18</v>
      </c>
      <c r="X33" s="96" t="s">
        <v>64</v>
      </c>
      <c r="Y33" s="96" t="s">
        <v>66</v>
      </c>
      <c r="Z33" s="105"/>
    </row>
    <row r="34" ht="15.75" customHeight="1">
      <c r="A34" s="94">
        <v>34.0</v>
      </c>
      <c r="B34" s="106" t="s">
        <v>138</v>
      </c>
      <c r="C34" s="96" t="s">
        <v>1</v>
      </c>
      <c r="D34" s="96" t="s">
        <v>40</v>
      </c>
      <c r="E34" s="96" t="s">
        <v>6</v>
      </c>
      <c r="F34" s="96" t="s">
        <v>19</v>
      </c>
      <c r="G34" s="96" t="s">
        <v>25</v>
      </c>
      <c r="H34" s="96" t="s">
        <v>9</v>
      </c>
      <c r="I34" s="96" t="s">
        <v>20</v>
      </c>
      <c r="J34" s="96" t="s">
        <v>48</v>
      </c>
      <c r="K34" s="96" t="s">
        <v>49</v>
      </c>
      <c r="L34" s="96" t="s">
        <v>52</v>
      </c>
      <c r="M34" s="101"/>
      <c r="N34" s="96" t="s">
        <v>10</v>
      </c>
      <c r="O34" s="96" t="s">
        <v>55</v>
      </c>
      <c r="P34" s="96" t="s">
        <v>21</v>
      </c>
      <c r="Q34" s="96" t="s">
        <v>13</v>
      </c>
      <c r="R34" s="96" t="s">
        <v>14</v>
      </c>
      <c r="S34" s="96" t="s">
        <v>15</v>
      </c>
      <c r="T34" s="96" t="s">
        <v>16</v>
      </c>
      <c r="U34" s="96" t="s">
        <v>11</v>
      </c>
      <c r="V34" s="96" t="s">
        <v>17</v>
      </c>
      <c r="W34" s="96" t="s">
        <v>18</v>
      </c>
      <c r="X34" s="96" t="s">
        <v>64</v>
      </c>
      <c r="Y34" s="96" t="s">
        <v>66</v>
      </c>
      <c r="Z34" s="105"/>
    </row>
    <row r="35" ht="15.75" customHeight="1">
      <c r="A35" s="94">
        <v>35.0</v>
      </c>
      <c r="B35" s="106" t="s">
        <v>138</v>
      </c>
      <c r="C35" s="96" t="s">
        <v>1</v>
      </c>
      <c r="D35" s="96" t="s">
        <v>40</v>
      </c>
      <c r="E35" s="96" t="s">
        <v>6</v>
      </c>
      <c r="F35" s="96" t="s">
        <v>19</v>
      </c>
      <c r="G35" s="96" t="s">
        <v>25</v>
      </c>
      <c r="H35" s="96" t="s">
        <v>9</v>
      </c>
      <c r="I35" s="96" t="s">
        <v>20</v>
      </c>
      <c r="J35" s="96" t="s">
        <v>48</v>
      </c>
      <c r="K35" s="96" t="s">
        <v>49</v>
      </c>
      <c r="L35" s="96" t="s">
        <v>52</v>
      </c>
      <c r="M35" s="101"/>
      <c r="N35" s="96" t="s">
        <v>10</v>
      </c>
      <c r="O35" s="96" t="s">
        <v>55</v>
      </c>
      <c r="P35" s="96" t="s">
        <v>21</v>
      </c>
      <c r="Q35" s="96" t="s">
        <v>13</v>
      </c>
      <c r="R35" s="96" t="s">
        <v>14</v>
      </c>
      <c r="S35" s="96" t="s">
        <v>15</v>
      </c>
      <c r="T35" s="96" t="s">
        <v>16</v>
      </c>
      <c r="U35" s="96" t="s">
        <v>11</v>
      </c>
      <c r="V35" s="96" t="s">
        <v>17</v>
      </c>
      <c r="W35" s="96" t="s">
        <v>18</v>
      </c>
      <c r="X35" s="96" t="s">
        <v>64</v>
      </c>
      <c r="Y35" s="96" t="s">
        <v>66</v>
      </c>
      <c r="Z35" s="105"/>
    </row>
    <row r="36" ht="15.75" customHeight="1">
      <c r="A36" s="183">
        <v>36.0</v>
      </c>
      <c r="B36" s="184" t="s">
        <v>139</v>
      </c>
      <c r="C36" s="186"/>
      <c r="D36" s="186"/>
      <c r="E36" s="186"/>
      <c r="F36" s="186"/>
      <c r="G36" s="186"/>
      <c r="H36" s="186"/>
      <c r="I36" s="186"/>
      <c r="J36" s="186"/>
      <c r="K36" s="186"/>
      <c r="L36" s="186"/>
      <c r="M36" s="187"/>
      <c r="N36" s="188" t="s">
        <v>64</v>
      </c>
      <c r="O36" s="188" t="s">
        <v>66</v>
      </c>
      <c r="P36" s="188" t="s">
        <v>14</v>
      </c>
      <c r="Q36" s="189"/>
      <c r="R36" s="189"/>
      <c r="S36" s="189"/>
      <c r="T36" s="189"/>
      <c r="U36" s="189"/>
      <c r="V36" s="189"/>
      <c r="W36" s="189"/>
      <c r="X36" s="189"/>
      <c r="Y36" s="189"/>
      <c r="Z36" s="186"/>
    </row>
    <row r="37" ht="15.75" customHeight="1">
      <c r="A37" s="63">
        <v>37.0</v>
      </c>
      <c r="B37" s="190" t="s">
        <v>140</v>
      </c>
      <c r="C37" s="73" t="s">
        <v>1</v>
      </c>
      <c r="D37" s="73" t="s">
        <v>40</v>
      </c>
      <c r="E37" s="73" t="s">
        <v>6</v>
      </c>
      <c r="F37" s="73" t="s">
        <v>19</v>
      </c>
      <c r="G37" s="73" t="s">
        <v>25</v>
      </c>
      <c r="H37" s="73" t="s">
        <v>9</v>
      </c>
      <c r="I37" s="73" t="s">
        <v>20</v>
      </c>
      <c r="J37" s="73" t="s">
        <v>48</v>
      </c>
      <c r="K37" s="73" t="s">
        <v>49</v>
      </c>
      <c r="L37" s="73" t="s">
        <v>52</v>
      </c>
      <c r="M37" s="87"/>
      <c r="N37" s="73" t="s">
        <v>10</v>
      </c>
      <c r="O37" s="73" t="s">
        <v>55</v>
      </c>
      <c r="P37" s="73" t="s">
        <v>21</v>
      </c>
      <c r="Q37" s="73" t="s">
        <v>13</v>
      </c>
      <c r="R37" s="73" t="s">
        <v>14</v>
      </c>
      <c r="S37" s="96" t="s">
        <v>15</v>
      </c>
      <c r="T37" s="96" t="s">
        <v>16</v>
      </c>
      <c r="U37" s="73" t="s">
        <v>11</v>
      </c>
      <c r="V37" s="73" t="s">
        <v>17</v>
      </c>
      <c r="W37" s="73" t="s">
        <v>18</v>
      </c>
      <c r="X37" s="73" t="s">
        <v>64</v>
      </c>
      <c r="Y37" s="73" t="s">
        <v>66</v>
      </c>
      <c r="Z37" s="93"/>
    </row>
    <row r="38" ht="15.75" customHeight="1">
      <c r="A38" s="94">
        <v>38.0</v>
      </c>
      <c r="B38" s="106" t="s">
        <v>140</v>
      </c>
      <c r="C38" s="96" t="s">
        <v>1</v>
      </c>
      <c r="D38" s="96" t="s">
        <v>40</v>
      </c>
      <c r="E38" s="96" t="s">
        <v>6</v>
      </c>
      <c r="F38" s="96" t="s">
        <v>19</v>
      </c>
      <c r="G38" s="96" t="s">
        <v>25</v>
      </c>
      <c r="H38" s="96" t="s">
        <v>9</v>
      </c>
      <c r="I38" s="96" t="s">
        <v>20</v>
      </c>
      <c r="J38" s="96" t="s">
        <v>48</v>
      </c>
      <c r="K38" s="96" t="s">
        <v>49</v>
      </c>
      <c r="L38" s="96" t="s">
        <v>52</v>
      </c>
      <c r="M38" s="101"/>
      <c r="N38" s="96" t="s">
        <v>10</v>
      </c>
      <c r="O38" s="96" t="s">
        <v>55</v>
      </c>
      <c r="P38" s="96" t="s">
        <v>21</v>
      </c>
      <c r="Q38" s="96" t="s">
        <v>13</v>
      </c>
      <c r="R38" s="96" t="s">
        <v>14</v>
      </c>
      <c r="S38" s="96" t="s">
        <v>15</v>
      </c>
      <c r="T38" s="96" t="s">
        <v>16</v>
      </c>
      <c r="U38" s="96" t="s">
        <v>11</v>
      </c>
      <c r="V38" s="96" t="s">
        <v>17</v>
      </c>
      <c r="W38" s="96" t="s">
        <v>18</v>
      </c>
      <c r="X38" s="96" t="s">
        <v>64</v>
      </c>
      <c r="Y38" s="96" t="s">
        <v>66</v>
      </c>
      <c r="Z38" s="105"/>
    </row>
    <row r="39" ht="15.75" customHeight="1">
      <c r="A39" s="94">
        <v>39.0</v>
      </c>
      <c r="B39" s="106" t="s">
        <v>140</v>
      </c>
      <c r="C39" s="96" t="s">
        <v>1</v>
      </c>
      <c r="D39" s="96" t="s">
        <v>40</v>
      </c>
      <c r="E39" s="96" t="s">
        <v>6</v>
      </c>
      <c r="F39" s="96" t="s">
        <v>19</v>
      </c>
      <c r="G39" s="96" t="s">
        <v>25</v>
      </c>
      <c r="H39" s="96" t="s">
        <v>9</v>
      </c>
      <c r="I39" s="96" t="s">
        <v>20</v>
      </c>
      <c r="J39" s="96" t="s">
        <v>48</v>
      </c>
      <c r="K39" s="96" t="s">
        <v>49</v>
      </c>
      <c r="L39" s="96" t="s">
        <v>52</v>
      </c>
      <c r="M39" s="101"/>
      <c r="N39" s="96" t="s">
        <v>10</v>
      </c>
      <c r="O39" s="96" t="s">
        <v>55</v>
      </c>
      <c r="P39" s="96" t="s">
        <v>21</v>
      </c>
      <c r="Q39" s="96" t="s">
        <v>13</v>
      </c>
      <c r="R39" s="96" t="s">
        <v>14</v>
      </c>
      <c r="S39" s="96" t="s">
        <v>15</v>
      </c>
      <c r="T39" s="96" t="s">
        <v>16</v>
      </c>
      <c r="U39" s="96" t="s">
        <v>11</v>
      </c>
      <c r="V39" s="96" t="s">
        <v>17</v>
      </c>
      <c r="W39" s="96" t="s">
        <v>18</v>
      </c>
      <c r="X39" s="96" t="s">
        <v>64</v>
      </c>
      <c r="Y39" s="96" t="s">
        <v>66</v>
      </c>
      <c r="Z39" s="105"/>
    </row>
    <row r="40" ht="15.75" customHeight="1">
      <c r="A40" s="111">
        <v>40.0</v>
      </c>
      <c r="B40" s="113" t="s">
        <v>141</v>
      </c>
      <c r="C40" s="114" t="s">
        <v>1</v>
      </c>
      <c r="D40" s="114" t="s">
        <v>40</v>
      </c>
      <c r="E40" s="114" t="s">
        <v>6</v>
      </c>
      <c r="F40" s="114" t="s">
        <v>19</v>
      </c>
      <c r="G40" s="114" t="s">
        <v>25</v>
      </c>
      <c r="H40" s="114" t="s">
        <v>9</v>
      </c>
      <c r="I40" s="114" t="s">
        <v>20</v>
      </c>
      <c r="J40" s="114" t="s">
        <v>48</v>
      </c>
      <c r="K40" s="114" t="s">
        <v>49</v>
      </c>
      <c r="L40" s="114" t="s">
        <v>52</v>
      </c>
      <c r="M40" s="120"/>
      <c r="N40" s="114" t="s">
        <v>10</v>
      </c>
      <c r="O40" s="114" t="s">
        <v>55</v>
      </c>
      <c r="P40" s="114" t="s">
        <v>21</v>
      </c>
      <c r="Q40" s="114" t="s">
        <v>13</v>
      </c>
      <c r="R40" s="114" t="s">
        <v>14</v>
      </c>
      <c r="S40" s="114" t="s">
        <v>15</v>
      </c>
      <c r="T40" s="114" t="s">
        <v>16</v>
      </c>
      <c r="U40" s="114" t="s">
        <v>11</v>
      </c>
      <c r="V40" s="114" t="s">
        <v>17</v>
      </c>
      <c r="W40" s="114" t="s">
        <v>18</v>
      </c>
      <c r="X40" s="114" t="s">
        <v>64</v>
      </c>
      <c r="Y40" s="114" t="s">
        <v>66</v>
      </c>
      <c r="Z40" s="130"/>
    </row>
    <row r="41" ht="15.75" customHeight="1">
      <c r="A41" s="111">
        <v>41.0</v>
      </c>
      <c r="B41" s="113" t="s">
        <v>141</v>
      </c>
      <c r="C41" s="114" t="s">
        <v>1</v>
      </c>
      <c r="D41" s="114" t="s">
        <v>40</v>
      </c>
      <c r="E41" s="114" t="s">
        <v>6</v>
      </c>
      <c r="F41" s="114" t="s">
        <v>19</v>
      </c>
      <c r="G41" s="114" t="s">
        <v>25</v>
      </c>
      <c r="H41" s="114" t="s">
        <v>9</v>
      </c>
      <c r="I41" s="114" t="s">
        <v>20</v>
      </c>
      <c r="J41" s="114" t="s">
        <v>48</v>
      </c>
      <c r="K41" s="114" t="s">
        <v>49</v>
      </c>
      <c r="L41" s="114" t="s">
        <v>52</v>
      </c>
      <c r="M41" s="120"/>
      <c r="N41" s="114" t="s">
        <v>10</v>
      </c>
      <c r="O41" s="114" t="s">
        <v>55</v>
      </c>
      <c r="P41" s="114" t="s">
        <v>21</v>
      </c>
      <c r="Q41" s="114" t="s">
        <v>13</v>
      </c>
      <c r="R41" s="114" t="s">
        <v>14</v>
      </c>
      <c r="S41" s="114" t="s">
        <v>15</v>
      </c>
      <c r="T41" s="114" t="s">
        <v>16</v>
      </c>
      <c r="U41" s="114" t="s">
        <v>11</v>
      </c>
      <c r="V41" s="114" t="s">
        <v>17</v>
      </c>
      <c r="W41" s="114" t="s">
        <v>18</v>
      </c>
      <c r="X41" s="114" t="s">
        <v>64</v>
      </c>
      <c r="Y41" s="114" t="s">
        <v>66</v>
      </c>
      <c r="Z41" s="130"/>
    </row>
    <row r="42" ht="15.75" customHeight="1">
      <c r="A42" s="111">
        <v>42.0</v>
      </c>
      <c r="B42" s="113" t="s">
        <v>141</v>
      </c>
      <c r="C42" s="114" t="s">
        <v>1</v>
      </c>
      <c r="D42" s="114" t="s">
        <v>40</v>
      </c>
      <c r="E42" s="114" t="s">
        <v>6</v>
      </c>
      <c r="F42" s="114" t="s">
        <v>19</v>
      </c>
      <c r="G42" s="114" t="s">
        <v>25</v>
      </c>
      <c r="H42" s="114" t="s">
        <v>9</v>
      </c>
      <c r="I42" s="114" t="s">
        <v>20</v>
      </c>
      <c r="J42" s="114" t="s">
        <v>48</v>
      </c>
      <c r="K42" s="114" t="s">
        <v>49</v>
      </c>
      <c r="L42" s="114" t="s">
        <v>52</v>
      </c>
      <c r="M42" s="120"/>
      <c r="N42" s="114" t="s">
        <v>10</v>
      </c>
      <c r="O42" s="114" t="s">
        <v>55</v>
      </c>
      <c r="P42" s="114" t="s">
        <v>21</v>
      </c>
      <c r="Q42" s="114" t="s">
        <v>13</v>
      </c>
      <c r="R42" s="114" t="s">
        <v>14</v>
      </c>
      <c r="S42" s="114" t="s">
        <v>15</v>
      </c>
      <c r="T42" s="114" t="s">
        <v>16</v>
      </c>
      <c r="U42" s="114" t="s">
        <v>11</v>
      </c>
      <c r="V42" s="114" t="s">
        <v>17</v>
      </c>
      <c r="W42" s="114" t="s">
        <v>18</v>
      </c>
      <c r="X42" s="114" t="s">
        <v>64</v>
      </c>
      <c r="Y42" s="114" t="s">
        <v>66</v>
      </c>
      <c r="Z42" s="130"/>
    </row>
    <row r="43" ht="15.75" customHeight="1">
      <c r="A43" s="94">
        <v>43.0</v>
      </c>
      <c r="B43" s="106" t="s">
        <v>147</v>
      </c>
      <c r="C43" s="96" t="s">
        <v>1</v>
      </c>
      <c r="D43" s="96" t="s">
        <v>40</v>
      </c>
      <c r="E43" s="96" t="s">
        <v>6</v>
      </c>
      <c r="F43" s="96" t="s">
        <v>19</v>
      </c>
      <c r="G43" s="96" t="s">
        <v>25</v>
      </c>
      <c r="H43" s="96" t="s">
        <v>9</v>
      </c>
      <c r="I43" s="96" t="s">
        <v>20</v>
      </c>
      <c r="J43" s="96" t="s">
        <v>48</v>
      </c>
      <c r="K43" s="96" t="s">
        <v>49</v>
      </c>
      <c r="L43" s="96" t="s">
        <v>52</v>
      </c>
      <c r="M43" s="101"/>
      <c r="N43" s="96" t="s">
        <v>10</v>
      </c>
      <c r="O43" s="96" t="s">
        <v>55</v>
      </c>
      <c r="P43" s="96" t="s">
        <v>21</v>
      </c>
      <c r="Q43" s="96" t="s">
        <v>13</v>
      </c>
      <c r="R43" s="96" t="s">
        <v>14</v>
      </c>
      <c r="S43" s="96" t="s">
        <v>15</v>
      </c>
      <c r="T43" s="96" t="s">
        <v>16</v>
      </c>
      <c r="U43" s="96" t="s">
        <v>11</v>
      </c>
      <c r="V43" s="96" t="s">
        <v>17</v>
      </c>
      <c r="W43" s="96" t="s">
        <v>18</v>
      </c>
      <c r="X43" s="96" t="s">
        <v>64</v>
      </c>
      <c r="Y43" s="96" t="s">
        <v>66</v>
      </c>
      <c r="Z43" s="105"/>
    </row>
    <row r="44" ht="15.75" customHeight="1">
      <c r="A44" s="94">
        <v>44.0</v>
      </c>
      <c r="B44" s="106" t="s">
        <v>147</v>
      </c>
      <c r="C44" s="96" t="s">
        <v>1</v>
      </c>
      <c r="D44" s="96" t="s">
        <v>40</v>
      </c>
      <c r="E44" s="96" t="s">
        <v>6</v>
      </c>
      <c r="F44" s="96" t="s">
        <v>19</v>
      </c>
      <c r="G44" s="96" t="s">
        <v>25</v>
      </c>
      <c r="H44" s="96" t="s">
        <v>9</v>
      </c>
      <c r="I44" s="96" t="s">
        <v>20</v>
      </c>
      <c r="J44" s="96" t="s">
        <v>48</v>
      </c>
      <c r="K44" s="96" t="s">
        <v>49</v>
      </c>
      <c r="L44" s="96" t="s">
        <v>52</v>
      </c>
      <c r="M44" s="101"/>
      <c r="N44" s="96" t="s">
        <v>10</v>
      </c>
      <c r="O44" s="96" t="s">
        <v>55</v>
      </c>
      <c r="P44" s="96" t="s">
        <v>21</v>
      </c>
      <c r="Q44" s="96" t="s">
        <v>13</v>
      </c>
      <c r="R44" s="96" t="s">
        <v>14</v>
      </c>
      <c r="S44" s="96" t="s">
        <v>15</v>
      </c>
      <c r="T44" s="96" t="s">
        <v>16</v>
      </c>
      <c r="U44" s="96" t="s">
        <v>11</v>
      </c>
      <c r="V44" s="96" t="s">
        <v>17</v>
      </c>
      <c r="W44" s="96" t="s">
        <v>18</v>
      </c>
      <c r="X44" s="96" t="s">
        <v>64</v>
      </c>
      <c r="Y44" s="96" t="s">
        <v>66</v>
      </c>
      <c r="Z44" s="105"/>
    </row>
    <row r="45" ht="15.75" customHeight="1">
      <c r="A45" s="94">
        <v>45.0</v>
      </c>
      <c r="B45" s="106" t="s">
        <v>147</v>
      </c>
      <c r="C45" s="96" t="s">
        <v>1</v>
      </c>
      <c r="D45" s="96" t="s">
        <v>40</v>
      </c>
      <c r="E45" s="96" t="s">
        <v>6</v>
      </c>
      <c r="F45" s="96" t="s">
        <v>19</v>
      </c>
      <c r="G45" s="96" t="s">
        <v>25</v>
      </c>
      <c r="H45" s="96" t="s">
        <v>9</v>
      </c>
      <c r="I45" s="96" t="s">
        <v>20</v>
      </c>
      <c r="J45" s="96" t="s">
        <v>48</v>
      </c>
      <c r="K45" s="96" t="s">
        <v>49</v>
      </c>
      <c r="L45" s="96" t="s">
        <v>52</v>
      </c>
      <c r="M45" s="101"/>
      <c r="N45" s="96" t="s">
        <v>10</v>
      </c>
      <c r="O45" s="96" t="s">
        <v>55</v>
      </c>
      <c r="P45" s="96" t="s">
        <v>21</v>
      </c>
      <c r="Q45" s="96" t="s">
        <v>13</v>
      </c>
      <c r="R45" s="96" t="s">
        <v>14</v>
      </c>
      <c r="S45" s="96" t="s">
        <v>15</v>
      </c>
      <c r="T45" s="96" t="s">
        <v>16</v>
      </c>
      <c r="U45" s="96" t="s">
        <v>11</v>
      </c>
      <c r="V45" s="96" t="s">
        <v>17</v>
      </c>
      <c r="W45" s="96" t="s">
        <v>18</v>
      </c>
      <c r="X45" s="96" t="s">
        <v>64</v>
      </c>
      <c r="Y45" s="96" t="s">
        <v>66</v>
      </c>
      <c r="Z45" s="105"/>
    </row>
    <row r="46" ht="15.75" customHeight="1">
      <c r="A46" s="111">
        <v>46.0</v>
      </c>
      <c r="B46" s="113" t="s">
        <v>151</v>
      </c>
      <c r="C46" s="114" t="s">
        <v>1</v>
      </c>
      <c r="D46" s="114" t="s">
        <v>40</v>
      </c>
      <c r="E46" s="114" t="s">
        <v>6</v>
      </c>
      <c r="F46" s="114" t="s">
        <v>19</v>
      </c>
      <c r="G46" s="114" t="s">
        <v>25</v>
      </c>
      <c r="H46" s="114" t="s">
        <v>9</v>
      </c>
      <c r="I46" s="114" t="s">
        <v>20</v>
      </c>
      <c r="J46" s="114" t="s">
        <v>48</v>
      </c>
      <c r="K46" s="114" t="s">
        <v>49</v>
      </c>
      <c r="L46" s="114" t="s">
        <v>52</v>
      </c>
      <c r="M46" s="120"/>
      <c r="N46" s="114" t="s">
        <v>10</v>
      </c>
      <c r="O46" s="114" t="s">
        <v>55</v>
      </c>
      <c r="P46" s="114" t="s">
        <v>21</v>
      </c>
      <c r="Q46" s="114" t="s">
        <v>13</v>
      </c>
      <c r="R46" s="114" t="s">
        <v>14</v>
      </c>
      <c r="S46" s="114" t="s">
        <v>15</v>
      </c>
      <c r="T46" s="114" t="s">
        <v>16</v>
      </c>
      <c r="U46" s="114" t="s">
        <v>11</v>
      </c>
      <c r="V46" s="114" t="s">
        <v>17</v>
      </c>
      <c r="W46" s="114" t="s">
        <v>18</v>
      </c>
      <c r="X46" s="114" t="s">
        <v>64</v>
      </c>
      <c r="Y46" s="114" t="s">
        <v>66</v>
      </c>
      <c r="Z46" s="130"/>
    </row>
    <row r="47" ht="15.75" customHeight="1">
      <c r="A47" s="111">
        <v>47.0</v>
      </c>
      <c r="B47" s="113" t="s">
        <v>151</v>
      </c>
      <c r="C47" s="114" t="s">
        <v>1</v>
      </c>
      <c r="D47" s="114" t="s">
        <v>40</v>
      </c>
      <c r="E47" s="114" t="s">
        <v>6</v>
      </c>
      <c r="F47" s="114" t="s">
        <v>19</v>
      </c>
      <c r="G47" s="114" t="s">
        <v>25</v>
      </c>
      <c r="H47" s="114" t="s">
        <v>9</v>
      </c>
      <c r="I47" s="114" t="s">
        <v>20</v>
      </c>
      <c r="J47" s="114" t="s">
        <v>48</v>
      </c>
      <c r="K47" s="114" t="s">
        <v>49</v>
      </c>
      <c r="L47" s="114" t="s">
        <v>52</v>
      </c>
      <c r="M47" s="120"/>
      <c r="N47" s="114" t="s">
        <v>10</v>
      </c>
      <c r="O47" s="114" t="s">
        <v>55</v>
      </c>
      <c r="P47" s="114" t="s">
        <v>21</v>
      </c>
      <c r="Q47" s="114" t="s">
        <v>13</v>
      </c>
      <c r="R47" s="114" t="s">
        <v>14</v>
      </c>
      <c r="S47" s="114" t="s">
        <v>15</v>
      </c>
      <c r="T47" s="114" t="s">
        <v>16</v>
      </c>
      <c r="U47" s="114" t="s">
        <v>11</v>
      </c>
      <c r="V47" s="114" t="s">
        <v>17</v>
      </c>
      <c r="W47" s="114" t="s">
        <v>18</v>
      </c>
      <c r="X47" s="114" t="s">
        <v>64</v>
      </c>
      <c r="Y47" s="114" t="s">
        <v>66</v>
      </c>
      <c r="Z47" s="130"/>
    </row>
    <row r="48" ht="15.75" customHeight="1">
      <c r="A48" s="111">
        <v>48.0</v>
      </c>
      <c r="B48" s="113" t="s">
        <v>151</v>
      </c>
      <c r="C48" s="114" t="s">
        <v>1</v>
      </c>
      <c r="D48" s="114" t="s">
        <v>40</v>
      </c>
      <c r="E48" s="114" t="s">
        <v>6</v>
      </c>
      <c r="F48" s="114" t="s">
        <v>19</v>
      </c>
      <c r="G48" s="114" t="s">
        <v>25</v>
      </c>
      <c r="H48" s="114" t="s">
        <v>9</v>
      </c>
      <c r="I48" s="114" t="s">
        <v>20</v>
      </c>
      <c r="J48" s="114" t="s">
        <v>48</v>
      </c>
      <c r="K48" s="114" t="s">
        <v>49</v>
      </c>
      <c r="L48" s="114" t="s">
        <v>52</v>
      </c>
      <c r="M48" s="120"/>
      <c r="N48" s="114" t="s">
        <v>10</v>
      </c>
      <c r="O48" s="114" t="s">
        <v>55</v>
      </c>
      <c r="P48" s="114" t="s">
        <v>21</v>
      </c>
      <c r="Q48" s="114" t="s">
        <v>13</v>
      </c>
      <c r="R48" s="114" t="s">
        <v>14</v>
      </c>
      <c r="S48" s="114" t="s">
        <v>15</v>
      </c>
      <c r="T48" s="114" t="s">
        <v>16</v>
      </c>
      <c r="U48" s="114" t="s">
        <v>11</v>
      </c>
      <c r="V48" s="114" t="s">
        <v>17</v>
      </c>
      <c r="W48" s="114" t="s">
        <v>18</v>
      </c>
      <c r="X48" s="114" t="s">
        <v>64</v>
      </c>
      <c r="Y48" s="114" t="s">
        <v>66</v>
      </c>
      <c r="Z48" s="130"/>
    </row>
    <row r="49" ht="15.75" customHeight="1">
      <c r="A49" s="94">
        <v>49.0</v>
      </c>
      <c r="B49" s="106" t="s">
        <v>154</v>
      </c>
      <c r="C49" s="96" t="s">
        <v>1</v>
      </c>
      <c r="D49" s="96" t="s">
        <v>40</v>
      </c>
      <c r="E49" s="96" t="s">
        <v>6</v>
      </c>
      <c r="F49" s="96" t="s">
        <v>19</v>
      </c>
      <c r="G49" s="96" t="s">
        <v>25</v>
      </c>
      <c r="H49" s="96" t="s">
        <v>9</v>
      </c>
      <c r="I49" s="96" t="s">
        <v>20</v>
      </c>
      <c r="J49" s="96" t="s">
        <v>48</v>
      </c>
      <c r="K49" s="96" t="s">
        <v>49</v>
      </c>
      <c r="L49" s="96" t="s">
        <v>52</v>
      </c>
      <c r="M49" s="101"/>
      <c r="N49" s="96" t="s">
        <v>10</v>
      </c>
      <c r="O49" s="96" t="s">
        <v>55</v>
      </c>
      <c r="P49" s="96" t="s">
        <v>21</v>
      </c>
      <c r="Q49" s="96" t="s">
        <v>13</v>
      </c>
      <c r="R49" s="96" t="s">
        <v>14</v>
      </c>
      <c r="S49" s="96" t="s">
        <v>15</v>
      </c>
      <c r="T49" s="96" t="s">
        <v>16</v>
      </c>
      <c r="U49" s="96" t="s">
        <v>11</v>
      </c>
      <c r="V49" s="96" t="s">
        <v>17</v>
      </c>
      <c r="W49" s="96" t="s">
        <v>18</v>
      </c>
      <c r="X49" s="96" t="s">
        <v>64</v>
      </c>
      <c r="Y49" s="96" t="s">
        <v>66</v>
      </c>
      <c r="Z49" s="105"/>
    </row>
    <row r="50" ht="15.75" customHeight="1">
      <c r="A50" s="94">
        <v>50.0</v>
      </c>
      <c r="B50" s="106" t="s">
        <v>154</v>
      </c>
      <c r="C50" s="96" t="s">
        <v>1</v>
      </c>
      <c r="D50" s="96" t="s">
        <v>40</v>
      </c>
      <c r="E50" s="96" t="s">
        <v>6</v>
      </c>
      <c r="F50" s="96" t="s">
        <v>19</v>
      </c>
      <c r="G50" s="96" t="s">
        <v>25</v>
      </c>
      <c r="H50" s="96" t="s">
        <v>9</v>
      </c>
      <c r="I50" s="96" t="s">
        <v>20</v>
      </c>
      <c r="J50" s="96" t="s">
        <v>48</v>
      </c>
      <c r="K50" s="96" t="s">
        <v>49</v>
      </c>
      <c r="L50" s="96" t="s">
        <v>52</v>
      </c>
      <c r="M50" s="101"/>
      <c r="N50" s="96" t="s">
        <v>10</v>
      </c>
      <c r="O50" s="96" t="s">
        <v>55</v>
      </c>
      <c r="P50" s="96" t="s">
        <v>21</v>
      </c>
      <c r="Q50" s="96" t="s">
        <v>13</v>
      </c>
      <c r="R50" s="96" t="s">
        <v>14</v>
      </c>
      <c r="S50" s="96" t="s">
        <v>15</v>
      </c>
      <c r="T50" s="96" t="s">
        <v>16</v>
      </c>
      <c r="U50" s="96" t="s">
        <v>11</v>
      </c>
      <c r="V50" s="96" t="s">
        <v>17</v>
      </c>
      <c r="W50" s="96" t="s">
        <v>18</v>
      </c>
      <c r="X50" s="96" t="s">
        <v>64</v>
      </c>
      <c r="Y50" s="96" t="s">
        <v>66</v>
      </c>
      <c r="Z50" s="105"/>
    </row>
    <row r="51" ht="15.75" customHeight="1">
      <c r="A51" s="94">
        <v>51.0</v>
      </c>
      <c r="B51" s="106" t="s">
        <v>154</v>
      </c>
      <c r="C51" s="96" t="s">
        <v>1</v>
      </c>
      <c r="D51" s="96" t="s">
        <v>40</v>
      </c>
      <c r="E51" s="96" t="s">
        <v>6</v>
      </c>
      <c r="F51" s="96" t="s">
        <v>19</v>
      </c>
      <c r="G51" s="96" t="s">
        <v>25</v>
      </c>
      <c r="H51" s="96" t="s">
        <v>9</v>
      </c>
      <c r="I51" s="96" t="s">
        <v>20</v>
      </c>
      <c r="J51" s="96" t="s">
        <v>48</v>
      </c>
      <c r="K51" s="96" t="s">
        <v>49</v>
      </c>
      <c r="L51" s="96" t="s">
        <v>52</v>
      </c>
      <c r="M51" s="101"/>
      <c r="N51" s="96" t="s">
        <v>10</v>
      </c>
      <c r="O51" s="96" t="s">
        <v>55</v>
      </c>
      <c r="P51" s="96" t="s">
        <v>21</v>
      </c>
      <c r="Q51" s="96" t="s">
        <v>13</v>
      </c>
      <c r="R51" s="96" t="s">
        <v>14</v>
      </c>
      <c r="S51" s="96" t="s">
        <v>15</v>
      </c>
      <c r="T51" s="96" t="s">
        <v>16</v>
      </c>
      <c r="U51" s="96" t="s">
        <v>11</v>
      </c>
      <c r="V51" s="96" t="s">
        <v>17</v>
      </c>
      <c r="W51" s="96" t="s">
        <v>18</v>
      </c>
      <c r="X51" s="96" t="s">
        <v>64</v>
      </c>
      <c r="Y51" s="96" t="s">
        <v>66</v>
      </c>
      <c r="Z51" s="105"/>
    </row>
    <row r="52" ht="15.75" customHeight="1">
      <c r="A52" s="140">
        <v>52.0</v>
      </c>
      <c r="B52" s="141" t="s">
        <v>161</v>
      </c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3"/>
      <c r="N52" s="144" t="s">
        <v>64</v>
      </c>
      <c r="O52" s="144" t="s">
        <v>66</v>
      </c>
      <c r="P52" s="144" t="s">
        <v>14</v>
      </c>
      <c r="Q52" s="145"/>
      <c r="R52" s="145"/>
      <c r="S52" s="145"/>
      <c r="T52" s="145"/>
      <c r="U52" s="145"/>
      <c r="V52" s="145"/>
      <c r="W52" s="145"/>
      <c r="X52" s="145"/>
      <c r="Y52" s="145"/>
      <c r="Z52" s="142"/>
    </row>
    <row r="53" ht="15.75" customHeight="1">
      <c r="A53" s="63">
        <v>53.0</v>
      </c>
      <c r="B53" s="190" t="s">
        <v>162</v>
      </c>
      <c r="C53" s="73" t="s">
        <v>1</v>
      </c>
      <c r="D53" s="73" t="s">
        <v>40</v>
      </c>
      <c r="E53" s="73" t="s">
        <v>6</v>
      </c>
      <c r="F53" s="73" t="s">
        <v>19</v>
      </c>
      <c r="G53" s="73" t="s">
        <v>25</v>
      </c>
      <c r="H53" s="73" t="s">
        <v>9</v>
      </c>
      <c r="I53" s="73" t="s">
        <v>20</v>
      </c>
      <c r="J53" s="73" t="s">
        <v>48</v>
      </c>
      <c r="K53" s="73" t="s">
        <v>49</v>
      </c>
      <c r="L53" s="73" t="s">
        <v>52</v>
      </c>
      <c r="M53" s="87"/>
      <c r="N53" s="73" t="s">
        <v>10</v>
      </c>
      <c r="O53" s="73" t="s">
        <v>55</v>
      </c>
      <c r="P53" s="73" t="s">
        <v>21</v>
      </c>
      <c r="Q53" s="73" t="s">
        <v>13</v>
      </c>
      <c r="R53" s="73" t="s">
        <v>14</v>
      </c>
      <c r="S53" s="96" t="s">
        <v>15</v>
      </c>
      <c r="T53" s="96" t="s">
        <v>16</v>
      </c>
      <c r="U53" s="73" t="s">
        <v>11</v>
      </c>
      <c r="V53" s="73" t="s">
        <v>17</v>
      </c>
      <c r="W53" s="73" t="s">
        <v>18</v>
      </c>
      <c r="X53" s="73" t="s">
        <v>64</v>
      </c>
      <c r="Y53" s="73" t="s">
        <v>66</v>
      </c>
      <c r="Z53" s="93"/>
    </row>
    <row r="54" ht="15.75" customHeight="1">
      <c r="A54" s="94">
        <v>54.0</v>
      </c>
      <c r="B54" s="106" t="s">
        <v>162</v>
      </c>
      <c r="C54" s="96" t="s">
        <v>1</v>
      </c>
      <c r="D54" s="96" t="s">
        <v>40</v>
      </c>
      <c r="E54" s="96" t="s">
        <v>6</v>
      </c>
      <c r="F54" s="96" t="s">
        <v>19</v>
      </c>
      <c r="G54" s="96" t="s">
        <v>25</v>
      </c>
      <c r="H54" s="96" t="s">
        <v>9</v>
      </c>
      <c r="I54" s="96" t="s">
        <v>20</v>
      </c>
      <c r="J54" s="96" t="s">
        <v>48</v>
      </c>
      <c r="K54" s="96" t="s">
        <v>49</v>
      </c>
      <c r="L54" s="96" t="s">
        <v>52</v>
      </c>
      <c r="M54" s="101"/>
      <c r="N54" s="96" t="s">
        <v>10</v>
      </c>
      <c r="O54" s="96" t="s">
        <v>55</v>
      </c>
      <c r="P54" s="96" t="s">
        <v>21</v>
      </c>
      <c r="Q54" s="96" t="s">
        <v>13</v>
      </c>
      <c r="R54" s="96" t="s">
        <v>14</v>
      </c>
      <c r="S54" s="96" t="s">
        <v>15</v>
      </c>
      <c r="T54" s="96" t="s">
        <v>16</v>
      </c>
      <c r="U54" s="96" t="s">
        <v>11</v>
      </c>
      <c r="V54" s="96" t="s">
        <v>17</v>
      </c>
      <c r="W54" s="96" t="s">
        <v>18</v>
      </c>
      <c r="X54" s="96" t="s">
        <v>64</v>
      </c>
      <c r="Y54" s="96" t="s">
        <v>66</v>
      </c>
      <c r="Z54" s="105"/>
    </row>
    <row r="55" ht="15.75" customHeight="1">
      <c r="A55" s="94">
        <v>55.0</v>
      </c>
      <c r="B55" s="106" t="s">
        <v>162</v>
      </c>
      <c r="C55" s="96" t="s">
        <v>1</v>
      </c>
      <c r="D55" s="96" t="s">
        <v>40</v>
      </c>
      <c r="E55" s="96" t="s">
        <v>6</v>
      </c>
      <c r="F55" s="96" t="s">
        <v>19</v>
      </c>
      <c r="G55" s="96" t="s">
        <v>25</v>
      </c>
      <c r="H55" s="96" t="s">
        <v>9</v>
      </c>
      <c r="I55" s="96" t="s">
        <v>20</v>
      </c>
      <c r="J55" s="96" t="s">
        <v>48</v>
      </c>
      <c r="K55" s="96" t="s">
        <v>49</v>
      </c>
      <c r="L55" s="96" t="s">
        <v>52</v>
      </c>
      <c r="M55" s="101"/>
      <c r="N55" s="96" t="s">
        <v>10</v>
      </c>
      <c r="O55" s="96" t="s">
        <v>55</v>
      </c>
      <c r="P55" s="96" t="s">
        <v>21</v>
      </c>
      <c r="Q55" s="96" t="s">
        <v>13</v>
      </c>
      <c r="R55" s="96" t="s">
        <v>14</v>
      </c>
      <c r="S55" s="96" t="s">
        <v>15</v>
      </c>
      <c r="T55" s="96" t="s">
        <v>16</v>
      </c>
      <c r="U55" s="96" t="s">
        <v>11</v>
      </c>
      <c r="V55" s="96" t="s">
        <v>17</v>
      </c>
      <c r="W55" s="96" t="s">
        <v>18</v>
      </c>
      <c r="X55" s="96" t="s">
        <v>64</v>
      </c>
      <c r="Y55" s="96" t="s">
        <v>66</v>
      </c>
      <c r="Z55" s="105"/>
    </row>
    <row r="56" ht="15.75" customHeight="1">
      <c r="A56" s="148">
        <v>56.0</v>
      </c>
      <c r="B56" s="149" t="s">
        <v>163</v>
      </c>
      <c r="C56" s="150" t="s">
        <v>1</v>
      </c>
      <c r="D56" s="150" t="s">
        <v>40</v>
      </c>
      <c r="E56" s="150" t="s">
        <v>6</v>
      </c>
      <c r="F56" s="150" t="s">
        <v>19</v>
      </c>
      <c r="G56" s="150" t="s">
        <v>25</v>
      </c>
      <c r="H56" s="150" t="s">
        <v>9</v>
      </c>
      <c r="I56" s="150" t="s">
        <v>20</v>
      </c>
      <c r="J56" s="150" t="s">
        <v>48</v>
      </c>
      <c r="K56" s="150" t="s">
        <v>49</v>
      </c>
      <c r="L56" s="150" t="s">
        <v>52</v>
      </c>
      <c r="M56" s="151"/>
      <c r="N56" s="150" t="s">
        <v>10</v>
      </c>
      <c r="O56" s="150" t="s">
        <v>55</v>
      </c>
      <c r="P56" s="150" t="s">
        <v>21</v>
      </c>
      <c r="Q56" s="150" t="s">
        <v>13</v>
      </c>
      <c r="R56" s="150" t="s">
        <v>14</v>
      </c>
      <c r="S56" s="150" t="s">
        <v>15</v>
      </c>
      <c r="T56" s="150" t="s">
        <v>16</v>
      </c>
      <c r="U56" s="150" t="s">
        <v>11</v>
      </c>
      <c r="V56" s="150" t="s">
        <v>17</v>
      </c>
      <c r="W56" s="150" t="s">
        <v>18</v>
      </c>
      <c r="X56" s="150" t="s">
        <v>64</v>
      </c>
      <c r="Y56" s="150" t="s">
        <v>66</v>
      </c>
      <c r="Z56" s="152"/>
    </row>
    <row r="57" ht="15.75" customHeight="1">
      <c r="A57" s="148">
        <v>57.0</v>
      </c>
      <c r="B57" s="149" t="s">
        <v>163</v>
      </c>
      <c r="C57" s="150" t="s">
        <v>1</v>
      </c>
      <c r="D57" s="150" t="s">
        <v>40</v>
      </c>
      <c r="E57" s="150" t="s">
        <v>6</v>
      </c>
      <c r="F57" s="150" t="s">
        <v>19</v>
      </c>
      <c r="G57" s="150" t="s">
        <v>25</v>
      </c>
      <c r="H57" s="150" t="s">
        <v>9</v>
      </c>
      <c r="I57" s="150" t="s">
        <v>20</v>
      </c>
      <c r="J57" s="150" t="s">
        <v>48</v>
      </c>
      <c r="K57" s="150" t="s">
        <v>49</v>
      </c>
      <c r="L57" s="150" t="s">
        <v>52</v>
      </c>
      <c r="M57" s="151"/>
      <c r="N57" s="150" t="s">
        <v>10</v>
      </c>
      <c r="O57" s="150" t="s">
        <v>55</v>
      </c>
      <c r="P57" s="150" t="s">
        <v>21</v>
      </c>
      <c r="Q57" s="150" t="s">
        <v>13</v>
      </c>
      <c r="R57" s="150" t="s">
        <v>14</v>
      </c>
      <c r="S57" s="150" t="s">
        <v>15</v>
      </c>
      <c r="T57" s="150" t="s">
        <v>16</v>
      </c>
      <c r="U57" s="150" t="s">
        <v>11</v>
      </c>
      <c r="V57" s="150" t="s">
        <v>17</v>
      </c>
      <c r="W57" s="150" t="s">
        <v>18</v>
      </c>
      <c r="X57" s="150" t="s">
        <v>64</v>
      </c>
      <c r="Y57" s="150" t="s">
        <v>66</v>
      </c>
      <c r="Z57" s="152"/>
    </row>
    <row r="58" ht="15.75" customHeight="1">
      <c r="A58" s="148">
        <v>58.0</v>
      </c>
      <c r="B58" s="149" t="s">
        <v>163</v>
      </c>
      <c r="C58" s="150" t="s">
        <v>1</v>
      </c>
      <c r="D58" s="150" t="s">
        <v>40</v>
      </c>
      <c r="E58" s="150" t="s">
        <v>6</v>
      </c>
      <c r="F58" s="150" t="s">
        <v>19</v>
      </c>
      <c r="G58" s="150" t="s">
        <v>25</v>
      </c>
      <c r="H58" s="150" t="s">
        <v>9</v>
      </c>
      <c r="I58" s="150" t="s">
        <v>20</v>
      </c>
      <c r="J58" s="150" t="s">
        <v>48</v>
      </c>
      <c r="K58" s="150" t="s">
        <v>49</v>
      </c>
      <c r="L58" s="150" t="s">
        <v>52</v>
      </c>
      <c r="M58" s="151"/>
      <c r="N58" s="150" t="s">
        <v>10</v>
      </c>
      <c r="O58" s="150" t="s">
        <v>55</v>
      </c>
      <c r="P58" s="150" t="s">
        <v>21</v>
      </c>
      <c r="Q58" s="150" t="s">
        <v>13</v>
      </c>
      <c r="R58" s="150" t="s">
        <v>14</v>
      </c>
      <c r="S58" s="150" t="s">
        <v>15</v>
      </c>
      <c r="T58" s="150" t="s">
        <v>16</v>
      </c>
      <c r="U58" s="150" t="s">
        <v>11</v>
      </c>
      <c r="V58" s="150" t="s">
        <v>17</v>
      </c>
      <c r="W58" s="150" t="s">
        <v>18</v>
      </c>
      <c r="X58" s="150" t="s">
        <v>64</v>
      </c>
      <c r="Y58" s="150" t="s">
        <v>66</v>
      </c>
      <c r="Z58" s="152"/>
    </row>
    <row r="59" ht="15.75" customHeight="1">
      <c r="A59" s="94">
        <v>59.0</v>
      </c>
      <c r="B59" s="106" t="s">
        <v>169</v>
      </c>
      <c r="C59" s="96" t="s">
        <v>1</v>
      </c>
      <c r="D59" s="96" t="s">
        <v>40</v>
      </c>
      <c r="E59" s="96" t="s">
        <v>6</v>
      </c>
      <c r="F59" s="96" t="s">
        <v>19</v>
      </c>
      <c r="G59" s="96" t="s">
        <v>25</v>
      </c>
      <c r="H59" s="96" t="s">
        <v>9</v>
      </c>
      <c r="I59" s="96" t="s">
        <v>20</v>
      </c>
      <c r="J59" s="96" t="s">
        <v>48</v>
      </c>
      <c r="K59" s="96" t="s">
        <v>49</v>
      </c>
      <c r="L59" s="96" t="s">
        <v>52</v>
      </c>
      <c r="M59" s="101"/>
      <c r="N59" s="96" t="s">
        <v>10</v>
      </c>
      <c r="O59" s="96" t="s">
        <v>55</v>
      </c>
      <c r="P59" s="96" t="s">
        <v>21</v>
      </c>
      <c r="Q59" s="96" t="s">
        <v>13</v>
      </c>
      <c r="R59" s="96" t="s">
        <v>14</v>
      </c>
      <c r="S59" s="96" t="s">
        <v>15</v>
      </c>
      <c r="T59" s="96" t="s">
        <v>16</v>
      </c>
      <c r="U59" s="96" t="s">
        <v>11</v>
      </c>
      <c r="V59" s="96" t="s">
        <v>17</v>
      </c>
      <c r="W59" s="96" t="s">
        <v>18</v>
      </c>
      <c r="X59" s="96" t="s">
        <v>64</v>
      </c>
      <c r="Y59" s="96" t="s">
        <v>66</v>
      </c>
      <c r="Z59" s="105"/>
    </row>
    <row r="60" ht="15.75" customHeight="1">
      <c r="A60" s="94">
        <v>60.0</v>
      </c>
      <c r="B60" s="106" t="s">
        <v>169</v>
      </c>
      <c r="C60" s="96" t="s">
        <v>1</v>
      </c>
      <c r="D60" s="96" t="s">
        <v>40</v>
      </c>
      <c r="E60" s="96" t="s">
        <v>6</v>
      </c>
      <c r="F60" s="96" t="s">
        <v>19</v>
      </c>
      <c r="G60" s="96" t="s">
        <v>25</v>
      </c>
      <c r="H60" s="96" t="s">
        <v>9</v>
      </c>
      <c r="I60" s="96" t="s">
        <v>20</v>
      </c>
      <c r="J60" s="96" t="s">
        <v>48</v>
      </c>
      <c r="K60" s="96" t="s">
        <v>49</v>
      </c>
      <c r="L60" s="96" t="s">
        <v>52</v>
      </c>
      <c r="M60" s="101"/>
      <c r="N60" s="96" t="s">
        <v>10</v>
      </c>
      <c r="O60" s="96" t="s">
        <v>55</v>
      </c>
      <c r="P60" s="96" t="s">
        <v>21</v>
      </c>
      <c r="Q60" s="96" t="s">
        <v>13</v>
      </c>
      <c r="R60" s="96" t="s">
        <v>14</v>
      </c>
      <c r="S60" s="96" t="s">
        <v>15</v>
      </c>
      <c r="T60" s="96" t="s">
        <v>16</v>
      </c>
      <c r="U60" s="96" t="s">
        <v>11</v>
      </c>
      <c r="V60" s="96" t="s">
        <v>17</v>
      </c>
      <c r="W60" s="96" t="s">
        <v>18</v>
      </c>
      <c r="X60" s="96" t="s">
        <v>64</v>
      </c>
      <c r="Y60" s="96" t="s">
        <v>66</v>
      </c>
      <c r="Z60" s="105"/>
    </row>
    <row r="61" ht="15.75" customHeight="1">
      <c r="A61" s="94">
        <v>61.0</v>
      </c>
      <c r="B61" s="106" t="s">
        <v>169</v>
      </c>
      <c r="C61" s="96" t="s">
        <v>1</v>
      </c>
      <c r="D61" s="96" t="s">
        <v>40</v>
      </c>
      <c r="E61" s="96" t="s">
        <v>6</v>
      </c>
      <c r="F61" s="96" t="s">
        <v>19</v>
      </c>
      <c r="G61" s="96" t="s">
        <v>25</v>
      </c>
      <c r="H61" s="96" t="s">
        <v>9</v>
      </c>
      <c r="I61" s="96" t="s">
        <v>20</v>
      </c>
      <c r="J61" s="96" t="s">
        <v>48</v>
      </c>
      <c r="K61" s="96" t="s">
        <v>49</v>
      </c>
      <c r="L61" s="96" t="s">
        <v>52</v>
      </c>
      <c r="M61" s="101"/>
      <c r="N61" s="96" t="s">
        <v>10</v>
      </c>
      <c r="O61" s="96" t="s">
        <v>55</v>
      </c>
      <c r="P61" s="96" t="s">
        <v>21</v>
      </c>
      <c r="Q61" s="96" t="s">
        <v>13</v>
      </c>
      <c r="R61" s="96" t="s">
        <v>14</v>
      </c>
      <c r="S61" s="96" t="s">
        <v>15</v>
      </c>
      <c r="T61" s="96" t="s">
        <v>16</v>
      </c>
      <c r="U61" s="96" t="s">
        <v>11</v>
      </c>
      <c r="V61" s="96" t="s">
        <v>17</v>
      </c>
      <c r="W61" s="96" t="s">
        <v>18</v>
      </c>
      <c r="X61" s="96" t="s">
        <v>64</v>
      </c>
      <c r="Y61" s="96" t="s">
        <v>66</v>
      </c>
      <c r="Z61" s="105"/>
    </row>
    <row r="62" ht="15.75" customHeight="1">
      <c r="A62" s="148">
        <v>62.0</v>
      </c>
      <c r="B62" s="149" t="s">
        <v>170</v>
      </c>
      <c r="C62" s="150" t="s">
        <v>1</v>
      </c>
      <c r="D62" s="150" t="s">
        <v>40</v>
      </c>
      <c r="E62" s="150" t="s">
        <v>6</v>
      </c>
      <c r="F62" s="150" t="s">
        <v>19</v>
      </c>
      <c r="G62" s="150" t="s">
        <v>25</v>
      </c>
      <c r="H62" s="150" t="s">
        <v>9</v>
      </c>
      <c r="I62" s="150" t="s">
        <v>20</v>
      </c>
      <c r="J62" s="150" t="s">
        <v>48</v>
      </c>
      <c r="K62" s="150" t="s">
        <v>49</v>
      </c>
      <c r="L62" s="150" t="s">
        <v>52</v>
      </c>
      <c r="M62" s="151"/>
      <c r="N62" s="150" t="s">
        <v>10</v>
      </c>
      <c r="O62" s="150" t="s">
        <v>55</v>
      </c>
      <c r="P62" s="150" t="s">
        <v>21</v>
      </c>
      <c r="Q62" s="150" t="s">
        <v>13</v>
      </c>
      <c r="R62" s="150" t="s">
        <v>14</v>
      </c>
      <c r="S62" s="150" t="s">
        <v>15</v>
      </c>
      <c r="T62" s="150" t="s">
        <v>16</v>
      </c>
      <c r="U62" s="150" t="s">
        <v>11</v>
      </c>
      <c r="V62" s="150" t="s">
        <v>17</v>
      </c>
      <c r="W62" s="150" t="s">
        <v>18</v>
      </c>
      <c r="X62" s="150" t="s">
        <v>64</v>
      </c>
      <c r="Y62" s="150" t="s">
        <v>66</v>
      </c>
      <c r="Z62" s="152"/>
    </row>
    <row r="63" ht="15.75" customHeight="1">
      <c r="A63" s="148">
        <v>63.0</v>
      </c>
      <c r="B63" s="149" t="s">
        <v>170</v>
      </c>
      <c r="C63" s="150" t="s">
        <v>1</v>
      </c>
      <c r="D63" s="150" t="s">
        <v>40</v>
      </c>
      <c r="E63" s="150" t="s">
        <v>6</v>
      </c>
      <c r="F63" s="150" t="s">
        <v>19</v>
      </c>
      <c r="G63" s="150" t="s">
        <v>25</v>
      </c>
      <c r="H63" s="150" t="s">
        <v>9</v>
      </c>
      <c r="I63" s="150" t="s">
        <v>20</v>
      </c>
      <c r="J63" s="150" t="s">
        <v>48</v>
      </c>
      <c r="K63" s="150" t="s">
        <v>49</v>
      </c>
      <c r="L63" s="150" t="s">
        <v>52</v>
      </c>
      <c r="M63" s="151"/>
      <c r="N63" s="150" t="s">
        <v>10</v>
      </c>
      <c r="O63" s="150" t="s">
        <v>55</v>
      </c>
      <c r="P63" s="150" t="s">
        <v>21</v>
      </c>
      <c r="Q63" s="150" t="s">
        <v>13</v>
      </c>
      <c r="R63" s="150" t="s">
        <v>14</v>
      </c>
      <c r="S63" s="150" t="s">
        <v>15</v>
      </c>
      <c r="T63" s="150" t="s">
        <v>16</v>
      </c>
      <c r="U63" s="150" t="s">
        <v>11</v>
      </c>
      <c r="V63" s="150" t="s">
        <v>17</v>
      </c>
      <c r="W63" s="150" t="s">
        <v>18</v>
      </c>
      <c r="X63" s="150" t="s">
        <v>64</v>
      </c>
      <c r="Y63" s="150" t="s">
        <v>66</v>
      </c>
      <c r="Z63" s="152"/>
    </row>
    <row r="64" ht="15.75" customHeight="1">
      <c r="A64" s="148">
        <v>64.0</v>
      </c>
      <c r="B64" s="149" t="s">
        <v>170</v>
      </c>
      <c r="C64" s="150" t="s">
        <v>1</v>
      </c>
      <c r="D64" s="150" t="s">
        <v>40</v>
      </c>
      <c r="E64" s="150" t="s">
        <v>6</v>
      </c>
      <c r="F64" s="150" t="s">
        <v>19</v>
      </c>
      <c r="G64" s="150" t="s">
        <v>25</v>
      </c>
      <c r="H64" s="150" t="s">
        <v>9</v>
      </c>
      <c r="I64" s="150" t="s">
        <v>20</v>
      </c>
      <c r="J64" s="150" t="s">
        <v>48</v>
      </c>
      <c r="K64" s="150" t="s">
        <v>49</v>
      </c>
      <c r="L64" s="150" t="s">
        <v>52</v>
      </c>
      <c r="M64" s="151"/>
      <c r="N64" s="150" t="s">
        <v>10</v>
      </c>
      <c r="O64" s="150" t="s">
        <v>55</v>
      </c>
      <c r="P64" s="150" t="s">
        <v>21</v>
      </c>
      <c r="Q64" s="150" t="s">
        <v>13</v>
      </c>
      <c r="R64" s="150" t="s">
        <v>14</v>
      </c>
      <c r="S64" s="150" t="s">
        <v>15</v>
      </c>
      <c r="T64" s="150" t="s">
        <v>16</v>
      </c>
      <c r="U64" s="150" t="s">
        <v>11</v>
      </c>
      <c r="V64" s="150" t="s">
        <v>17</v>
      </c>
      <c r="W64" s="150" t="s">
        <v>18</v>
      </c>
      <c r="X64" s="150" t="s">
        <v>64</v>
      </c>
      <c r="Y64" s="150" t="s">
        <v>66</v>
      </c>
      <c r="Z64" s="152"/>
    </row>
    <row r="65" ht="15.75" customHeight="1">
      <c r="A65" s="94">
        <v>65.0</v>
      </c>
      <c r="B65" s="106" t="s">
        <v>171</v>
      </c>
      <c r="C65" s="96" t="s">
        <v>1</v>
      </c>
      <c r="D65" s="96" t="s">
        <v>40</v>
      </c>
      <c r="E65" s="96" t="s">
        <v>6</v>
      </c>
      <c r="F65" s="96" t="s">
        <v>19</v>
      </c>
      <c r="G65" s="96" t="s">
        <v>25</v>
      </c>
      <c r="H65" s="96" t="s">
        <v>9</v>
      </c>
      <c r="I65" s="96" t="s">
        <v>20</v>
      </c>
      <c r="J65" s="96" t="s">
        <v>48</v>
      </c>
      <c r="K65" s="96" t="s">
        <v>49</v>
      </c>
      <c r="L65" s="96" t="s">
        <v>52</v>
      </c>
      <c r="M65" s="101"/>
      <c r="N65" s="96" t="s">
        <v>10</v>
      </c>
      <c r="O65" s="96" t="s">
        <v>55</v>
      </c>
      <c r="P65" s="96" t="s">
        <v>21</v>
      </c>
      <c r="Q65" s="96" t="s">
        <v>13</v>
      </c>
      <c r="R65" s="96" t="s">
        <v>14</v>
      </c>
      <c r="S65" s="96" t="s">
        <v>15</v>
      </c>
      <c r="T65" s="96" t="s">
        <v>16</v>
      </c>
      <c r="U65" s="96" t="s">
        <v>11</v>
      </c>
      <c r="V65" s="96" t="s">
        <v>17</v>
      </c>
      <c r="W65" s="96" t="s">
        <v>18</v>
      </c>
      <c r="X65" s="96" t="s">
        <v>64</v>
      </c>
      <c r="Y65" s="96" t="s">
        <v>66</v>
      </c>
      <c r="Z65" s="105"/>
    </row>
    <row r="66" ht="15.75" customHeight="1">
      <c r="A66" s="94">
        <v>66.0</v>
      </c>
      <c r="B66" s="106" t="s">
        <v>171</v>
      </c>
      <c r="C66" s="96" t="s">
        <v>1</v>
      </c>
      <c r="D66" s="96" t="s">
        <v>40</v>
      </c>
      <c r="E66" s="96" t="s">
        <v>6</v>
      </c>
      <c r="F66" s="96" t="s">
        <v>19</v>
      </c>
      <c r="G66" s="96" t="s">
        <v>25</v>
      </c>
      <c r="H66" s="96" t="s">
        <v>9</v>
      </c>
      <c r="I66" s="96" t="s">
        <v>20</v>
      </c>
      <c r="J66" s="96" t="s">
        <v>48</v>
      </c>
      <c r="K66" s="96" t="s">
        <v>49</v>
      </c>
      <c r="L66" s="96" t="s">
        <v>52</v>
      </c>
      <c r="M66" s="101"/>
      <c r="N66" s="96" t="s">
        <v>10</v>
      </c>
      <c r="O66" s="96" t="s">
        <v>55</v>
      </c>
      <c r="P66" s="96" t="s">
        <v>21</v>
      </c>
      <c r="Q66" s="96" t="s">
        <v>13</v>
      </c>
      <c r="R66" s="96" t="s">
        <v>14</v>
      </c>
      <c r="S66" s="96" t="s">
        <v>15</v>
      </c>
      <c r="T66" s="96" t="s">
        <v>16</v>
      </c>
      <c r="U66" s="96" t="s">
        <v>11</v>
      </c>
      <c r="V66" s="96" t="s">
        <v>17</v>
      </c>
      <c r="W66" s="96" t="s">
        <v>18</v>
      </c>
      <c r="X66" s="96" t="s">
        <v>64</v>
      </c>
      <c r="Y66" s="96" t="s">
        <v>66</v>
      </c>
      <c r="Z66" s="105"/>
    </row>
    <row r="67" ht="15.75" customHeight="1">
      <c r="A67" s="94">
        <v>67.0</v>
      </c>
      <c r="B67" s="106" t="s">
        <v>171</v>
      </c>
      <c r="C67" s="96" t="s">
        <v>1</v>
      </c>
      <c r="D67" s="96" t="s">
        <v>40</v>
      </c>
      <c r="E67" s="96" t="s">
        <v>6</v>
      </c>
      <c r="F67" s="96" t="s">
        <v>19</v>
      </c>
      <c r="G67" s="96" t="s">
        <v>25</v>
      </c>
      <c r="H67" s="96" t="s">
        <v>9</v>
      </c>
      <c r="I67" s="96" t="s">
        <v>20</v>
      </c>
      <c r="J67" s="96" t="s">
        <v>48</v>
      </c>
      <c r="K67" s="96" t="s">
        <v>49</v>
      </c>
      <c r="L67" s="96" t="s">
        <v>52</v>
      </c>
      <c r="M67" s="101"/>
      <c r="N67" s="96" t="s">
        <v>10</v>
      </c>
      <c r="O67" s="96" t="s">
        <v>55</v>
      </c>
      <c r="P67" s="96" t="s">
        <v>21</v>
      </c>
      <c r="Q67" s="96" t="s">
        <v>13</v>
      </c>
      <c r="R67" s="96" t="s">
        <v>14</v>
      </c>
      <c r="S67" s="96" t="s">
        <v>15</v>
      </c>
      <c r="T67" s="96" t="s">
        <v>16</v>
      </c>
      <c r="U67" s="96" t="s">
        <v>11</v>
      </c>
      <c r="V67" s="96" t="s">
        <v>17</v>
      </c>
      <c r="W67" s="96" t="s">
        <v>18</v>
      </c>
      <c r="X67" s="96" t="s">
        <v>64</v>
      </c>
      <c r="Y67" s="96" t="s">
        <v>66</v>
      </c>
      <c r="Z67" s="105"/>
    </row>
    <row r="68" ht="15.75" customHeight="1">
      <c r="A68" s="183">
        <v>68.0</v>
      </c>
      <c r="B68" s="184" t="s">
        <v>172</v>
      </c>
      <c r="C68" s="186"/>
      <c r="D68" s="186"/>
      <c r="E68" s="186"/>
      <c r="F68" s="186"/>
      <c r="G68" s="186"/>
      <c r="H68" s="186"/>
      <c r="I68" s="186"/>
      <c r="J68" s="186"/>
      <c r="K68" s="186"/>
      <c r="L68" s="186"/>
      <c r="M68" s="187"/>
      <c r="N68" s="188" t="s">
        <v>64</v>
      </c>
      <c r="O68" s="188" t="s">
        <v>66</v>
      </c>
      <c r="P68" s="188" t="s">
        <v>14</v>
      </c>
      <c r="Q68" s="189"/>
      <c r="R68" s="189"/>
      <c r="S68" s="189"/>
      <c r="T68" s="189"/>
      <c r="U68" s="189"/>
      <c r="V68" s="189"/>
      <c r="W68" s="189"/>
      <c r="X68" s="189"/>
      <c r="Y68" s="189"/>
      <c r="Z68" s="186"/>
    </row>
    <row r="69" ht="15.75" customHeight="1">
      <c r="A69" s="63">
        <v>69.0</v>
      </c>
      <c r="B69" s="190" t="s">
        <v>173</v>
      </c>
      <c r="C69" s="73" t="s">
        <v>1</v>
      </c>
      <c r="D69" s="73" t="s">
        <v>40</v>
      </c>
      <c r="E69" s="73" t="s">
        <v>6</v>
      </c>
      <c r="F69" s="73" t="s">
        <v>19</v>
      </c>
      <c r="G69" s="73" t="s">
        <v>25</v>
      </c>
      <c r="H69" s="73" t="s">
        <v>9</v>
      </c>
      <c r="I69" s="73" t="s">
        <v>20</v>
      </c>
      <c r="J69" s="73" t="s">
        <v>48</v>
      </c>
      <c r="K69" s="73" t="s">
        <v>49</v>
      </c>
      <c r="L69" s="73" t="s">
        <v>52</v>
      </c>
      <c r="M69" s="87"/>
      <c r="N69" s="73" t="s">
        <v>10</v>
      </c>
      <c r="O69" s="73" t="s">
        <v>55</v>
      </c>
      <c r="P69" s="73" t="s">
        <v>21</v>
      </c>
      <c r="Q69" s="73" t="s">
        <v>13</v>
      </c>
      <c r="R69" s="73" t="s">
        <v>14</v>
      </c>
      <c r="S69" s="96" t="s">
        <v>15</v>
      </c>
      <c r="T69" s="96" t="s">
        <v>16</v>
      </c>
      <c r="U69" s="73" t="s">
        <v>11</v>
      </c>
      <c r="V69" s="73" t="s">
        <v>17</v>
      </c>
      <c r="W69" s="73" t="s">
        <v>18</v>
      </c>
      <c r="X69" s="73" t="s">
        <v>64</v>
      </c>
      <c r="Y69" s="73" t="s">
        <v>66</v>
      </c>
      <c r="Z69" s="93"/>
    </row>
    <row r="70" ht="15.75" customHeight="1">
      <c r="A70" s="94">
        <v>70.0</v>
      </c>
      <c r="B70" s="106" t="s">
        <v>173</v>
      </c>
      <c r="C70" s="96" t="s">
        <v>1</v>
      </c>
      <c r="D70" s="96" t="s">
        <v>40</v>
      </c>
      <c r="E70" s="96" t="s">
        <v>6</v>
      </c>
      <c r="F70" s="96" t="s">
        <v>19</v>
      </c>
      <c r="G70" s="96" t="s">
        <v>25</v>
      </c>
      <c r="H70" s="96" t="s">
        <v>9</v>
      </c>
      <c r="I70" s="96" t="s">
        <v>20</v>
      </c>
      <c r="J70" s="96" t="s">
        <v>48</v>
      </c>
      <c r="K70" s="96" t="s">
        <v>49</v>
      </c>
      <c r="L70" s="96" t="s">
        <v>52</v>
      </c>
      <c r="M70" s="101"/>
      <c r="N70" s="96" t="s">
        <v>10</v>
      </c>
      <c r="O70" s="96" t="s">
        <v>55</v>
      </c>
      <c r="P70" s="96" t="s">
        <v>21</v>
      </c>
      <c r="Q70" s="96" t="s">
        <v>13</v>
      </c>
      <c r="R70" s="96" t="s">
        <v>14</v>
      </c>
      <c r="S70" s="96" t="s">
        <v>15</v>
      </c>
      <c r="T70" s="96" t="s">
        <v>16</v>
      </c>
      <c r="U70" s="96" t="s">
        <v>11</v>
      </c>
      <c r="V70" s="96" t="s">
        <v>17</v>
      </c>
      <c r="W70" s="96" t="s">
        <v>18</v>
      </c>
      <c r="X70" s="96" t="s">
        <v>64</v>
      </c>
      <c r="Y70" s="96" t="s">
        <v>66</v>
      </c>
      <c r="Z70" s="105"/>
    </row>
    <row r="71" ht="15.75" customHeight="1">
      <c r="A71" s="94">
        <v>71.0</v>
      </c>
      <c r="B71" s="106" t="s">
        <v>173</v>
      </c>
      <c r="C71" s="96" t="s">
        <v>1</v>
      </c>
      <c r="D71" s="96" t="s">
        <v>40</v>
      </c>
      <c r="E71" s="96" t="s">
        <v>6</v>
      </c>
      <c r="F71" s="96" t="s">
        <v>19</v>
      </c>
      <c r="G71" s="96" t="s">
        <v>25</v>
      </c>
      <c r="H71" s="96" t="s">
        <v>9</v>
      </c>
      <c r="I71" s="96" t="s">
        <v>20</v>
      </c>
      <c r="J71" s="96" t="s">
        <v>48</v>
      </c>
      <c r="K71" s="96" t="s">
        <v>49</v>
      </c>
      <c r="L71" s="96" t="s">
        <v>52</v>
      </c>
      <c r="M71" s="101"/>
      <c r="N71" s="96" t="s">
        <v>10</v>
      </c>
      <c r="O71" s="96" t="s">
        <v>55</v>
      </c>
      <c r="P71" s="96" t="s">
        <v>21</v>
      </c>
      <c r="Q71" s="96" t="s">
        <v>13</v>
      </c>
      <c r="R71" s="96" t="s">
        <v>14</v>
      </c>
      <c r="S71" s="96" t="s">
        <v>15</v>
      </c>
      <c r="T71" s="96" t="s">
        <v>16</v>
      </c>
      <c r="U71" s="96" t="s">
        <v>11</v>
      </c>
      <c r="V71" s="96" t="s">
        <v>17</v>
      </c>
      <c r="W71" s="96" t="s">
        <v>18</v>
      </c>
      <c r="X71" s="96" t="s">
        <v>64</v>
      </c>
      <c r="Y71" s="96" t="s">
        <v>66</v>
      </c>
      <c r="Z71" s="105"/>
    </row>
    <row r="72" ht="15.75" customHeight="1">
      <c r="A72" s="111">
        <v>72.0</v>
      </c>
      <c r="B72" s="113" t="s">
        <v>174</v>
      </c>
      <c r="C72" s="114" t="s">
        <v>1</v>
      </c>
      <c r="D72" s="114" t="s">
        <v>40</v>
      </c>
      <c r="E72" s="114" t="s">
        <v>6</v>
      </c>
      <c r="F72" s="114" t="s">
        <v>19</v>
      </c>
      <c r="G72" s="114" t="s">
        <v>25</v>
      </c>
      <c r="H72" s="114" t="s">
        <v>9</v>
      </c>
      <c r="I72" s="114" t="s">
        <v>20</v>
      </c>
      <c r="J72" s="114" t="s">
        <v>48</v>
      </c>
      <c r="K72" s="114" t="s">
        <v>49</v>
      </c>
      <c r="L72" s="114" t="s">
        <v>52</v>
      </c>
      <c r="M72" s="120"/>
      <c r="N72" s="114" t="s">
        <v>10</v>
      </c>
      <c r="O72" s="114" t="s">
        <v>55</v>
      </c>
      <c r="P72" s="114" t="s">
        <v>21</v>
      </c>
      <c r="Q72" s="114" t="s">
        <v>13</v>
      </c>
      <c r="R72" s="114" t="s">
        <v>14</v>
      </c>
      <c r="S72" s="114" t="s">
        <v>15</v>
      </c>
      <c r="T72" s="114" t="s">
        <v>16</v>
      </c>
      <c r="U72" s="114" t="s">
        <v>11</v>
      </c>
      <c r="V72" s="114" t="s">
        <v>17</v>
      </c>
      <c r="W72" s="114" t="s">
        <v>18</v>
      </c>
      <c r="X72" s="114" t="s">
        <v>64</v>
      </c>
      <c r="Y72" s="114" t="s">
        <v>66</v>
      </c>
      <c r="Z72" s="130"/>
    </row>
    <row r="73" ht="15.75" customHeight="1">
      <c r="A73" s="111">
        <v>73.0</v>
      </c>
      <c r="B73" s="113" t="s">
        <v>174</v>
      </c>
      <c r="C73" s="114" t="s">
        <v>1</v>
      </c>
      <c r="D73" s="114" t="s">
        <v>40</v>
      </c>
      <c r="E73" s="114" t="s">
        <v>6</v>
      </c>
      <c r="F73" s="114" t="s">
        <v>19</v>
      </c>
      <c r="G73" s="114" t="s">
        <v>25</v>
      </c>
      <c r="H73" s="114" t="s">
        <v>9</v>
      </c>
      <c r="I73" s="114" t="s">
        <v>20</v>
      </c>
      <c r="J73" s="114" t="s">
        <v>48</v>
      </c>
      <c r="K73" s="114" t="s">
        <v>49</v>
      </c>
      <c r="L73" s="114" t="s">
        <v>52</v>
      </c>
      <c r="M73" s="120"/>
      <c r="N73" s="114" t="s">
        <v>10</v>
      </c>
      <c r="O73" s="114" t="s">
        <v>55</v>
      </c>
      <c r="P73" s="114" t="s">
        <v>21</v>
      </c>
      <c r="Q73" s="114" t="s">
        <v>13</v>
      </c>
      <c r="R73" s="114" t="s">
        <v>14</v>
      </c>
      <c r="S73" s="114" t="s">
        <v>15</v>
      </c>
      <c r="T73" s="114" t="s">
        <v>16</v>
      </c>
      <c r="U73" s="114" t="s">
        <v>11</v>
      </c>
      <c r="V73" s="114" t="s">
        <v>17</v>
      </c>
      <c r="W73" s="114" t="s">
        <v>18</v>
      </c>
      <c r="X73" s="114" t="s">
        <v>64</v>
      </c>
      <c r="Y73" s="114" t="s">
        <v>66</v>
      </c>
      <c r="Z73" s="130"/>
    </row>
    <row r="74" ht="15.75" customHeight="1">
      <c r="A74" s="111">
        <v>74.0</v>
      </c>
      <c r="B74" s="113" t="s">
        <v>174</v>
      </c>
      <c r="C74" s="114" t="s">
        <v>1</v>
      </c>
      <c r="D74" s="114" t="s">
        <v>40</v>
      </c>
      <c r="E74" s="114" t="s">
        <v>6</v>
      </c>
      <c r="F74" s="114" t="s">
        <v>19</v>
      </c>
      <c r="G74" s="114" t="s">
        <v>25</v>
      </c>
      <c r="H74" s="114" t="s">
        <v>9</v>
      </c>
      <c r="I74" s="114" t="s">
        <v>20</v>
      </c>
      <c r="J74" s="114" t="s">
        <v>48</v>
      </c>
      <c r="K74" s="114" t="s">
        <v>49</v>
      </c>
      <c r="L74" s="114" t="s">
        <v>52</v>
      </c>
      <c r="M74" s="120"/>
      <c r="N74" s="114" t="s">
        <v>10</v>
      </c>
      <c r="O74" s="114" t="s">
        <v>55</v>
      </c>
      <c r="P74" s="114" t="s">
        <v>21</v>
      </c>
      <c r="Q74" s="114" t="s">
        <v>13</v>
      </c>
      <c r="R74" s="114" t="s">
        <v>14</v>
      </c>
      <c r="S74" s="114" t="s">
        <v>15</v>
      </c>
      <c r="T74" s="114" t="s">
        <v>16</v>
      </c>
      <c r="U74" s="114" t="s">
        <v>11</v>
      </c>
      <c r="V74" s="114" t="s">
        <v>17</v>
      </c>
      <c r="W74" s="114" t="s">
        <v>18</v>
      </c>
      <c r="X74" s="114" t="s">
        <v>64</v>
      </c>
      <c r="Y74" s="114" t="s">
        <v>66</v>
      </c>
      <c r="Z74" s="130"/>
    </row>
    <row r="75" ht="15.75" customHeight="1">
      <c r="A75" s="94">
        <v>75.0</v>
      </c>
      <c r="B75" s="106" t="s">
        <v>175</v>
      </c>
      <c r="C75" s="96" t="s">
        <v>1</v>
      </c>
      <c r="D75" s="96" t="s">
        <v>40</v>
      </c>
      <c r="E75" s="96" t="s">
        <v>6</v>
      </c>
      <c r="F75" s="96" t="s">
        <v>19</v>
      </c>
      <c r="G75" s="96" t="s">
        <v>25</v>
      </c>
      <c r="H75" s="96" t="s">
        <v>9</v>
      </c>
      <c r="I75" s="96" t="s">
        <v>20</v>
      </c>
      <c r="J75" s="96" t="s">
        <v>48</v>
      </c>
      <c r="K75" s="96" t="s">
        <v>49</v>
      </c>
      <c r="L75" s="96" t="s">
        <v>52</v>
      </c>
      <c r="M75" s="101"/>
      <c r="N75" s="96" t="s">
        <v>10</v>
      </c>
      <c r="O75" s="96" t="s">
        <v>55</v>
      </c>
      <c r="P75" s="96" t="s">
        <v>21</v>
      </c>
      <c r="Q75" s="96" t="s">
        <v>13</v>
      </c>
      <c r="R75" s="96" t="s">
        <v>14</v>
      </c>
      <c r="S75" s="96" t="s">
        <v>15</v>
      </c>
      <c r="T75" s="96" t="s">
        <v>16</v>
      </c>
      <c r="U75" s="96" t="s">
        <v>11</v>
      </c>
      <c r="V75" s="96" t="s">
        <v>17</v>
      </c>
      <c r="W75" s="96" t="s">
        <v>18</v>
      </c>
      <c r="X75" s="96" t="s">
        <v>64</v>
      </c>
      <c r="Y75" s="96" t="s">
        <v>66</v>
      </c>
      <c r="Z75" s="105"/>
    </row>
    <row r="76" ht="15.75" customHeight="1">
      <c r="A76" s="94">
        <v>76.0</v>
      </c>
      <c r="B76" s="106" t="s">
        <v>175</v>
      </c>
      <c r="C76" s="96" t="s">
        <v>1</v>
      </c>
      <c r="D76" s="96" t="s">
        <v>40</v>
      </c>
      <c r="E76" s="96" t="s">
        <v>6</v>
      </c>
      <c r="F76" s="96" t="s">
        <v>19</v>
      </c>
      <c r="G76" s="96" t="s">
        <v>25</v>
      </c>
      <c r="H76" s="96" t="s">
        <v>9</v>
      </c>
      <c r="I76" s="96" t="s">
        <v>20</v>
      </c>
      <c r="J76" s="96" t="s">
        <v>48</v>
      </c>
      <c r="K76" s="96" t="s">
        <v>49</v>
      </c>
      <c r="L76" s="96" t="s">
        <v>52</v>
      </c>
      <c r="M76" s="101"/>
      <c r="N76" s="96" t="s">
        <v>10</v>
      </c>
      <c r="O76" s="96" t="s">
        <v>55</v>
      </c>
      <c r="P76" s="96" t="s">
        <v>21</v>
      </c>
      <c r="Q76" s="96" t="s">
        <v>13</v>
      </c>
      <c r="R76" s="96" t="s">
        <v>14</v>
      </c>
      <c r="S76" s="96" t="s">
        <v>15</v>
      </c>
      <c r="T76" s="96" t="s">
        <v>16</v>
      </c>
      <c r="U76" s="96" t="s">
        <v>11</v>
      </c>
      <c r="V76" s="96" t="s">
        <v>17</v>
      </c>
      <c r="W76" s="96" t="s">
        <v>18</v>
      </c>
      <c r="X76" s="96" t="s">
        <v>64</v>
      </c>
      <c r="Y76" s="96" t="s">
        <v>66</v>
      </c>
      <c r="Z76" s="105"/>
    </row>
    <row r="77" ht="15.75" customHeight="1">
      <c r="A77" s="94">
        <v>77.0</v>
      </c>
      <c r="B77" s="106" t="s">
        <v>175</v>
      </c>
      <c r="C77" s="96" t="s">
        <v>1</v>
      </c>
      <c r="D77" s="96" t="s">
        <v>40</v>
      </c>
      <c r="E77" s="96" t="s">
        <v>6</v>
      </c>
      <c r="F77" s="96" t="s">
        <v>19</v>
      </c>
      <c r="G77" s="96" t="s">
        <v>25</v>
      </c>
      <c r="H77" s="96" t="s">
        <v>9</v>
      </c>
      <c r="I77" s="96" t="s">
        <v>20</v>
      </c>
      <c r="J77" s="96" t="s">
        <v>48</v>
      </c>
      <c r="K77" s="96" t="s">
        <v>49</v>
      </c>
      <c r="L77" s="96" t="s">
        <v>52</v>
      </c>
      <c r="M77" s="101"/>
      <c r="N77" s="96" t="s">
        <v>10</v>
      </c>
      <c r="O77" s="96" t="s">
        <v>55</v>
      </c>
      <c r="P77" s="96" t="s">
        <v>21</v>
      </c>
      <c r="Q77" s="96" t="s">
        <v>13</v>
      </c>
      <c r="R77" s="96" t="s">
        <v>14</v>
      </c>
      <c r="S77" s="96" t="s">
        <v>15</v>
      </c>
      <c r="T77" s="96" t="s">
        <v>16</v>
      </c>
      <c r="U77" s="96" t="s">
        <v>11</v>
      </c>
      <c r="V77" s="96" t="s">
        <v>17</v>
      </c>
      <c r="W77" s="96" t="s">
        <v>18</v>
      </c>
      <c r="X77" s="96" t="s">
        <v>64</v>
      </c>
      <c r="Y77" s="96" t="s">
        <v>66</v>
      </c>
      <c r="Z77" s="105"/>
    </row>
    <row r="78" ht="15.75" customHeight="1">
      <c r="A78" s="111">
        <v>78.0</v>
      </c>
      <c r="B78" s="113" t="s">
        <v>176</v>
      </c>
      <c r="C78" s="114" t="s">
        <v>1</v>
      </c>
      <c r="D78" s="114" t="s">
        <v>40</v>
      </c>
      <c r="E78" s="114" t="s">
        <v>6</v>
      </c>
      <c r="F78" s="114" t="s">
        <v>19</v>
      </c>
      <c r="G78" s="114" t="s">
        <v>25</v>
      </c>
      <c r="H78" s="114" t="s">
        <v>9</v>
      </c>
      <c r="I78" s="114" t="s">
        <v>20</v>
      </c>
      <c r="J78" s="114" t="s">
        <v>48</v>
      </c>
      <c r="K78" s="114" t="s">
        <v>49</v>
      </c>
      <c r="L78" s="114" t="s">
        <v>52</v>
      </c>
      <c r="M78" s="120"/>
      <c r="N78" s="114" t="s">
        <v>10</v>
      </c>
      <c r="O78" s="114" t="s">
        <v>55</v>
      </c>
      <c r="P78" s="114" t="s">
        <v>21</v>
      </c>
      <c r="Q78" s="114" t="s">
        <v>13</v>
      </c>
      <c r="R78" s="114" t="s">
        <v>14</v>
      </c>
      <c r="S78" s="114" t="s">
        <v>15</v>
      </c>
      <c r="T78" s="114" t="s">
        <v>16</v>
      </c>
      <c r="U78" s="114" t="s">
        <v>11</v>
      </c>
      <c r="V78" s="114" t="s">
        <v>17</v>
      </c>
      <c r="W78" s="114" t="s">
        <v>18</v>
      </c>
      <c r="X78" s="114" t="s">
        <v>64</v>
      </c>
      <c r="Y78" s="114" t="s">
        <v>66</v>
      </c>
      <c r="Z78" s="130"/>
    </row>
    <row r="79" ht="15.75" customHeight="1">
      <c r="A79" s="111">
        <v>79.0</v>
      </c>
      <c r="B79" s="113" t="s">
        <v>176</v>
      </c>
      <c r="C79" s="114" t="s">
        <v>1</v>
      </c>
      <c r="D79" s="114" t="s">
        <v>40</v>
      </c>
      <c r="E79" s="114" t="s">
        <v>6</v>
      </c>
      <c r="F79" s="114" t="s">
        <v>19</v>
      </c>
      <c r="G79" s="114" t="s">
        <v>25</v>
      </c>
      <c r="H79" s="114" t="s">
        <v>9</v>
      </c>
      <c r="I79" s="114" t="s">
        <v>20</v>
      </c>
      <c r="J79" s="114" t="s">
        <v>48</v>
      </c>
      <c r="K79" s="114" t="s">
        <v>49</v>
      </c>
      <c r="L79" s="114" t="s">
        <v>52</v>
      </c>
      <c r="M79" s="120"/>
      <c r="N79" s="114" t="s">
        <v>10</v>
      </c>
      <c r="O79" s="114" t="s">
        <v>55</v>
      </c>
      <c r="P79" s="114" t="s">
        <v>21</v>
      </c>
      <c r="Q79" s="114" t="s">
        <v>13</v>
      </c>
      <c r="R79" s="114" t="s">
        <v>14</v>
      </c>
      <c r="S79" s="114" t="s">
        <v>15</v>
      </c>
      <c r="T79" s="114" t="s">
        <v>16</v>
      </c>
      <c r="U79" s="114" t="s">
        <v>11</v>
      </c>
      <c r="V79" s="114" t="s">
        <v>17</v>
      </c>
      <c r="W79" s="114" t="s">
        <v>18</v>
      </c>
      <c r="X79" s="114" t="s">
        <v>64</v>
      </c>
      <c r="Y79" s="114" t="s">
        <v>66</v>
      </c>
      <c r="Z79" s="130"/>
    </row>
    <row r="80" ht="15.75" customHeight="1">
      <c r="A80" s="111">
        <v>80.0</v>
      </c>
      <c r="B80" s="113" t="s">
        <v>176</v>
      </c>
      <c r="C80" s="114" t="s">
        <v>1</v>
      </c>
      <c r="D80" s="114" t="s">
        <v>40</v>
      </c>
      <c r="E80" s="114" t="s">
        <v>6</v>
      </c>
      <c r="F80" s="114" t="s">
        <v>19</v>
      </c>
      <c r="G80" s="114" t="s">
        <v>25</v>
      </c>
      <c r="H80" s="114" t="s">
        <v>9</v>
      </c>
      <c r="I80" s="114" t="s">
        <v>20</v>
      </c>
      <c r="J80" s="114" t="s">
        <v>48</v>
      </c>
      <c r="K80" s="114" t="s">
        <v>49</v>
      </c>
      <c r="L80" s="114" t="s">
        <v>52</v>
      </c>
      <c r="M80" s="120"/>
      <c r="N80" s="114" t="s">
        <v>10</v>
      </c>
      <c r="O80" s="114" t="s">
        <v>55</v>
      </c>
      <c r="P80" s="114" t="s">
        <v>21</v>
      </c>
      <c r="Q80" s="114" t="s">
        <v>13</v>
      </c>
      <c r="R80" s="114" t="s">
        <v>14</v>
      </c>
      <c r="S80" s="114" t="s">
        <v>15</v>
      </c>
      <c r="T80" s="114" t="s">
        <v>16</v>
      </c>
      <c r="U80" s="114" t="s">
        <v>11</v>
      </c>
      <c r="V80" s="114" t="s">
        <v>17</v>
      </c>
      <c r="W80" s="114" t="s">
        <v>18</v>
      </c>
      <c r="X80" s="114" t="s">
        <v>64</v>
      </c>
      <c r="Y80" s="114" t="s">
        <v>66</v>
      </c>
      <c r="Z80" s="130"/>
    </row>
    <row r="81" ht="15.75" customHeight="1">
      <c r="A81" s="94">
        <v>81.0</v>
      </c>
      <c r="B81" s="106" t="s">
        <v>177</v>
      </c>
      <c r="C81" s="96" t="s">
        <v>1</v>
      </c>
      <c r="D81" s="96" t="s">
        <v>40</v>
      </c>
      <c r="E81" s="96" t="s">
        <v>6</v>
      </c>
      <c r="F81" s="96" t="s">
        <v>19</v>
      </c>
      <c r="G81" s="96" t="s">
        <v>25</v>
      </c>
      <c r="H81" s="96" t="s">
        <v>9</v>
      </c>
      <c r="I81" s="96" t="s">
        <v>20</v>
      </c>
      <c r="J81" s="96" t="s">
        <v>48</v>
      </c>
      <c r="K81" s="96" t="s">
        <v>49</v>
      </c>
      <c r="L81" s="96" t="s">
        <v>52</v>
      </c>
      <c r="M81" s="101"/>
      <c r="N81" s="96" t="s">
        <v>10</v>
      </c>
      <c r="O81" s="96" t="s">
        <v>55</v>
      </c>
      <c r="P81" s="96" t="s">
        <v>21</v>
      </c>
      <c r="Q81" s="96" t="s">
        <v>13</v>
      </c>
      <c r="R81" s="96" t="s">
        <v>14</v>
      </c>
      <c r="S81" s="96" t="s">
        <v>15</v>
      </c>
      <c r="T81" s="96" t="s">
        <v>16</v>
      </c>
      <c r="U81" s="96" t="s">
        <v>11</v>
      </c>
      <c r="V81" s="96" t="s">
        <v>17</v>
      </c>
      <c r="W81" s="96" t="s">
        <v>18</v>
      </c>
      <c r="X81" s="96" t="s">
        <v>64</v>
      </c>
      <c r="Y81" s="96" t="s">
        <v>66</v>
      </c>
      <c r="Z81" s="105"/>
    </row>
    <row r="82" ht="15.75" customHeight="1">
      <c r="A82" s="94">
        <v>82.0</v>
      </c>
      <c r="B82" s="106" t="s">
        <v>177</v>
      </c>
      <c r="C82" s="96" t="s">
        <v>1</v>
      </c>
      <c r="D82" s="96" t="s">
        <v>40</v>
      </c>
      <c r="E82" s="96" t="s">
        <v>6</v>
      </c>
      <c r="F82" s="96" t="s">
        <v>19</v>
      </c>
      <c r="G82" s="96" t="s">
        <v>25</v>
      </c>
      <c r="H82" s="96" t="s">
        <v>9</v>
      </c>
      <c r="I82" s="96" t="s">
        <v>20</v>
      </c>
      <c r="J82" s="96" t="s">
        <v>48</v>
      </c>
      <c r="K82" s="96" t="s">
        <v>49</v>
      </c>
      <c r="L82" s="96" t="s">
        <v>52</v>
      </c>
      <c r="M82" s="101"/>
      <c r="N82" s="96" t="s">
        <v>10</v>
      </c>
      <c r="O82" s="96" t="s">
        <v>55</v>
      </c>
      <c r="P82" s="96" t="s">
        <v>21</v>
      </c>
      <c r="Q82" s="96" t="s">
        <v>13</v>
      </c>
      <c r="R82" s="96" t="s">
        <v>14</v>
      </c>
      <c r="S82" s="96" t="s">
        <v>15</v>
      </c>
      <c r="T82" s="96" t="s">
        <v>16</v>
      </c>
      <c r="U82" s="96" t="s">
        <v>11</v>
      </c>
      <c r="V82" s="96" t="s">
        <v>17</v>
      </c>
      <c r="W82" s="96" t="s">
        <v>18</v>
      </c>
      <c r="X82" s="96" t="s">
        <v>64</v>
      </c>
      <c r="Y82" s="96" t="s">
        <v>66</v>
      </c>
      <c r="Z82" s="105"/>
    </row>
    <row r="83" ht="15.75" customHeight="1">
      <c r="A83" s="94">
        <v>83.0</v>
      </c>
      <c r="B83" s="106" t="s">
        <v>177</v>
      </c>
      <c r="C83" s="96" t="s">
        <v>1</v>
      </c>
      <c r="D83" s="96" t="s">
        <v>40</v>
      </c>
      <c r="E83" s="96" t="s">
        <v>6</v>
      </c>
      <c r="F83" s="96" t="s">
        <v>19</v>
      </c>
      <c r="G83" s="96" t="s">
        <v>25</v>
      </c>
      <c r="H83" s="96" t="s">
        <v>9</v>
      </c>
      <c r="I83" s="96" t="s">
        <v>20</v>
      </c>
      <c r="J83" s="96" t="s">
        <v>48</v>
      </c>
      <c r="K83" s="96" t="s">
        <v>49</v>
      </c>
      <c r="L83" s="96" t="s">
        <v>52</v>
      </c>
      <c r="M83" s="101"/>
      <c r="N83" s="96" t="s">
        <v>10</v>
      </c>
      <c r="O83" s="96" t="s">
        <v>55</v>
      </c>
      <c r="P83" s="96" t="s">
        <v>21</v>
      </c>
      <c r="Q83" s="96" t="s">
        <v>13</v>
      </c>
      <c r="R83" s="96" t="s">
        <v>14</v>
      </c>
      <c r="S83" s="96" t="s">
        <v>15</v>
      </c>
      <c r="T83" s="96" t="s">
        <v>16</v>
      </c>
      <c r="U83" s="96" t="s">
        <v>11</v>
      </c>
      <c r="V83" s="96" t="s">
        <v>17</v>
      </c>
      <c r="W83" s="96" t="s">
        <v>18</v>
      </c>
      <c r="X83" s="96" t="s">
        <v>64</v>
      </c>
      <c r="Y83" s="96" t="s">
        <v>66</v>
      </c>
      <c r="Z83" s="105"/>
    </row>
    <row r="84" ht="15.75" customHeight="1">
      <c r="A84" s="140">
        <v>84.0</v>
      </c>
      <c r="B84" s="141" t="s">
        <v>178</v>
      </c>
      <c r="C84" s="142"/>
      <c r="D84" s="142"/>
      <c r="E84" s="142"/>
      <c r="F84" s="142"/>
      <c r="G84" s="142"/>
      <c r="H84" s="142"/>
      <c r="I84" s="142"/>
      <c r="J84" s="142"/>
      <c r="K84" s="142"/>
      <c r="L84" s="142"/>
      <c r="M84" s="143"/>
      <c r="N84" s="144" t="s">
        <v>64</v>
      </c>
      <c r="O84" s="144" t="s">
        <v>66</v>
      </c>
      <c r="P84" s="144" t="s">
        <v>14</v>
      </c>
      <c r="Q84" s="145"/>
      <c r="R84" s="145"/>
      <c r="S84" s="145"/>
      <c r="T84" s="145"/>
      <c r="U84" s="145"/>
      <c r="V84" s="145"/>
      <c r="W84" s="145"/>
      <c r="X84" s="145"/>
      <c r="Y84" s="145"/>
      <c r="Z84" s="142"/>
    </row>
    <row r="85" ht="15.75" customHeight="1">
      <c r="A85" s="63">
        <v>85.0</v>
      </c>
      <c r="B85" s="190" t="s">
        <v>179</v>
      </c>
      <c r="C85" s="73" t="s">
        <v>1</v>
      </c>
      <c r="D85" s="73" t="s">
        <v>40</v>
      </c>
      <c r="E85" s="73" t="s">
        <v>6</v>
      </c>
      <c r="F85" s="73" t="s">
        <v>19</v>
      </c>
      <c r="G85" s="73" t="s">
        <v>25</v>
      </c>
      <c r="H85" s="73" t="s">
        <v>9</v>
      </c>
      <c r="I85" s="73" t="s">
        <v>20</v>
      </c>
      <c r="J85" s="73" t="s">
        <v>48</v>
      </c>
      <c r="K85" s="73" t="s">
        <v>49</v>
      </c>
      <c r="L85" s="73" t="s">
        <v>52</v>
      </c>
      <c r="M85" s="87"/>
      <c r="N85" s="73" t="s">
        <v>10</v>
      </c>
      <c r="O85" s="73" t="s">
        <v>55</v>
      </c>
      <c r="P85" s="73" t="s">
        <v>21</v>
      </c>
      <c r="Q85" s="73" t="s">
        <v>13</v>
      </c>
      <c r="R85" s="73" t="s">
        <v>14</v>
      </c>
      <c r="S85" s="96" t="s">
        <v>15</v>
      </c>
      <c r="T85" s="96" t="s">
        <v>16</v>
      </c>
      <c r="U85" s="73" t="s">
        <v>11</v>
      </c>
      <c r="V85" s="73" t="s">
        <v>17</v>
      </c>
      <c r="W85" s="73" t="s">
        <v>18</v>
      </c>
      <c r="X85" s="73" t="s">
        <v>64</v>
      </c>
      <c r="Y85" s="73" t="s">
        <v>66</v>
      </c>
      <c r="Z85" s="93"/>
    </row>
    <row r="86" ht="15.75" customHeight="1">
      <c r="A86" s="94">
        <v>86.0</v>
      </c>
      <c r="B86" s="106" t="s">
        <v>179</v>
      </c>
      <c r="C86" s="96" t="s">
        <v>1</v>
      </c>
      <c r="D86" s="96" t="s">
        <v>40</v>
      </c>
      <c r="E86" s="96" t="s">
        <v>6</v>
      </c>
      <c r="F86" s="96" t="s">
        <v>19</v>
      </c>
      <c r="G86" s="96" t="s">
        <v>25</v>
      </c>
      <c r="H86" s="96" t="s">
        <v>9</v>
      </c>
      <c r="I86" s="96" t="s">
        <v>20</v>
      </c>
      <c r="J86" s="96" t="s">
        <v>48</v>
      </c>
      <c r="K86" s="96" t="s">
        <v>49</v>
      </c>
      <c r="L86" s="96" t="s">
        <v>52</v>
      </c>
      <c r="M86" s="101"/>
      <c r="N86" s="96" t="s">
        <v>10</v>
      </c>
      <c r="O86" s="96" t="s">
        <v>55</v>
      </c>
      <c r="P86" s="96" t="s">
        <v>21</v>
      </c>
      <c r="Q86" s="96" t="s">
        <v>13</v>
      </c>
      <c r="R86" s="96" t="s">
        <v>14</v>
      </c>
      <c r="S86" s="96" t="s">
        <v>15</v>
      </c>
      <c r="T86" s="96" t="s">
        <v>16</v>
      </c>
      <c r="U86" s="96" t="s">
        <v>11</v>
      </c>
      <c r="V86" s="96" t="s">
        <v>17</v>
      </c>
      <c r="W86" s="96" t="s">
        <v>18</v>
      </c>
      <c r="X86" s="96" t="s">
        <v>64</v>
      </c>
      <c r="Y86" s="96" t="s">
        <v>66</v>
      </c>
      <c r="Z86" s="105"/>
    </row>
    <row r="87" ht="15.75" customHeight="1">
      <c r="A87" s="94">
        <v>87.0</v>
      </c>
      <c r="B87" s="106" t="s">
        <v>179</v>
      </c>
      <c r="C87" s="96" t="s">
        <v>1</v>
      </c>
      <c r="D87" s="96" t="s">
        <v>40</v>
      </c>
      <c r="E87" s="96" t="s">
        <v>6</v>
      </c>
      <c r="F87" s="96" t="s">
        <v>19</v>
      </c>
      <c r="G87" s="96" t="s">
        <v>25</v>
      </c>
      <c r="H87" s="96" t="s">
        <v>9</v>
      </c>
      <c r="I87" s="96" t="s">
        <v>20</v>
      </c>
      <c r="J87" s="96" t="s">
        <v>48</v>
      </c>
      <c r="K87" s="96" t="s">
        <v>49</v>
      </c>
      <c r="L87" s="96" t="s">
        <v>52</v>
      </c>
      <c r="M87" s="101"/>
      <c r="N87" s="96" t="s">
        <v>10</v>
      </c>
      <c r="O87" s="96" t="s">
        <v>55</v>
      </c>
      <c r="P87" s="96" t="s">
        <v>21</v>
      </c>
      <c r="Q87" s="96" t="s">
        <v>13</v>
      </c>
      <c r="R87" s="96" t="s">
        <v>14</v>
      </c>
      <c r="S87" s="96" t="s">
        <v>15</v>
      </c>
      <c r="T87" s="96" t="s">
        <v>16</v>
      </c>
      <c r="U87" s="96" t="s">
        <v>11</v>
      </c>
      <c r="V87" s="96" t="s">
        <v>17</v>
      </c>
      <c r="W87" s="96" t="s">
        <v>18</v>
      </c>
      <c r="X87" s="96" t="s">
        <v>64</v>
      </c>
      <c r="Y87" s="96" t="s">
        <v>66</v>
      </c>
      <c r="Z87" s="105"/>
    </row>
    <row r="88" ht="15.75" customHeight="1">
      <c r="A88" s="148">
        <v>88.0</v>
      </c>
      <c r="B88" s="149" t="s">
        <v>180</v>
      </c>
      <c r="C88" s="150" t="s">
        <v>1</v>
      </c>
      <c r="D88" s="150" t="s">
        <v>40</v>
      </c>
      <c r="E88" s="150" t="s">
        <v>6</v>
      </c>
      <c r="F88" s="150" t="s">
        <v>19</v>
      </c>
      <c r="G88" s="150" t="s">
        <v>25</v>
      </c>
      <c r="H88" s="150" t="s">
        <v>9</v>
      </c>
      <c r="I88" s="150" t="s">
        <v>20</v>
      </c>
      <c r="J88" s="150" t="s">
        <v>48</v>
      </c>
      <c r="K88" s="150" t="s">
        <v>49</v>
      </c>
      <c r="L88" s="150" t="s">
        <v>52</v>
      </c>
      <c r="M88" s="151"/>
      <c r="N88" s="150" t="s">
        <v>10</v>
      </c>
      <c r="O88" s="150" t="s">
        <v>55</v>
      </c>
      <c r="P88" s="150" t="s">
        <v>21</v>
      </c>
      <c r="Q88" s="150" t="s">
        <v>13</v>
      </c>
      <c r="R88" s="150" t="s">
        <v>14</v>
      </c>
      <c r="S88" s="150" t="s">
        <v>15</v>
      </c>
      <c r="T88" s="150" t="s">
        <v>16</v>
      </c>
      <c r="U88" s="150" t="s">
        <v>11</v>
      </c>
      <c r="V88" s="150" t="s">
        <v>17</v>
      </c>
      <c r="W88" s="150" t="s">
        <v>18</v>
      </c>
      <c r="X88" s="150" t="s">
        <v>64</v>
      </c>
      <c r="Y88" s="150" t="s">
        <v>66</v>
      </c>
      <c r="Z88" s="152"/>
    </row>
    <row r="89" ht="15.75" customHeight="1">
      <c r="A89" s="148">
        <v>89.0</v>
      </c>
      <c r="B89" s="149" t="s">
        <v>180</v>
      </c>
      <c r="C89" s="150" t="s">
        <v>1</v>
      </c>
      <c r="D89" s="150" t="s">
        <v>40</v>
      </c>
      <c r="E89" s="150" t="s">
        <v>6</v>
      </c>
      <c r="F89" s="150" t="s">
        <v>19</v>
      </c>
      <c r="G89" s="150" t="s">
        <v>25</v>
      </c>
      <c r="H89" s="150" t="s">
        <v>9</v>
      </c>
      <c r="I89" s="150" t="s">
        <v>20</v>
      </c>
      <c r="J89" s="150" t="s">
        <v>48</v>
      </c>
      <c r="K89" s="150" t="s">
        <v>49</v>
      </c>
      <c r="L89" s="150" t="s">
        <v>52</v>
      </c>
      <c r="M89" s="151"/>
      <c r="N89" s="150" t="s">
        <v>10</v>
      </c>
      <c r="O89" s="150" t="s">
        <v>55</v>
      </c>
      <c r="P89" s="150" t="s">
        <v>21</v>
      </c>
      <c r="Q89" s="150" t="s">
        <v>13</v>
      </c>
      <c r="R89" s="150" t="s">
        <v>14</v>
      </c>
      <c r="S89" s="150" t="s">
        <v>15</v>
      </c>
      <c r="T89" s="150" t="s">
        <v>16</v>
      </c>
      <c r="U89" s="150" t="s">
        <v>11</v>
      </c>
      <c r="V89" s="150" t="s">
        <v>17</v>
      </c>
      <c r="W89" s="150" t="s">
        <v>18</v>
      </c>
      <c r="X89" s="150" t="s">
        <v>64</v>
      </c>
      <c r="Y89" s="150" t="s">
        <v>66</v>
      </c>
      <c r="Z89" s="152"/>
    </row>
    <row r="90" ht="15.75" customHeight="1">
      <c r="A90" s="148">
        <v>90.0</v>
      </c>
      <c r="B90" s="149" t="s">
        <v>180</v>
      </c>
      <c r="C90" s="150" t="s">
        <v>1</v>
      </c>
      <c r="D90" s="150" t="s">
        <v>40</v>
      </c>
      <c r="E90" s="150" t="s">
        <v>6</v>
      </c>
      <c r="F90" s="150" t="s">
        <v>19</v>
      </c>
      <c r="G90" s="150" t="s">
        <v>25</v>
      </c>
      <c r="H90" s="150" t="s">
        <v>9</v>
      </c>
      <c r="I90" s="150" t="s">
        <v>20</v>
      </c>
      <c r="J90" s="150" t="s">
        <v>48</v>
      </c>
      <c r="K90" s="150" t="s">
        <v>49</v>
      </c>
      <c r="L90" s="150" t="s">
        <v>52</v>
      </c>
      <c r="M90" s="151"/>
      <c r="N90" s="150" t="s">
        <v>10</v>
      </c>
      <c r="O90" s="150" t="s">
        <v>55</v>
      </c>
      <c r="P90" s="150" t="s">
        <v>21</v>
      </c>
      <c r="Q90" s="150" t="s">
        <v>13</v>
      </c>
      <c r="R90" s="150" t="s">
        <v>14</v>
      </c>
      <c r="S90" s="150" t="s">
        <v>15</v>
      </c>
      <c r="T90" s="150" t="s">
        <v>16</v>
      </c>
      <c r="U90" s="150" t="s">
        <v>11</v>
      </c>
      <c r="V90" s="150" t="s">
        <v>17</v>
      </c>
      <c r="W90" s="150" t="s">
        <v>18</v>
      </c>
      <c r="X90" s="150" t="s">
        <v>64</v>
      </c>
      <c r="Y90" s="150" t="s">
        <v>66</v>
      </c>
      <c r="Z90" s="152"/>
    </row>
    <row r="91" ht="15.75" customHeight="1">
      <c r="A91" s="94">
        <v>91.0</v>
      </c>
      <c r="B91" s="106" t="s">
        <v>181</v>
      </c>
      <c r="C91" s="96" t="s">
        <v>1</v>
      </c>
      <c r="D91" s="96" t="s">
        <v>40</v>
      </c>
      <c r="E91" s="96" t="s">
        <v>6</v>
      </c>
      <c r="F91" s="96" t="s">
        <v>19</v>
      </c>
      <c r="G91" s="96" t="s">
        <v>25</v>
      </c>
      <c r="H91" s="96" t="s">
        <v>9</v>
      </c>
      <c r="I91" s="96" t="s">
        <v>20</v>
      </c>
      <c r="J91" s="96" t="s">
        <v>48</v>
      </c>
      <c r="K91" s="96" t="s">
        <v>49</v>
      </c>
      <c r="L91" s="96" t="s">
        <v>52</v>
      </c>
      <c r="M91" s="101"/>
      <c r="N91" s="96" t="s">
        <v>10</v>
      </c>
      <c r="O91" s="96" t="s">
        <v>55</v>
      </c>
      <c r="P91" s="96" t="s">
        <v>21</v>
      </c>
      <c r="Q91" s="96" t="s">
        <v>13</v>
      </c>
      <c r="R91" s="96" t="s">
        <v>14</v>
      </c>
      <c r="S91" s="96" t="s">
        <v>15</v>
      </c>
      <c r="T91" s="96" t="s">
        <v>16</v>
      </c>
      <c r="U91" s="96" t="s">
        <v>11</v>
      </c>
      <c r="V91" s="96" t="s">
        <v>17</v>
      </c>
      <c r="W91" s="96" t="s">
        <v>18</v>
      </c>
      <c r="X91" s="96" t="s">
        <v>64</v>
      </c>
      <c r="Y91" s="96" t="s">
        <v>66</v>
      </c>
      <c r="Z91" s="105"/>
    </row>
    <row r="92" ht="15.75" customHeight="1">
      <c r="A92" s="94">
        <v>92.0</v>
      </c>
      <c r="B92" s="106" t="s">
        <v>181</v>
      </c>
      <c r="C92" s="96" t="s">
        <v>1</v>
      </c>
      <c r="D92" s="96" t="s">
        <v>40</v>
      </c>
      <c r="E92" s="96" t="s">
        <v>6</v>
      </c>
      <c r="F92" s="96" t="s">
        <v>19</v>
      </c>
      <c r="G92" s="96" t="s">
        <v>25</v>
      </c>
      <c r="H92" s="96" t="s">
        <v>9</v>
      </c>
      <c r="I92" s="96" t="s">
        <v>20</v>
      </c>
      <c r="J92" s="96" t="s">
        <v>48</v>
      </c>
      <c r="K92" s="96" t="s">
        <v>49</v>
      </c>
      <c r="L92" s="96" t="s">
        <v>52</v>
      </c>
      <c r="M92" s="101"/>
      <c r="N92" s="96" t="s">
        <v>10</v>
      </c>
      <c r="O92" s="96" t="s">
        <v>55</v>
      </c>
      <c r="P92" s="96" t="s">
        <v>21</v>
      </c>
      <c r="Q92" s="96" t="s">
        <v>13</v>
      </c>
      <c r="R92" s="96" t="s">
        <v>14</v>
      </c>
      <c r="S92" s="96" t="s">
        <v>15</v>
      </c>
      <c r="T92" s="96" t="s">
        <v>16</v>
      </c>
      <c r="U92" s="96" t="s">
        <v>11</v>
      </c>
      <c r="V92" s="96" t="s">
        <v>17</v>
      </c>
      <c r="W92" s="96" t="s">
        <v>18</v>
      </c>
      <c r="X92" s="96" t="s">
        <v>64</v>
      </c>
      <c r="Y92" s="96" t="s">
        <v>66</v>
      </c>
      <c r="Z92" s="105"/>
    </row>
    <row r="93" ht="15.75" customHeight="1">
      <c r="A93" s="94">
        <v>93.0</v>
      </c>
      <c r="B93" s="106" t="s">
        <v>181</v>
      </c>
      <c r="C93" s="96" t="s">
        <v>1</v>
      </c>
      <c r="D93" s="96" t="s">
        <v>40</v>
      </c>
      <c r="E93" s="96" t="s">
        <v>6</v>
      </c>
      <c r="F93" s="96" t="s">
        <v>19</v>
      </c>
      <c r="G93" s="96" t="s">
        <v>25</v>
      </c>
      <c r="H93" s="96" t="s">
        <v>9</v>
      </c>
      <c r="I93" s="96" t="s">
        <v>20</v>
      </c>
      <c r="J93" s="96" t="s">
        <v>48</v>
      </c>
      <c r="K93" s="96" t="s">
        <v>49</v>
      </c>
      <c r="L93" s="96" t="s">
        <v>52</v>
      </c>
      <c r="M93" s="101"/>
      <c r="N93" s="96" t="s">
        <v>10</v>
      </c>
      <c r="O93" s="96" t="s">
        <v>55</v>
      </c>
      <c r="P93" s="96" t="s">
        <v>21</v>
      </c>
      <c r="Q93" s="96" t="s">
        <v>13</v>
      </c>
      <c r="R93" s="96" t="s">
        <v>14</v>
      </c>
      <c r="S93" s="96" t="s">
        <v>15</v>
      </c>
      <c r="T93" s="96" t="s">
        <v>16</v>
      </c>
      <c r="U93" s="96" t="s">
        <v>11</v>
      </c>
      <c r="V93" s="96" t="s">
        <v>17</v>
      </c>
      <c r="W93" s="96" t="s">
        <v>18</v>
      </c>
      <c r="X93" s="96" t="s">
        <v>64</v>
      </c>
      <c r="Y93" s="96" t="s">
        <v>66</v>
      </c>
      <c r="Z93" s="105"/>
    </row>
    <row r="94" ht="15.75" customHeight="1">
      <c r="A94" s="148">
        <v>94.0</v>
      </c>
      <c r="B94" s="149" t="s">
        <v>182</v>
      </c>
      <c r="C94" s="150" t="s">
        <v>1</v>
      </c>
      <c r="D94" s="150" t="s">
        <v>40</v>
      </c>
      <c r="E94" s="150" t="s">
        <v>6</v>
      </c>
      <c r="F94" s="150" t="s">
        <v>19</v>
      </c>
      <c r="G94" s="150" t="s">
        <v>25</v>
      </c>
      <c r="H94" s="150" t="s">
        <v>9</v>
      </c>
      <c r="I94" s="150" t="s">
        <v>20</v>
      </c>
      <c r="J94" s="150" t="s">
        <v>48</v>
      </c>
      <c r="K94" s="150" t="s">
        <v>49</v>
      </c>
      <c r="L94" s="150" t="s">
        <v>52</v>
      </c>
      <c r="M94" s="151"/>
      <c r="N94" s="150" t="s">
        <v>10</v>
      </c>
      <c r="O94" s="150" t="s">
        <v>55</v>
      </c>
      <c r="P94" s="150" t="s">
        <v>21</v>
      </c>
      <c r="Q94" s="150" t="s">
        <v>13</v>
      </c>
      <c r="R94" s="150" t="s">
        <v>14</v>
      </c>
      <c r="S94" s="150" t="s">
        <v>15</v>
      </c>
      <c r="T94" s="150" t="s">
        <v>16</v>
      </c>
      <c r="U94" s="150" t="s">
        <v>11</v>
      </c>
      <c r="V94" s="150" t="s">
        <v>17</v>
      </c>
      <c r="W94" s="150" t="s">
        <v>18</v>
      </c>
      <c r="X94" s="150" t="s">
        <v>64</v>
      </c>
      <c r="Y94" s="150" t="s">
        <v>66</v>
      </c>
      <c r="Z94" s="152"/>
    </row>
    <row r="95" ht="15.75" customHeight="1">
      <c r="A95" s="148">
        <v>95.0</v>
      </c>
      <c r="B95" s="149" t="s">
        <v>182</v>
      </c>
      <c r="C95" s="150" t="s">
        <v>1</v>
      </c>
      <c r="D95" s="150" t="s">
        <v>40</v>
      </c>
      <c r="E95" s="150" t="s">
        <v>6</v>
      </c>
      <c r="F95" s="150" t="s">
        <v>19</v>
      </c>
      <c r="G95" s="150" t="s">
        <v>25</v>
      </c>
      <c r="H95" s="150" t="s">
        <v>9</v>
      </c>
      <c r="I95" s="150" t="s">
        <v>20</v>
      </c>
      <c r="J95" s="150" t="s">
        <v>48</v>
      </c>
      <c r="K95" s="150" t="s">
        <v>49</v>
      </c>
      <c r="L95" s="150" t="s">
        <v>52</v>
      </c>
      <c r="M95" s="151"/>
      <c r="N95" s="150" t="s">
        <v>10</v>
      </c>
      <c r="O95" s="150" t="s">
        <v>55</v>
      </c>
      <c r="P95" s="150" t="s">
        <v>21</v>
      </c>
      <c r="Q95" s="150" t="s">
        <v>13</v>
      </c>
      <c r="R95" s="150" t="s">
        <v>14</v>
      </c>
      <c r="S95" s="150" t="s">
        <v>15</v>
      </c>
      <c r="T95" s="150" t="s">
        <v>16</v>
      </c>
      <c r="U95" s="150" t="s">
        <v>11</v>
      </c>
      <c r="V95" s="150" t="s">
        <v>17</v>
      </c>
      <c r="W95" s="150" t="s">
        <v>18</v>
      </c>
      <c r="X95" s="150" t="s">
        <v>64</v>
      </c>
      <c r="Y95" s="150" t="s">
        <v>66</v>
      </c>
      <c r="Z95" s="152"/>
    </row>
    <row r="96" ht="15.75" customHeight="1">
      <c r="A96" s="148">
        <v>96.0</v>
      </c>
      <c r="B96" s="149" t="s">
        <v>182</v>
      </c>
      <c r="C96" s="150" t="s">
        <v>1</v>
      </c>
      <c r="D96" s="150" t="s">
        <v>40</v>
      </c>
      <c r="E96" s="150" t="s">
        <v>6</v>
      </c>
      <c r="F96" s="150" t="s">
        <v>19</v>
      </c>
      <c r="G96" s="150" t="s">
        <v>25</v>
      </c>
      <c r="H96" s="150" t="s">
        <v>9</v>
      </c>
      <c r="I96" s="150" t="s">
        <v>20</v>
      </c>
      <c r="J96" s="150" t="s">
        <v>48</v>
      </c>
      <c r="K96" s="150" t="s">
        <v>49</v>
      </c>
      <c r="L96" s="150" t="s">
        <v>52</v>
      </c>
      <c r="M96" s="151"/>
      <c r="N96" s="150" t="s">
        <v>10</v>
      </c>
      <c r="O96" s="150" t="s">
        <v>55</v>
      </c>
      <c r="P96" s="150" t="s">
        <v>21</v>
      </c>
      <c r="Q96" s="150" t="s">
        <v>13</v>
      </c>
      <c r="R96" s="150" t="s">
        <v>14</v>
      </c>
      <c r="S96" s="150" t="s">
        <v>15</v>
      </c>
      <c r="T96" s="150" t="s">
        <v>16</v>
      </c>
      <c r="U96" s="150" t="s">
        <v>11</v>
      </c>
      <c r="V96" s="150" t="s">
        <v>17</v>
      </c>
      <c r="W96" s="150" t="s">
        <v>18</v>
      </c>
      <c r="X96" s="150" t="s">
        <v>64</v>
      </c>
      <c r="Y96" s="150" t="s">
        <v>66</v>
      </c>
      <c r="Z96" s="152"/>
    </row>
    <row r="97" ht="15.75" customHeight="1">
      <c r="A97" s="94">
        <v>97.0</v>
      </c>
      <c r="B97" s="106" t="s">
        <v>183</v>
      </c>
      <c r="C97" s="96" t="s">
        <v>1</v>
      </c>
      <c r="D97" s="96" t="s">
        <v>40</v>
      </c>
      <c r="E97" s="96" t="s">
        <v>6</v>
      </c>
      <c r="F97" s="96" t="s">
        <v>19</v>
      </c>
      <c r="G97" s="96" t="s">
        <v>25</v>
      </c>
      <c r="H97" s="96" t="s">
        <v>9</v>
      </c>
      <c r="I97" s="96" t="s">
        <v>20</v>
      </c>
      <c r="J97" s="96" t="s">
        <v>48</v>
      </c>
      <c r="K97" s="96" t="s">
        <v>49</v>
      </c>
      <c r="L97" s="96" t="s">
        <v>52</v>
      </c>
      <c r="M97" s="101"/>
      <c r="N97" s="96" t="s">
        <v>10</v>
      </c>
      <c r="O97" s="96" t="s">
        <v>55</v>
      </c>
      <c r="P97" s="96" t="s">
        <v>21</v>
      </c>
      <c r="Q97" s="96" t="s">
        <v>13</v>
      </c>
      <c r="R97" s="96" t="s">
        <v>14</v>
      </c>
      <c r="S97" s="96" t="s">
        <v>15</v>
      </c>
      <c r="T97" s="96" t="s">
        <v>16</v>
      </c>
      <c r="U97" s="96" t="s">
        <v>11</v>
      </c>
      <c r="V97" s="96" t="s">
        <v>17</v>
      </c>
      <c r="W97" s="96" t="s">
        <v>18</v>
      </c>
      <c r="X97" s="96" t="s">
        <v>64</v>
      </c>
      <c r="Y97" s="96" t="s">
        <v>66</v>
      </c>
      <c r="Z97" s="105"/>
    </row>
    <row r="98" ht="15.75" customHeight="1">
      <c r="A98" s="94">
        <v>98.0</v>
      </c>
      <c r="B98" s="106" t="s">
        <v>183</v>
      </c>
      <c r="C98" s="96" t="s">
        <v>1</v>
      </c>
      <c r="D98" s="96" t="s">
        <v>40</v>
      </c>
      <c r="E98" s="96" t="s">
        <v>6</v>
      </c>
      <c r="F98" s="96" t="s">
        <v>19</v>
      </c>
      <c r="G98" s="96" t="s">
        <v>25</v>
      </c>
      <c r="H98" s="96" t="s">
        <v>9</v>
      </c>
      <c r="I98" s="96" t="s">
        <v>20</v>
      </c>
      <c r="J98" s="96" t="s">
        <v>48</v>
      </c>
      <c r="K98" s="96" t="s">
        <v>49</v>
      </c>
      <c r="L98" s="96" t="s">
        <v>52</v>
      </c>
      <c r="M98" s="101"/>
      <c r="N98" s="96" t="s">
        <v>10</v>
      </c>
      <c r="O98" s="96" t="s">
        <v>55</v>
      </c>
      <c r="P98" s="96" t="s">
        <v>21</v>
      </c>
      <c r="Q98" s="96" t="s">
        <v>13</v>
      </c>
      <c r="R98" s="96" t="s">
        <v>14</v>
      </c>
      <c r="S98" s="96" t="s">
        <v>15</v>
      </c>
      <c r="T98" s="96" t="s">
        <v>16</v>
      </c>
      <c r="U98" s="96" t="s">
        <v>11</v>
      </c>
      <c r="V98" s="96" t="s">
        <v>17</v>
      </c>
      <c r="W98" s="96" t="s">
        <v>18</v>
      </c>
      <c r="X98" s="96" t="s">
        <v>64</v>
      </c>
      <c r="Y98" s="96" t="s">
        <v>66</v>
      </c>
      <c r="Z98" s="105"/>
    </row>
    <row r="99" ht="15.75" customHeight="1">
      <c r="A99" s="94">
        <v>99.0</v>
      </c>
      <c r="B99" s="106" t="s">
        <v>183</v>
      </c>
      <c r="C99" s="96" t="s">
        <v>1</v>
      </c>
      <c r="D99" s="96" t="s">
        <v>40</v>
      </c>
      <c r="E99" s="96" t="s">
        <v>6</v>
      </c>
      <c r="F99" s="96" t="s">
        <v>19</v>
      </c>
      <c r="G99" s="96" t="s">
        <v>25</v>
      </c>
      <c r="H99" s="96" t="s">
        <v>9</v>
      </c>
      <c r="I99" s="96" t="s">
        <v>20</v>
      </c>
      <c r="J99" s="96" t="s">
        <v>48</v>
      </c>
      <c r="K99" s="96" t="s">
        <v>49</v>
      </c>
      <c r="L99" s="96" t="s">
        <v>52</v>
      </c>
      <c r="M99" s="101"/>
      <c r="N99" s="96" t="s">
        <v>10</v>
      </c>
      <c r="O99" s="96" t="s">
        <v>55</v>
      </c>
      <c r="P99" s="96" t="s">
        <v>21</v>
      </c>
      <c r="Q99" s="96" t="s">
        <v>13</v>
      </c>
      <c r="R99" s="96" t="s">
        <v>14</v>
      </c>
      <c r="S99" s="96" t="s">
        <v>15</v>
      </c>
      <c r="T99" s="96" t="s">
        <v>16</v>
      </c>
      <c r="U99" s="96" t="s">
        <v>11</v>
      </c>
      <c r="V99" s="96" t="s">
        <v>17</v>
      </c>
      <c r="W99" s="96" t="s">
        <v>18</v>
      </c>
      <c r="X99" s="96" t="s">
        <v>64</v>
      </c>
      <c r="Y99" s="96" t="s">
        <v>66</v>
      </c>
      <c r="Z99" s="105"/>
    </row>
    <row r="100" ht="15.75" customHeight="1">
      <c r="A100" s="183">
        <v>100.0</v>
      </c>
      <c r="B100" s="184" t="s">
        <v>184</v>
      </c>
      <c r="C100" s="186"/>
      <c r="D100" s="186"/>
      <c r="E100" s="186"/>
      <c r="F100" s="186"/>
      <c r="G100" s="186"/>
      <c r="H100" s="186"/>
      <c r="I100" s="186"/>
      <c r="J100" s="186"/>
      <c r="K100" s="186"/>
      <c r="L100" s="186"/>
      <c r="M100" s="187"/>
      <c r="N100" s="188" t="s">
        <v>64</v>
      </c>
      <c r="O100" s="188" t="s">
        <v>66</v>
      </c>
      <c r="P100" s="188" t="s">
        <v>14</v>
      </c>
      <c r="Q100" s="189"/>
      <c r="R100" s="189"/>
      <c r="S100" s="189"/>
      <c r="T100" s="189"/>
      <c r="U100" s="189"/>
      <c r="V100" s="189"/>
      <c r="W100" s="189"/>
      <c r="X100" s="189"/>
      <c r="Y100" s="189"/>
      <c r="Z100" s="186"/>
    </row>
    <row r="101" ht="15.75" customHeight="1">
      <c r="A101" s="63">
        <v>101.0</v>
      </c>
      <c r="B101" s="190" t="s">
        <v>185</v>
      </c>
      <c r="C101" s="73" t="s">
        <v>1</v>
      </c>
      <c r="D101" s="73" t="s">
        <v>40</v>
      </c>
      <c r="E101" s="73" t="s">
        <v>6</v>
      </c>
      <c r="F101" s="73" t="s">
        <v>19</v>
      </c>
      <c r="G101" s="73" t="s">
        <v>25</v>
      </c>
      <c r="H101" s="73" t="s">
        <v>9</v>
      </c>
      <c r="I101" s="73" t="s">
        <v>20</v>
      </c>
      <c r="J101" s="73" t="s">
        <v>48</v>
      </c>
      <c r="K101" s="73" t="s">
        <v>49</v>
      </c>
      <c r="L101" s="73" t="s">
        <v>52</v>
      </c>
      <c r="M101" s="87"/>
      <c r="N101" s="73" t="s">
        <v>10</v>
      </c>
      <c r="O101" s="73" t="s">
        <v>55</v>
      </c>
      <c r="P101" s="73" t="s">
        <v>21</v>
      </c>
      <c r="Q101" s="73" t="s">
        <v>13</v>
      </c>
      <c r="R101" s="73" t="s">
        <v>14</v>
      </c>
      <c r="S101" s="96" t="s">
        <v>15</v>
      </c>
      <c r="T101" s="96" t="s">
        <v>16</v>
      </c>
      <c r="U101" s="73" t="s">
        <v>11</v>
      </c>
      <c r="V101" s="73" t="s">
        <v>17</v>
      </c>
      <c r="W101" s="73" t="s">
        <v>18</v>
      </c>
      <c r="X101" s="73" t="s">
        <v>64</v>
      </c>
      <c r="Y101" s="73" t="s">
        <v>66</v>
      </c>
      <c r="Z101" s="93"/>
    </row>
    <row r="102" ht="15.75" customHeight="1">
      <c r="A102" s="94">
        <v>102.0</v>
      </c>
      <c r="B102" s="106" t="s">
        <v>185</v>
      </c>
      <c r="C102" s="96" t="s">
        <v>1</v>
      </c>
      <c r="D102" s="96" t="s">
        <v>40</v>
      </c>
      <c r="E102" s="96" t="s">
        <v>6</v>
      </c>
      <c r="F102" s="96" t="s">
        <v>19</v>
      </c>
      <c r="G102" s="96" t="s">
        <v>25</v>
      </c>
      <c r="H102" s="96" t="s">
        <v>9</v>
      </c>
      <c r="I102" s="96" t="s">
        <v>20</v>
      </c>
      <c r="J102" s="96" t="s">
        <v>48</v>
      </c>
      <c r="K102" s="96" t="s">
        <v>49</v>
      </c>
      <c r="L102" s="96" t="s">
        <v>52</v>
      </c>
      <c r="M102" s="101"/>
      <c r="N102" s="96" t="s">
        <v>10</v>
      </c>
      <c r="O102" s="96" t="s">
        <v>55</v>
      </c>
      <c r="P102" s="96" t="s">
        <v>21</v>
      </c>
      <c r="Q102" s="96" t="s">
        <v>13</v>
      </c>
      <c r="R102" s="96" t="s">
        <v>14</v>
      </c>
      <c r="S102" s="96" t="s">
        <v>15</v>
      </c>
      <c r="T102" s="96" t="s">
        <v>16</v>
      </c>
      <c r="U102" s="96" t="s">
        <v>11</v>
      </c>
      <c r="V102" s="96" t="s">
        <v>17</v>
      </c>
      <c r="W102" s="96" t="s">
        <v>18</v>
      </c>
      <c r="X102" s="96" t="s">
        <v>64</v>
      </c>
      <c r="Y102" s="96" t="s">
        <v>66</v>
      </c>
      <c r="Z102" s="105"/>
    </row>
    <row r="103" ht="15.75" customHeight="1">
      <c r="A103" s="94">
        <v>103.0</v>
      </c>
      <c r="B103" s="106" t="s">
        <v>185</v>
      </c>
      <c r="C103" s="96" t="s">
        <v>1</v>
      </c>
      <c r="D103" s="96" t="s">
        <v>40</v>
      </c>
      <c r="E103" s="96" t="s">
        <v>6</v>
      </c>
      <c r="F103" s="96" t="s">
        <v>19</v>
      </c>
      <c r="G103" s="96" t="s">
        <v>25</v>
      </c>
      <c r="H103" s="96" t="s">
        <v>9</v>
      </c>
      <c r="I103" s="96" t="s">
        <v>20</v>
      </c>
      <c r="J103" s="96" t="s">
        <v>48</v>
      </c>
      <c r="K103" s="96" t="s">
        <v>49</v>
      </c>
      <c r="L103" s="96" t="s">
        <v>52</v>
      </c>
      <c r="M103" s="101"/>
      <c r="N103" s="96" t="s">
        <v>10</v>
      </c>
      <c r="O103" s="96" t="s">
        <v>55</v>
      </c>
      <c r="P103" s="96" t="s">
        <v>21</v>
      </c>
      <c r="Q103" s="96" t="s">
        <v>13</v>
      </c>
      <c r="R103" s="96" t="s">
        <v>14</v>
      </c>
      <c r="S103" s="96" t="s">
        <v>15</v>
      </c>
      <c r="T103" s="96" t="s">
        <v>16</v>
      </c>
      <c r="U103" s="96" t="s">
        <v>11</v>
      </c>
      <c r="V103" s="96" t="s">
        <v>17</v>
      </c>
      <c r="W103" s="96" t="s">
        <v>18</v>
      </c>
      <c r="X103" s="96" t="s">
        <v>64</v>
      </c>
      <c r="Y103" s="96" t="s">
        <v>66</v>
      </c>
      <c r="Z103" s="105"/>
    </row>
    <row r="104" ht="15.75" customHeight="1">
      <c r="A104" s="111">
        <v>104.0</v>
      </c>
      <c r="B104" s="113" t="s">
        <v>186</v>
      </c>
      <c r="C104" s="114" t="s">
        <v>1</v>
      </c>
      <c r="D104" s="114" t="s">
        <v>40</v>
      </c>
      <c r="E104" s="114" t="s">
        <v>6</v>
      </c>
      <c r="F104" s="114" t="s">
        <v>19</v>
      </c>
      <c r="G104" s="114" t="s">
        <v>25</v>
      </c>
      <c r="H104" s="114" t="s">
        <v>9</v>
      </c>
      <c r="I104" s="114" t="s">
        <v>20</v>
      </c>
      <c r="J104" s="114" t="s">
        <v>48</v>
      </c>
      <c r="K104" s="114" t="s">
        <v>49</v>
      </c>
      <c r="L104" s="114" t="s">
        <v>52</v>
      </c>
      <c r="M104" s="120"/>
      <c r="N104" s="114" t="s">
        <v>10</v>
      </c>
      <c r="O104" s="114" t="s">
        <v>55</v>
      </c>
      <c r="P104" s="114" t="s">
        <v>21</v>
      </c>
      <c r="Q104" s="114" t="s">
        <v>13</v>
      </c>
      <c r="R104" s="114" t="s">
        <v>14</v>
      </c>
      <c r="S104" s="114" t="s">
        <v>15</v>
      </c>
      <c r="T104" s="114" t="s">
        <v>16</v>
      </c>
      <c r="U104" s="114" t="s">
        <v>11</v>
      </c>
      <c r="V104" s="114" t="s">
        <v>17</v>
      </c>
      <c r="W104" s="114" t="s">
        <v>18</v>
      </c>
      <c r="X104" s="114" t="s">
        <v>64</v>
      </c>
      <c r="Y104" s="114" t="s">
        <v>66</v>
      </c>
      <c r="Z104" s="130"/>
    </row>
    <row r="105" ht="15.75" customHeight="1">
      <c r="A105" s="111">
        <v>105.0</v>
      </c>
      <c r="B105" s="113" t="s">
        <v>186</v>
      </c>
      <c r="C105" s="114" t="s">
        <v>1</v>
      </c>
      <c r="D105" s="114" t="s">
        <v>40</v>
      </c>
      <c r="E105" s="114" t="s">
        <v>6</v>
      </c>
      <c r="F105" s="114" t="s">
        <v>19</v>
      </c>
      <c r="G105" s="114" t="s">
        <v>25</v>
      </c>
      <c r="H105" s="114" t="s">
        <v>9</v>
      </c>
      <c r="I105" s="114" t="s">
        <v>20</v>
      </c>
      <c r="J105" s="114" t="s">
        <v>48</v>
      </c>
      <c r="K105" s="114" t="s">
        <v>49</v>
      </c>
      <c r="L105" s="114" t="s">
        <v>52</v>
      </c>
      <c r="M105" s="120"/>
      <c r="N105" s="114" t="s">
        <v>10</v>
      </c>
      <c r="O105" s="114" t="s">
        <v>55</v>
      </c>
      <c r="P105" s="114" t="s">
        <v>21</v>
      </c>
      <c r="Q105" s="114" t="s">
        <v>13</v>
      </c>
      <c r="R105" s="114" t="s">
        <v>14</v>
      </c>
      <c r="S105" s="114" t="s">
        <v>15</v>
      </c>
      <c r="T105" s="114" t="s">
        <v>16</v>
      </c>
      <c r="U105" s="114" t="s">
        <v>11</v>
      </c>
      <c r="V105" s="114" t="s">
        <v>17</v>
      </c>
      <c r="W105" s="114" t="s">
        <v>18</v>
      </c>
      <c r="X105" s="114" t="s">
        <v>64</v>
      </c>
      <c r="Y105" s="114" t="s">
        <v>66</v>
      </c>
      <c r="Z105" s="130"/>
    </row>
    <row r="106" ht="15.75" customHeight="1">
      <c r="A106" s="111">
        <v>106.0</v>
      </c>
      <c r="B106" s="113" t="s">
        <v>186</v>
      </c>
      <c r="C106" s="114" t="s">
        <v>1</v>
      </c>
      <c r="D106" s="114" t="s">
        <v>40</v>
      </c>
      <c r="E106" s="114" t="s">
        <v>6</v>
      </c>
      <c r="F106" s="114" t="s">
        <v>19</v>
      </c>
      <c r="G106" s="114" t="s">
        <v>25</v>
      </c>
      <c r="H106" s="114" t="s">
        <v>9</v>
      </c>
      <c r="I106" s="114" t="s">
        <v>20</v>
      </c>
      <c r="J106" s="114" t="s">
        <v>48</v>
      </c>
      <c r="K106" s="114" t="s">
        <v>49</v>
      </c>
      <c r="L106" s="114" t="s">
        <v>52</v>
      </c>
      <c r="M106" s="120"/>
      <c r="N106" s="114" t="s">
        <v>10</v>
      </c>
      <c r="O106" s="114" t="s">
        <v>55</v>
      </c>
      <c r="P106" s="114" t="s">
        <v>21</v>
      </c>
      <c r="Q106" s="114" t="s">
        <v>13</v>
      </c>
      <c r="R106" s="114" t="s">
        <v>14</v>
      </c>
      <c r="S106" s="114" t="s">
        <v>15</v>
      </c>
      <c r="T106" s="114" t="s">
        <v>16</v>
      </c>
      <c r="U106" s="114" t="s">
        <v>11</v>
      </c>
      <c r="V106" s="114" t="s">
        <v>17</v>
      </c>
      <c r="W106" s="114" t="s">
        <v>18</v>
      </c>
      <c r="X106" s="114" t="s">
        <v>64</v>
      </c>
      <c r="Y106" s="114" t="s">
        <v>66</v>
      </c>
      <c r="Z106" s="130"/>
    </row>
    <row r="107" ht="15.75" customHeight="1">
      <c r="A107" s="94">
        <v>107.0</v>
      </c>
      <c r="B107" s="106" t="s">
        <v>187</v>
      </c>
      <c r="C107" s="96" t="s">
        <v>1</v>
      </c>
      <c r="D107" s="96" t="s">
        <v>40</v>
      </c>
      <c r="E107" s="96" t="s">
        <v>6</v>
      </c>
      <c r="F107" s="96" t="s">
        <v>19</v>
      </c>
      <c r="G107" s="96" t="s">
        <v>25</v>
      </c>
      <c r="H107" s="96" t="s">
        <v>9</v>
      </c>
      <c r="I107" s="96" t="s">
        <v>20</v>
      </c>
      <c r="J107" s="96" t="s">
        <v>48</v>
      </c>
      <c r="K107" s="96" t="s">
        <v>49</v>
      </c>
      <c r="L107" s="96" t="s">
        <v>52</v>
      </c>
      <c r="M107" s="101"/>
      <c r="N107" s="96" t="s">
        <v>10</v>
      </c>
      <c r="O107" s="96" t="s">
        <v>55</v>
      </c>
      <c r="P107" s="96" t="s">
        <v>21</v>
      </c>
      <c r="Q107" s="96" t="s">
        <v>13</v>
      </c>
      <c r="R107" s="96" t="s">
        <v>14</v>
      </c>
      <c r="S107" s="96" t="s">
        <v>15</v>
      </c>
      <c r="T107" s="96" t="s">
        <v>16</v>
      </c>
      <c r="U107" s="96" t="s">
        <v>11</v>
      </c>
      <c r="V107" s="96" t="s">
        <v>17</v>
      </c>
      <c r="W107" s="96" t="s">
        <v>18</v>
      </c>
      <c r="X107" s="96" t="s">
        <v>64</v>
      </c>
      <c r="Y107" s="96" t="s">
        <v>66</v>
      </c>
      <c r="Z107" s="105"/>
    </row>
    <row r="108" ht="15.75" customHeight="1">
      <c r="A108" s="94">
        <v>108.0</v>
      </c>
      <c r="B108" s="106" t="s">
        <v>187</v>
      </c>
      <c r="C108" s="96" t="s">
        <v>1</v>
      </c>
      <c r="D108" s="96" t="s">
        <v>40</v>
      </c>
      <c r="E108" s="96" t="s">
        <v>6</v>
      </c>
      <c r="F108" s="96" t="s">
        <v>19</v>
      </c>
      <c r="G108" s="96" t="s">
        <v>25</v>
      </c>
      <c r="H108" s="96" t="s">
        <v>9</v>
      </c>
      <c r="I108" s="96" t="s">
        <v>20</v>
      </c>
      <c r="J108" s="96" t="s">
        <v>48</v>
      </c>
      <c r="K108" s="96" t="s">
        <v>49</v>
      </c>
      <c r="L108" s="96" t="s">
        <v>52</v>
      </c>
      <c r="M108" s="101"/>
      <c r="N108" s="96" t="s">
        <v>10</v>
      </c>
      <c r="O108" s="96" t="s">
        <v>55</v>
      </c>
      <c r="P108" s="96" t="s">
        <v>21</v>
      </c>
      <c r="Q108" s="96" t="s">
        <v>13</v>
      </c>
      <c r="R108" s="96" t="s">
        <v>14</v>
      </c>
      <c r="S108" s="96" t="s">
        <v>15</v>
      </c>
      <c r="T108" s="96" t="s">
        <v>16</v>
      </c>
      <c r="U108" s="96" t="s">
        <v>11</v>
      </c>
      <c r="V108" s="96" t="s">
        <v>17</v>
      </c>
      <c r="W108" s="96" t="s">
        <v>18</v>
      </c>
      <c r="X108" s="96" t="s">
        <v>64</v>
      </c>
      <c r="Y108" s="96" t="s">
        <v>66</v>
      </c>
      <c r="Z108" s="105"/>
    </row>
    <row r="109" ht="15.75" customHeight="1">
      <c r="A109" s="94">
        <v>109.0</v>
      </c>
      <c r="B109" s="106" t="s">
        <v>187</v>
      </c>
      <c r="C109" s="96" t="s">
        <v>1</v>
      </c>
      <c r="D109" s="96" t="s">
        <v>40</v>
      </c>
      <c r="E109" s="96" t="s">
        <v>6</v>
      </c>
      <c r="F109" s="96" t="s">
        <v>19</v>
      </c>
      <c r="G109" s="96" t="s">
        <v>25</v>
      </c>
      <c r="H109" s="96" t="s">
        <v>9</v>
      </c>
      <c r="I109" s="96" t="s">
        <v>20</v>
      </c>
      <c r="J109" s="96" t="s">
        <v>48</v>
      </c>
      <c r="K109" s="96" t="s">
        <v>49</v>
      </c>
      <c r="L109" s="96" t="s">
        <v>52</v>
      </c>
      <c r="M109" s="101"/>
      <c r="N109" s="96" t="s">
        <v>10</v>
      </c>
      <c r="O109" s="96" t="s">
        <v>55</v>
      </c>
      <c r="P109" s="96" t="s">
        <v>21</v>
      </c>
      <c r="Q109" s="96" t="s">
        <v>13</v>
      </c>
      <c r="R109" s="96" t="s">
        <v>14</v>
      </c>
      <c r="S109" s="96" t="s">
        <v>15</v>
      </c>
      <c r="T109" s="96" t="s">
        <v>16</v>
      </c>
      <c r="U109" s="96" t="s">
        <v>11</v>
      </c>
      <c r="V109" s="96" t="s">
        <v>17</v>
      </c>
      <c r="W109" s="96" t="s">
        <v>18</v>
      </c>
      <c r="X109" s="96" t="s">
        <v>64</v>
      </c>
      <c r="Y109" s="96" t="s">
        <v>66</v>
      </c>
      <c r="Z109" s="105"/>
    </row>
    <row r="110" ht="15.75" customHeight="1">
      <c r="A110" s="111">
        <v>110.0</v>
      </c>
      <c r="B110" s="113" t="s">
        <v>188</v>
      </c>
      <c r="C110" s="114" t="s">
        <v>1</v>
      </c>
      <c r="D110" s="114" t="s">
        <v>40</v>
      </c>
      <c r="E110" s="114" t="s">
        <v>6</v>
      </c>
      <c r="F110" s="114" t="s">
        <v>19</v>
      </c>
      <c r="G110" s="114" t="s">
        <v>25</v>
      </c>
      <c r="H110" s="114" t="s">
        <v>9</v>
      </c>
      <c r="I110" s="114" t="s">
        <v>20</v>
      </c>
      <c r="J110" s="114" t="s">
        <v>48</v>
      </c>
      <c r="K110" s="114" t="s">
        <v>49</v>
      </c>
      <c r="L110" s="114" t="s">
        <v>52</v>
      </c>
      <c r="M110" s="120"/>
      <c r="N110" s="114" t="s">
        <v>10</v>
      </c>
      <c r="O110" s="114" t="s">
        <v>55</v>
      </c>
      <c r="P110" s="114" t="s">
        <v>21</v>
      </c>
      <c r="Q110" s="114" t="s">
        <v>13</v>
      </c>
      <c r="R110" s="114" t="s">
        <v>14</v>
      </c>
      <c r="S110" s="114" t="s">
        <v>15</v>
      </c>
      <c r="T110" s="114" t="s">
        <v>16</v>
      </c>
      <c r="U110" s="114" t="s">
        <v>11</v>
      </c>
      <c r="V110" s="114" t="s">
        <v>17</v>
      </c>
      <c r="W110" s="114" t="s">
        <v>18</v>
      </c>
      <c r="X110" s="114" t="s">
        <v>64</v>
      </c>
      <c r="Y110" s="114" t="s">
        <v>66</v>
      </c>
      <c r="Z110" s="130"/>
    </row>
    <row r="111" ht="15.75" customHeight="1">
      <c r="A111" s="111">
        <v>111.0</v>
      </c>
      <c r="B111" s="113" t="s">
        <v>188</v>
      </c>
      <c r="C111" s="114" t="s">
        <v>1</v>
      </c>
      <c r="D111" s="114" t="s">
        <v>40</v>
      </c>
      <c r="E111" s="114" t="s">
        <v>6</v>
      </c>
      <c r="F111" s="114" t="s">
        <v>19</v>
      </c>
      <c r="G111" s="114" t="s">
        <v>25</v>
      </c>
      <c r="H111" s="114" t="s">
        <v>9</v>
      </c>
      <c r="I111" s="114" t="s">
        <v>20</v>
      </c>
      <c r="J111" s="114" t="s">
        <v>48</v>
      </c>
      <c r="K111" s="114" t="s">
        <v>49</v>
      </c>
      <c r="L111" s="114" t="s">
        <v>52</v>
      </c>
      <c r="M111" s="120"/>
      <c r="N111" s="114" t="s">
        <v>10</v>
      </c>
      <c r="O111" s="114" t="s">
        <v>55</v>
      </c>
      <c r="P111" s="114" t="s">
        <v>21</v>
      </c>
      <c r="Q111" s="114" t="s">
        <v>13</v>
      </c>
      <c r="R111" s="114" t="s">
        <v>14</v>
      </c>
      <c r="S111" s="114" t="s">
        <v>15</v>
      </c>
      <c r="T111" s="114" t="s">
        <v>16</v>
      </c>
      <c r="U111" s="114" t="s">
        <v>11</v>
      </c>
      <c r="V111" s="114" t="s">
        <v>17</v>
      </c>
      <c r="W111" s="114" t="s">
        <v>18</v>
      </c>
      <c r="X111" s="114" t="s">
        <v>64</v>
      </c>
      <c r="Y111" s="114" t="s">
        <v>66</v>
      </c>
      <c r="Z111" s="130"/>
    </row>
    <row r="112" ht="15.75" customHeight="1">
      <c r="A112" s="111">
        <v>112.0</v>
      </c>
      <c r="B112" s="113" t="s">
        <v>188</v>
      </c>
      <c r="C112" s="114" t="s">
        <v>1</v>
      </c>
      <c r="D112" s="114" t="s">
        <v>40</v>
      </c>
      <c r="E112" s="114" t="s">
        <v>6</v>
      </c>
      <c r="F112" s="114" t="s">
        <v>19</v>
      </c>
      <c r="G112" s="114" t="s">
        <v>25</v>
      </c>
      <c r="H112" s="114" t="s">
        <v>9</v>
      </c>
      <c r="I112" s="114" t="s">
        <v>20</v>
      </c>
      <c r="J112" s="114" t="s">
        <v>48</v>
      </c>
      <c r="K112" s="114" t="s">
        <v>49</v>
      </c>
      <c r="L112" s="114" t="s">
        <v>52</v>
      </c>
      <c r="M112" s="120"/>
      <c r="N112" s="114" t="s">
        <v>10</v>
      </c>
      <c r="O112" s="114" t="s">
        <v>55</v>
      </c>
      <c r="P112" s="114" t="s">
        <v>21</v>
      </c>
      <c r="Q112" s="114" t="s">
        <v>13</v>
      </c>
      <c r="R112" s="114" t="s">
        <v>14</v>
      </c>
      <c r="S112" s="114" t="s">
        <v>15</v>
      </c>
      <c r="T112" s="114" t="s">
        <v>16</v>
      </c>
      <c r="U112" s="114" t="s">
        <v>11</v>
      </c>
      <c r="V112" s="114" t="s">
        <v>17</v>
      </c>
      <c r="W112" s="114" t="s">
        <v>18</v>
      </c>
      <c r="X112" s="114" t="s">
        <v>64</v>
      </c>
      <c r="Y112" s="114" t="s">
        <v>66</v>
      </c>
      <c r="Z112" s="130"/>
    </row>
    <row r="113" ht="15.75" customHeight="1">
      <c r="A113" s="94">
        <v>113.0</v>
      </c>
      <c r="B113" s="106" t="s">
        <v>189</v>
      </c>
      <c r="C113" s="96" t="s">
        <v>1</v>
      </c>
      <c r="D113" s="96" t="s">
        <v>40</v>
      </c>
      <c r="E113" s="96" t="s">
        <v>6</v>
      </c>
      <c r="F113" s="96" t="s">
        <v>19</v>
      </c>
      <c r="G113" s="96" t="s">
        <v>25</v>
      </c>
      <c r="H113" s="96" t="s">
        <v>9</v>
      </c>
      <c r="I113" s="96" t="s">
        <v>20</v>
      </c>
      <c r="J113" s="96" t="s">
        <v>48</v>
      </c>
      <c r="K113" s="96" t="s">
        <v>49</v>
      </c>
      <c r="L113" s="96" t="s">
        <v>52</v>
      </c>
      <c r="M113" s="101"/>
      <c r="N113" s="96" t="s">
        <v>10</v>
      </c>
      <c r="O113" s="96" t="s">
        <v>55</v>
      </c>
      <c r="P113" s="96" t="s">
        <v>21</v>
      </c>
      <c r="Q113" s="96" t="s">
        <v>13</v>
      </c>
      <c r="R113" s="96" t="s">
        <v>14</v>
      </c>
      <c r="S113" s="96" t="s">
        <v>15</v>
      </c>
      <c r="T113" s="96" t="s">
        <v>16</v>
      </c>
      <c r="U113" s="96" t="s">
        <v>11</v>
      </c>
      <c r="V113" s="96" t="s">
        <v>17</v>
      </c>
      <c r="W113" s="96" t="s">
        <v>18</v>
      </c>
      <c r="X113" s="96" t="s">
        <v>64</v>
      </c>
      <c r="Y113" s="96" t="s">
        <v>66</v>
      </c>
      <c r="Z113" s="105"/>
    </row>
    <row r="114" ht="15.75" customHeight="1">
      <c r="A114" s="94">
        <v>114.0</v>
      </c>
      <c r="B114" s="106" t="s">
        <v>189</v>
      </c>
      <c r="C114" s="96" t="s">
        <v>1</v>
      </c>
      <c r="D114" s="96" t="s">
        <v>40</v>
      </c>
      <c r="E114" s="96" t="s">
        <v>6</v>
      </c>
      <c r="F114" s="96" t="s">
        <v>19</v>
      </c>
      <c r="G114" s="96" t="s">
        <v>25</v>
      </c>
      <c r="H114" s="96" t="s">
        <v>9</v>
      </c>
      <c r="I114" s="96" t="s">
        <v>20</v>
      </c>
      <c r="J114" s="96" t="s">
        <v>48</v>
      </c>
      <c r="K114" s="96" t="s">
        <v>49</v>
      </c>
      <c r="L114" s="96" t="s">
        <v>52</v>
      </c>
      <c r="M114" s="101"/>
      <c r="N114" s="96" t="s">
        <v>10</v>
      </c>
      <c r="O114" s="96" t="s">
        <v>55</v>
      </c>
      <c r="P114" s="96" t="s">
        <v>21</v>
      </c>
      <c r="Q114" s="96" t="s">
        <v>13</v>
      </c>
      <c r="R114" s="96" t="s">
        <v>14</v>
      </c>
      <c r="S114" s="96" t="s">
        <v>15</v>
      </c>
      <c r="T114" s="96" t="s">
        <v>16</v>
      </c>
      <c r="U114" s="96" t="s">
        <v>11</v>
      </c>
      <c r="V114" s="96" t="s">
        <v>17</v>
      </c>
      <c r="W114" s="96" t="s">
        <v>18</v>
      </c>
      <c r="X114" s="96" t="s">
        <v>64</v>
      </c>
      <c r="Y114" s="96" t="s">
        <v>66</v>
      </c>
      <c r="Z114" s="105"/>
    </row>
    <row r="115" ht="15.75" customHeight="1">
      <c r="A115" s="94">
        <v>115.0</v>
      </c>
      <c r="B115" s="106" t="s">
        <v>189</v>
      </c>
      <c r="C115" s="96" t="s">
        <v>1</v>
      </c>
      <c r="D115" s="96" t="s">
        <v>40</v>
      </c>
      <c r="E115" s="96" t="s">
        <v>6</v>
      </c>
      <c r="F115" s="96" t="s">
        <v>19</v>
      </c>
      <c r="G115" s="96" t="s">
        <v>25</v>
      </c>
      <c r="H115" s="96" t="s">
        <v>9</v>
      </c>
      <c r="I115" s="96" t="s">
        <v>20</v>
      </c>
      <c r="J115" s="96" t="s">
        <v>48</v>
      </c>
      <c r="K115" s="96" t="s">
        <v>49</v>
      </c>
      <c r="L115" s="96" t="s">
        <v>52</v>
      </c>
      <c r="M115" s="101"/>
      <c r="N115" s="96" t="s">
        <v>10</v>
      </c>
      <c r="O115" s="96" t="s">
        <v>55</v>
      </c>
      <c r="P115" s="96" t="s">
        <v>21</v>
      </c>
      <c r="Q115" s="96" t="s">
        <v>13</v>
      </c>
      <c r="R115" s="96" t="s">
        <v>14</v>
      </c>
      <c r="S115" s="96" t="s">
        <v>15</v>
      </c>
      <c r="T115" s="96" t="s">
        <v>16</v>
      </c>
      <c r="U115" s="96" t="s">
        <v>11</v>
      </c>
      <c r="V115" s="96" t="s">
        <v>17</v>
      </c>
      <c r="W115" s="96" t="s">
        <v>18</v>
      </c>
      <c r="X115" s="96" t="s">
        <v>64</v>
      </c>
      <c r="Y115" s="96" t="s">
        <v>66</v>
      </c>
      <c r="Z115" s="105"/>
    </row>
    <row r="116" ht="15.75" customHeight="1">
      <c r="A116" s="140">
        <v>116.0</v>
      </c>
      <c r="B116" s="141" t="s">
        <v>190</v>
      </c>
      <c r="C116" s="142"/>
      <c r="D116" s="142"/>
      <c r="E116" s="142"/>
      <c r="F116" s="142"/>
      <c r="G116" s="142"/>
      <c r="H116" s="142"/>
      <c r="I116" s="142"/>
      <c r="J116" s="142"/>
      <c r="K116" s="142"/>
      <c r="L116" s="142"/>
      <c r="M116" s="143"/>
      <c r="N116" s="144" t="s">
        <v>64</v>
      </c>
      <c r="O116" s="144" t="s">
        <v>66</v>
      </c>
      <c r="P116" s="144" t="s">
        <v>14</v>
      </c>
      <c r="Q116" s="145"/>
      <c r="R116" s="145"/>
      <c r="S116" s="145"/>
      <c r="T116" s="145"/>
      <c r="U116" s="145"/>
      <c r="V116" s="145"/>
      <c r="W116" s="145"/>
      <c r="X116" s="145"/>
      <c r="Y116" s="145"/>
      <c r="Z116" s="142"/>
    </row>
    <row r="117" ht="15.75" customHeight="1">
      <c r="A117" s="63">
        <v>117.0</v>
      </c>
      <c r="B117" s="190" t="s">
        <v>191</v>
      </c>
      <c r="C117" s="73" t="s">
        <v>1</v>
      </c>
      <c r="D117" s="73" t="s">
        <v>40</v>
      </c>
      <c r="E117" s="73" t="s">
        <v>6</v>
      </c>
      <c r="F117" s="73" t="s">
        <v>19</v>
      </c>
      <c r="G117" s="73" t="s">
        <v>25</v>
      </c>
      <c r="H117" s="73" t="s">
        <v>9</v>
      </c>
      <c r="I117" s="73" t="s">
        <v>20</v>
      </c>
      <c r="J117" s="73" t="s">
        <v>48</v>
      </c>
      <c r="K117" s="73" t="s">
        <v>49</v>
      </c>
      <c r="L117" s="73" t="s">
        <v>52</v>
      </c>
      <c r="M117" s="87"/>
      <c r="N117" s="73" t="s">
        <v>10</v>
      </c>
      <c r="O117" s="73" t="s">
        <v>55</v>
      </c>
      <c r="P117" s="73" t="s">
        <v>21</v>
      </c>
      <c r="Q117" s="73" t="s">
        <v>13</v>
      </c>
      <c r="R117" s="73" t="s">
        <v>14</v>
      </c>
      <c r="S117" s="96" t="s">
        <v>15</v>
      </c>
      <c r="T117" s="96" t="s">
        <v>16</v>
      </c>
      <c r="U117" s="73" t="s">
        <v>11</v>
      </c>
      <c r="V117" s="73" t="s">
        <v>17</v>
      </c>
      <c r="W117" s="73" t="s">
        <v>18</v>
      </c>
      <c r="X117" s="73" t="s">
        <v>64</v>
      </c>
      <c r="Y117" s="73" t="s">
        <v>66</v>
      </c>
      <c r="Z117" s="93"/>
    </row>
    <row r="118" ht="15.75" customHeight="1">
      <c r="A118" s="94">
        <v>118.0</v>
      </c>
      <c r="B118" s="106" t="s">
        <v>191</v>
      </c>
      <c r="C118" s="96" t="s">
        <v>1</v>
      </c>
      <c r="D118" s="96" t="s">
        <v>40</v>
      </c>
      <c r="E118" s="96" t="s">
        <v>6</v>
      </c>
      <c r="F118" s="96" t="s">
        <v>19</v>
      </c>
      <c r="G118" s="96" t="s">
        <v>25</v>
      </c>
      <c r="H118" s="96" t="s">
        <v>9</v>
      </c>
      <c r="I118" s="96" t="s">
        <v>20</v>
      </c>
      <c r="J118" s="96" t="s">
        <v>48</v>
      </c>
      <c r="K118" s="96" t="s">
        <v>49</v>
      </c>
      <c r="L118" s="96" t="s">
        <v>52</v>
      </c>
      <c r="M118" s="101"/>
      <c r="N118" s="96" t="s">
        <v>10</v>
      </c>
      <c r="O118" s="96" t="s">
        <v>55</v>
      </c>
      <c r="P118" s="96" t="s">
        <v>21</v>
      </c>
      <c r="Q118" s="96" t="s">
        <v>13</v>
      </c>
      <c r="R118" s="96" t="s">
        <v>14</v>
      </c>
      <c r="S118" s="96" t="s">
        <v>15</v>
      </c>
      <c r="T118" s="96" t="s">
        <v>16</v>
      </c>
      <c r="U118" s="96" t="s">
        <v>11</v>
      </c>
      <c r="V118" s="96" t="s">
        <v>17</v>
      </c>
      <c r="W118" s="96" t="s">
        <v>18</v>
      </c>
      <c r="X118" s="96" t="s">
        <v>64</v>
      </c>
      <c r="Y118" s="96" t="s">
        <v>66</v>
      </c>
      <c r="Z118" s="105"/>
    </row>
    <row r="119" ht="15.75" customHeight="1">
      <c r="A119" s="94">
        <v>119.0</v>
      </c>
      <c r="B119" s="106" t="s">
        <v>191</v>
      </c>
      <c r="C119" s="96" t="s">
        <v>1</v>
      </c>
      <c r="D119" s="96" t="s">
        <v>40</v>
      </c>
      <c r="E119" s="96" t="s">
        <v>6</v>
      </c>
      <c r="F119" s="96" t="s">
        <v>19</v>
      </c>
      <c r="G119" s="96" t="s">
        <v>25</v>
      </c>
      <c r="H119" s="96" t="s">
        <v>9</v>
      </c>
      <c r="I119" s="96" t="s">
        <v>20</v>
      </c>
      <c r="J119" s="96" t="s">
        <v>48</v>
      </c>
      <c r="K119" s="96" t="s">
        <v>49</v>
      </c>
      <c r="L119" s="96" t="s">
        <v>52</v>
      </c>
      <c r="M119" s="101"/>
      <c r="N119" s="96" t="s">
        <v>10</v>
      </c>
      <c r="O119" s="96" t="s">
        <v>55</v>
      </c>
      <c r="P119" s="96" t="s">
        <v>21</v>
      </c>
      <c r="Q119" s="96" t="s">
        <v>13</v>
      </c>
      <c r="R119" s="96" t="s">
        <v>14</v>
      </c>
      <c r="S119" s="96" t="s">
        <v>15</v>
      </c>
      <c r="T119" s="96" t="s">
        <v>16</v>
      </c>
      <c r="U119" s="96" t="s">
        <v>11</v>
      </c>
      <c r="V119" s="96" t="s">
        <v>17</v>
      </c>
      <c r="W119" s="96" t="s">
        <v>18</v>
      </c>
      <c r="X119" s="96" t="s">
        <v>64</v>
      </c>
      <c r="Y119" s="96" t="s">
        <v>66</v>
      </c>
      <c r="Z119" s="105"/>
    </row>
    <row r="120" ht="15.75" customHeight="1">
      <c r="A120" s="148">
        <v>120.0</v>
      </c>
      <c r="B120" s="149" t="s">
        <v>192</v>
      </c>
      <c r="C120" s="150" t="s">
        <v>1</v>
      </c>
      <c r="D120" s="150" t="s">
        <v>40</v>
      </c>
      <c r="E120" s="150" t="s">
        <v>6</v>
      </c>
      <c r="F120" s="150" t="s">
        <v>19</v>
      </c>
      <c r="G120" s="150" t="s">
        <v>25</v>
      </c>
      <c r="H120" s="150" t="s">
        <v>9</v>
      </c>
      <c r="I120" s="150" t="s">
        <v>20</v>
      </c>
      <c r="J120" s="150" t="s">
        <v>48</v>
      </c>
      <c r="K120" s="150" t="s">
        <v>49</v>
      </c>
      <c r="L120" s="150" t="s">
        <v>52</v>
      </c>
      <c r="M120" s="151"/>
      <c r="N120" s="150" t="s">
        <v>10</v>
      </c>
      <c r="O120" s="150" t="s">
        <v>55</v>
      </c>
      <c r="P120" s="150" t="s">
        <v>21</v>
      </c>
      <c r="Q120" s="150" t="s">
        <v>13</v>
      </c>
      <c r="R120" s="150" t="s">
        <v>14</v>
      </c>
      <c r="S120" s="150" t="s">
        <v>15</v>
      </c>
      <c r="T120" s="150" t="s">
        <v>16</v>
      </c>
      <c r="U120" s="150" t="s">
        <v>11</v>
      </c>
      <c r="V120" s="150" t="s">
        <v>17</v>
      </c>
      <c r="W120" s="150" t="s">
        <v>18</v>
      </c>
      <c r="X120" s="150" t="s">
        <v>64</v>
      </c>
      <c r="Y120" s="150" t="s">
        <v>66</v>
      </c>
      <c r="Z120" s="152"/>
    </row>
    <row r="121" ht="15.75" customHeight="1">
      <c r="A121" s="148">
        <v>121.0</v>
      </c>
      <c r="B121" s="149" t="s">
        <v>192</v>
      </c>
      <c r="C121" s="150" t="s">
        <v>1</v>
      </c>
      <c r="D121" s="150" t="s">
        <v>40</v>
      </c>
      <c r="E121" s="150" t="s">
        <v>6</v>
      </c>
      <c r="F121" s="150" t="s">
        <v>19</v>
      </c>
      <c r="G121" s="150" t="s">
        <v>25</v>
      </c>
      <c r="H121" s="150" t="s">
        <v>9</v>
      </c>
      <c r="I121" s="150" t="s">
        <v>20</v>
      </c>
      <c r="J121" s="150" t="s">
        <v>48</v>
      </c>
      <c r="K121" s="150" t="s">
        <v>49</v>
      </c>
      <c r="L121" s="150" t="s">
        <v>52</v>
      </c>
      <c r="M121" s="151"/>
      <c r="N121" s="150" t="s">
        <v>10</v>
      </c>
      <c r="O121" s="150" t="s">
        <v>55</v>
      </c>
      <c r="P121" s="150" t="s">
        <v>21</v>
      </c>
      <c r="Q121" s="150" t="s">
        <v>13</v>
      </c>
      <c r="R121" s="150" t="s">
        <v>14</v>
      </c>
      <c r="S121" s="150" t="s">
        <v>15</v>
      </c>
      <c r="T121" s="150" t="s">
        <v>16</v>
      </c>
      <c r="U121" s="150" t="s">
        <v>11</v>
      </c>
      <c r="V121" s="150" t="s">
        <v>17</v>
      </c>
      <c r="W121" s="150" t="s">
        <v>18</v>
      </c>
      <c r="X121" s="150" t="s">
        <v>64</v>
      </c>
      <c r="Y121" s="150" t="s">
        <v>66</v>
      </c>
      <c r="Z121" s="152"/>
    </row>
    <row r="122" ht="15.75" customHeight="1">
      <c r="A122" s="148">
        <v>122.0</v>
      </c>
      <c r="B122" s="149" t="s">
        <v>192</v>
      </c>
      <c r="C122" s="150" t="s">
        <v>1</v>
      </c>
      <c r="D122" s="150" t="s">
        <v>40</v>
      </c>
      <c r="E122" s="150" t="s">
        <v>6</v>
      </c>
      <c r="F122" s="150" t="s">
        <v>19</v>
      </c>
      <c r="G122" s="150" t="s">
        <v>25</v>
      </c>
      <c r="H122" s="150" t="s">
        <v>9</v>
      </c>
      <c r="I122" s="150" t="s">
        <v>20</v>
      </c>
      <c r="J122" s="150" t="s">
        <v>48</v>
      </c>
      <c r="K122" s="150" t="s">
        <v>49</v>
      </c>
      <c r="L122" s="150" t="s">
        <v>52</v>
      </c>
      <c r="M122" s="151"/>
      <c r="N122" s="150" t="s">
        <v>10</v>
      </c>
      <c r="O122" s="150" t="s">
        <v>55</v>
      </c>
      <c r="P122" s="150" t="s">
        <v>21</v>
      </c>
      <c r="Q122" s="150" t="s">
        <v>13</v>
      </c>
      <c r="R122" s="150" t="s">
        <v>14</v>
      </c>
      <c r="S122" s="150" t="s">
        <v>15</v>
      </c>
      <c r="T122" s="150" t="s">
        <v>16</v>
      </c>
      <c r="U122" s="150" t="s">
        <v>11</v>
      </c>
      <c r="V122" s="150" t="s">
        <v>17</v>
      </c>
      <c r="W122" s="150" t="s">
        <v>18</v>
      </c>
      <c r="X122" s="150" t="s">
        <v>64</v>
      </c>
      <c r="Y122" s="150" t="s">
        <v>66</v>
      </c>
      <c r="Z122" s="152"/>
    </row>
    <row r="123" ht="15.75" customHeight="1">
      <c r="A123" s="94">
        <v>123.0</v>
      </c>
      <c r="B123" s="106" t="s">
        <v>193</v>
      </c>
      <c r="C123" s="96" t="s">
        <v>1</v>
      </c>
      <c r="D123" s="96" t="s">
        <v>40</v>
      </c>
      <c r="E123" s="96" t="s">
        <v>6</v>
      </c>
      <c r="F123" s="96" t="s">
        <v>19</v>
      </c>
      <c r="G123" s="96" t="s">
        <v>25</v>
      </c>
      <c r="H123" s="96" t="s">
        <v>9</v>
      </c>
      <c r="I123" s="96" t="s">
        <v>20</v>
      </c>
      <c r="J123" s="96" t="s">
        <v>48</v>
      </c>
      <c r="K123" s="96" t="s">
        <v>49</v>
      </c>
      <c r="L123" s="96" t="s">
        <v>52</v>
      </c>
      <c r="M123" s="101"/>
      <c r="N123" s="96" t="s">
        <v>10</v>
      </c>
      <c r="O123" s="96" t="s">
        <v>55</v>
      </c>
      <c r="P123" s="96" t="s">
        <v>21</v>
      </c>
      <c r="Q123" s="96" t="s">
        <v>13</v>
      </c>
      <c r="R123" s="96" t="s">
        <v>14</v>
      </c>
      <c r="S123" s="96" t="s">
        <v>15</v>
      </c>
      <c r="T123" s="96" t="s">
        <v>16</v>
      </c>
      <c r="U123" s="96" t="s">
        <v>11</v>
      </c>
      <c r="V123" s="96" t="s">
        <v>17</v>
      </c>
      <c r="W123" s="96" t="s">
        <v>18</v>
      </c>
      <c r="X123" s="96" t="s">
        <v>64</v>
      </c>
      <c r="Y123" s="96" t="s">
        <v>66</v>
      </c>
      <c r="Z123" s="105"/>
    </row>
    <row r="124" ht="15.75" customHeight="1">
      <c r="A124" s="94">
        <v>124.0</v>
      </c>
      <c r="B124" s="106" t="s">
        <v>193</v>
      </c>
      <c r="C124" s="96" t="s">
        <v>1</v>
      </c>
      <c r="D124" s="96" t="s">
        <v>40</v>
      </c>
      <c r="E124" s="96" t="s">
        <v>6</v>
      </c>
      <c r="F124" s="96" t="s">
        <v>19</v>
      </c>
      <c r="G124" s="96" t="s">
        <v>25</v>
      </c>
      <c r="H124" s="96" t="s">
        <v>9</v>
      </c>
      <c r="I124" s="96" t="s">
        <v>20</v>
      </c>
      <c r="J124" s="96" t="s">
        <v>48</v>
      </c>
      <c r="K124" s="96" t="s">
        <v>49</v>
      </c>
      <c r="L124" s="96" t="s">
        <v>52</v>
      </c>
      <c r="M124" s="101"/>
      <c r="N124" s="96" t="s">
        <v>10</v>
      </c>
      <c r="O124" s="96" t="s">
        <v>55</v>
      </c>
      <c r="P124" s="96" t="s">
        <v>21</v>
      </c>
      <c r="Q124" s="96" t="s">
        <v>13</v>
      </c>
      <c r="R124" s="96" t="s">
        <v>14</v>
      </c>
      <c r="S124" s="96" t="s">
        <v>15</v>
      </c>
      <c r="T124" s="96" t="s">
        <v>16</v>
      </c>
      <c r="U124" s="96" t="s">
        <v>11</v>
      </c>
      <c r="V124" s="96" t="s">
        <v>17</v>
      </c>
      <c r="W124" s="96" t="s">
        <v>18</v>
      </c>
      <c r="X124" s="96" t="s">
        <v>64</v>
      </c>
      <c r="Y124" s="96" t="s">
        <v>66</v>
      </c>
      <c r="Z124" s="105"/>
    </row>
    <row r="125" ht="15.75" customHeight="1">
      <c r="A125" s="94">
        <v>125.0</v>
      </c>
      <c r="B125" s="106" t="s">
        <v>193</v>
      </c>
      <c r="C125" s="96" t="s">
        <v>1</v>
      </c>
      <c r="D125" s="96" t="s">
        <v>40</v>
      </c>
      <c r="E125" s="96" t="s">
        <v>6</v>
      </c>
      <c r="F125" s="96" t="s">
        <v>19</v>
      </c>
      <c r="G125" s="96" t="s">
        <v>25</v>
      </c>
      <c r="H125" s="96" t="s">
        <v>9</v>
      </c>
      <c r="I125" s="96" t="s">
        <v>20</v>
      </c>
      <c r="J125" s="96" t="s">
        <v>48</v>
      </c>
      <c r="K125" s="96" t="s">
        <v>49</v>
      </c>
      <c r="L125" s="96" t="s">
        <v>52</v>
      </c>
      <c r="M125" s="101"/>
      <c r="N125" s="96" t="s">
        <v>10</v>
      </c>
      <c r="O125" s="96" t="s">
        <v>55</v>
      </c>
      <c r="P125" s="96" t="s">
        <v>21</v>
      </c>
      <c r="Q125" s="96" t="s">
        <v>13</v>
      </c>
      <c r="R125" s="96" t="s">
        <v>14</v>
      </c>
      <c r="S125" s="96" t="s">
        <v>15</v>
      </c>
      <c r="T125" s="96" t="s">
        <v>16</v>
      </c>
      <c r="U125" s="96" t="s">
        <v>11</v>
      </c>
      <c r="V125" s="96" t="s">
        <v>17</v>
      </c>
      <c r="W125" s="96" t="s">
        <v>18</v>
      </c>
      <c r="X125" s="96" t="s">
        <v>64</v>
      </c>
      <c r="Y125" s="96" t="s">
        <v>66</v>
      </c>
      <c r="Z125" s="105"/>
    </row>
    <row r="126" ht="15.75" customHeight="1">
      <c r="A126" s="148">
        <v>126.0</v>
      </c>
      <c r="B126" s="149" t="s">
        <v>194</v>
      </c>
      <c r="C126" s="150" t="s">
        <v>1</v>
      </c>
      <c r="D126" s="150" t="s">
        <v>40</v>
      </c>
      <c r="E126" s="150" t="s">
        <v>6</v>
      </c>
      <c r="F126" s="150" t="s">
        <v>19</v>
      </c>
      <c r="G126" s="150" t="s">
        <v>25</v>
      </c>
      <c r="H126" s="150" t="s">
        <v>9</v>
      </c>
      <c r="I126" s="150" t="s">
        <v>20</v>
      </c>
      <c r="J126" s="150" t="s">
        <v>48</v>
      </c>
      <c r="K126" s="150" t="s">
        <v>49</v>
      </c>
      <c r="L126" s="150" t="s">
        <v>52</v>
      </c>
      <c r="M126" s="151"/>
      <c r="N126" s="150" t="s">
        <v>10</v>
      </c>
      <c r="O126" s="150" t="s">
        <v>55</v>
      </c>
      <c r="P126" s="150" t="s">
        <v>21</v>
      </c>
      <c r="Q126" s="150" t="s">
        <v>13</v>
      </c>
      <c r="R126" s="150" t="s">
        <v>14</v>
      </c>
      <c r="S126" s="150" t="s">
        <v>15</v>
      </c>
      <c r="T126" s="150" t="s">
        <v>16</v>
      </c>
      <c r="U126" s="150" t="s">
        <v>11</v>
      </c>
      <c r="V126" s="150" t="s">
        <v>17</v>
      </c>
      <c r="W126" s="150" t="s">
        <v>18</v>
      </c>
      <c r="X126" s="150" t="s">
        <v>64</v>
      </c>
      <c r="Y126" s="150" t="s">
        <v>66</v>
      </c>
      <c r="Z126" s="152"/>
    </row>
    <row r="127" ht="15.75" customHeight="1">
      <c r="A127" s="148">
        <v>127.0</v>
      </c>
      <c r="B127" s="149" t="s">
        <v>194</v>
      </c>
      <c r="C127" s="150" t="s">
        <v>1</v>
      </c>
      <c r="D127" s="150" t="s">
        <v>40</v>
      </c>
      <c r="E127" s="150" t="s">
        <v>6</v>
      </c>
      <c r="F127" s="150" t="s">
        <v>19</v>
      </c>
      <c r="G127" s="150" t="s">
        <v>25</v>
      </c>
      <c r="H127" s="150" t="s">
        <v>9</v>
      </c>
      <c r="I127" s="150" t="s">
        <v>20</v>
      </c>
      <c r="J127" s="150" t="s">
        <v>48</v>
      </c>
      <c r="K127" s="150" t="s">
        <v>49</v>
      </c>
      <c r="L127" s="150" t="s">
        <v>52</v>
      </c>
      <c r="M127" s="151"/>
      <c r="N127" s="150" t="s">
        <v>10</v>
      </c>
      <c r="O127" s="150" t="s">
        <v>55</v>
      </c>
      <c r="P127" s="150" t="s">
        <v>21</v>
      </c>
      <c r="Q127" s="150" t="s">
        <v>13</v>
      </c>
      <c r="R127" s="150" t="s">
        <v>14</v>
      </c>
      <c r="S127" s="150" t="s">
        <v>15</v>
      </c>
      <c r="T127" s="150" t="s">
        <v>16</v>
      </c>
      <c r="U127" s="150" t="s">
        <v>11</v>
      </c>
      <c r="V127" s="150" t="s">
        <v>17</v>
      </c>
      <c r="W127" s="150" t="s">
        <v>18</v>
      </c>
      <c r="X127" s="150" t="s">
        <v>64</v>
      </c>
      <c r="Y127" s="150" t="s">
        <v>66</v>
      </c>
      <c r="Z127" s="152"/>
    </row>
    <row r="128" ht="15.75" customHeight="1">
      <c r="A128" s="148">
        <v>128.0</v>
      </c>
      <c r="B128" s="149" t="s">
        <v>194</v>
      </c>
      <c r="C128" s="150" t="s">
        <v>1</v>
      </c>
      <c r="D128" s="150" t="s">
        <v>40</v>
      </c>
      <c r="E128" s="150" t="s">
        <v>6</v>
      </c>
      <c r="F128" s="150" t="s">
        <v>19</v>
      </c>
      <c r="G128" s="150" t="s">
        <v>25</v>
      </c>
      <c r="H128" s="150" t="s">
        <v>9</v>
      </c>
      <c r="I128" s="150" t="s">
        <v>20</v>
      </c>
      <c r="J128" s="150" t="s">
        <v>48</v>
      </c>
      <c r="K128" s="150" t="s">
        <v>49</v>
      </c>
      <c r="L128" s="150" t="s">
        <v>52</v>
      </c>
      <c r="M128" s="151"/>
      <c r="N128" s="150" t="s">
        <v>10</v>
      </c>
      <c r="O128" s="150" t="s">
        <v>55</v>
      </c>
      <c r="P128" s="150" t="s">
        <v>21</v>
      </c>
      <c r="Q128" s="150" t="s">
        <v>13</v>
      </c>
      <c r="R128" s="150" t="s">
        <v>14</v>
      </c>
      <c r="S128" s="150" t="s">
        <v>15</v>
      </c>
      <c r="T128" s="150" t="s">
        <v>16</v>
      </c>
      <c r="U128" s="150" t="s">
        <v>11</v>
      </c>
      <c r="V128" s="150" t="s">
        <v>17</v>
      </c>
      <c r="W128" s="150" t="s">
        <v>18</v>
      </c>
      <c r="X128" s="150" t="s">
        <v>64</v>
      </c>
      <c r="Y128" s="150" t="s">
        <v>66</v>
      </c>
      <c r="Z128" s="152"/>
    </row>
    <row r="129" ht="15.75" customHeight="1">
      <c r="A129" s="94">
        <v>129.0</v>
      </c>
      <c r="B129" s="106" t="s">
        <v>195</v>
      </c>
      <c r="C129" s="96" t="s">
        <v>1</v>
      </c>
      <c r="D129" s="96" t="s">
        <v>40</v>
      </c>
      <c r="E129" s="96" t="s">
        <v>6</v>
      </c>
      <c r="F129" s="96" t="s">
        <v>19</v>
      </c>
      <c r="G129" s="96" t="s">
        <v>25</v>
      </c>
      <c r="H129" s="96" t="s">
        <v>9</v>
      </c>
      <c r="I129" s="96" t="s">
        <v>20</v>
      </c>
      <c r="J129" s="96" t="s">
        <v>48</v>
      </c>
      <c r="K129" s="96" t="s">
        <v>49</v>
      </c>
      <c r="L129" s="96" t="s">
        <v>52</v>
      </c>
      <c r="M129" s="101"/>
      <c r="N129" s="96" t="s">
        <v>10</v>
      </c>
      <c r="O129" s="96" t="s">
        <v>55</v>
      </c>
      <c r="P129" s="96" t="s">
        <v>21</v>
      </c>
      <c r="Q129" s="96" t="s">
        <v>13</v>
      </c>
      <c r="R129" s="96" t="s">
        <v>14</v>
      </c>
      <c r="S129" s="96" t="s">
        <v>15</v>
      </c>
      <c r="T129" s="96" t="s">
        <v>16</v>
      </c>
      <c r="U129" s="96" t="s">
        <v>11</v>
      </c>
      <c r="V129" s="96" t="s">
        <v>17</v>
      </c>
      <c r="W129" s="96" t="s">
        <v>18</v>
      </c>
      <c r="X129" s="96" t="s">
        <v>64</v>
      </c>
      <c r="Y129" s="96" t="s">
        <v>66</v>
      </c>
      <c r="Z129" s="105"/>
    </row>
    <row r="130" ht="15.75" customHeight="1">
      <c r="A130" s="94">
        <v>130.0</v>
      </c>
      <c r="B130" s="106" t="s">
        <v>195</v>
      </c>
      <c r="C130" s="96" t="s">
        <v>1</v>
      </c>
      <c r="D130" s="96" t="s">
        <v>40</v>
      </c>
      <c r="E130" s="96" t="s">
        <v>6</v>
      </c>
      <c r="F130" s="96" t="s">
        <v>19</v>
      </c>
      <c r="G130" s="96" t="s">
        <v>25</v>
      </c>
      <c r="H130" s="96" t="s">
        <v>9</v>
      </c>
      <c r="I130" s="96" t="s">
        <v>20</v>
      </c>
      <c r="J130" s="96" t="s">
        <v>48</v>
      </c>
      <c r="K130" s="96" t="s">
        <v>49</v>
      </c>
      <c r="L130" s="96" t="s">
        <v>52</v>
      </c>
      <c r="M130" s="101"/>
      <c r="N130" s="96" t="s">
        <v>10</v>
      </c>
      <c r="O130" s="96" t="s">
        <v>55</v>
      </c>
      <c r="P130" s="96" t="s">
        <v>21</v>
      </c>
      <c r="Q130" s="96" t="s">
        <v>13</v>
      </c>
      <c r="R130" s="96" t="s">
        <v>14</v>
      </c>
      <c r="S130" s="96" t="s">
        <v>15</v>
      </c>
      <c r="T130" s="96" t="s">
        <v>16</v>
      </c>
      <c r="U130" s="96" t="s">
        <v>11</v>
      </c>
      <c r="V130" s="96" t="s">
        <v>17</v>
      </c>
      <c r="W130" s="96" t="s">
        <v>18</v>
      </c>
      <c r="X130" s="96" t="s">
        <v>64</v>
      </c>
      <c r="Y130" s="96" t="s">
        <v>66</v>
      </c>
      <c r="Z130" s="105"/>
    </row>
    <row r="131" ht="15.75" customHeight="1">
      <c r="A131" s="94">
        <v>131.0</v>
      </c>
      <c r="B131" s="106" t="s">
        <v>195</v>
      </c>
      <c r="C131" s="96" t="s">
        <v>1</v>
      </c>
      <c r="D131" s="96" t="s">
        <v>40</v>
      </c>
      <c r="E131" s="96" t="s">
        <v>6</v>
      </c>
      <c r="F131" s="96" t="s">
        <v>19</v>
      </c>
      <c r="G131" s="96" t="s">
        <v>25</v>
      </c>
      <c r="H131" s="96" t="s">
        <v>9</v>
      </c>
      <c r="I131" s="96" t="s">
        <v>20</v>
      </c>
      <c r="J131" s="96" t="s">
        <v>48</v>
      </c>
      <c r="K131" s="96" t="s">
        <v>49</v>
      </c>
      <c r="L131" s="96" t="s">
        <v>52</v>
      </c>
      <c r="M131" s="101"/>
      <c r="N131" s="96" t="s">
        <v>10</v>
      </c>
      <c r="O131" s="96" t="s">
        <v>55</v>
      </c>
      <c r="P131" s="96" t="s">
        <v>21</v>
      </c>
      <c r="Q131" s="96" t="s">
        <v>13</v>
      </c>
      <c r="R131" s="96" t="s">
        <v>14</v>
      </c>
      <c r="S131" s="96" t="s">
        <v>15</v>
      </c>
      <c r="T131" s="96" t="s">
        <v>16</v>
      </c>
      <c r="U131" s="96" t="s">
        <v>11</v>
      </c>
      <c r="V131" s="96" t="s">
        <v>17</v>
      </c>
      <c r="W131" s="96" t="s">
        <v>18</v>
      </c>
      <c r="X131" s="96" t="s">
        <v>64</v>
      </c>
      <c r="Y131" s="96" t="s">
        <v>66</v>
      </c>
      <c r="Z131" s="105"/>
    </row>
    <row r="132" ht="15.75" customHeight="1">
      <c r="A132" s="183">
        <v>132.0</v>
      </c>
      <c r="B132" s="184" t="s">
        <v>196</v>
      </c>
      <c r="C132" s="186"/>
      <c r="D132" s="186"/>
      <c r="E132" s="186"/>
      <c r="F132" s="186"/>
      <c r="G132" s="186"/>
      <c r="H132" s="186"/>
      <c r="I132" s="186"/>
      <c r="J132" s="186"/>
      <c r="K132" s="186"/>
      <c r="L132" s="186"/>
      <c r="M132" s="187"/>
      <c r="N132" s="188" t="s">
        <v>64</v>
      </c>
      <c r="O132" s="188" t="s">
        <v>66</v>
      </c>
      <c r="P132" s="188" t="s">
        <v>14</v>
      </c>
      <c r="Q132" s="189"/>
      <c r="R132" s="189"/>
      <c r="S132" s="189"/>
      <c r="T132" s="189"/>
      <c r="U132" s="189"/>
      <c r="V132" s="189"/>
      <c r="W132" s="189"/>
      <c r="X132" s="189"/>
      <c r="Y132" s="189"/>
      <c r="Z132" s="186"/>
    </row>
    <row r="133" ht="15.75" hidden="1" customHeight="1">
      <c r="A133" s="217">
        <v>134.0</v>
      </c>
      <c r="B133" s="178"/>
      <c r="C133" s="178"/>
      <c r="D133" s="178"/>
      <c r="E133" s="178"/>
      <c r="F133" s="178"/>
      <c r="G133" s="178"/>
      <c r="H133" s="178"/>
      <c r="I133" s="178"/>
      <c r="J133" s="178"/>
      <c r="K133" s="178"/>
      <c r="L133" s="218"/>
      <c r="M133" s="218"/>
      <c r="N133" s="178"/>
      <c r="O133" s="178"/>
      <c r="P133" s="178"/>
      <c r="Q133" s="218"/>
      <c r="R133" s="218"/>
      <c r="S133" s="178"/>
      <c r="T133" s="178"/>
      <c r="U133" s="178"/>
      <c r="V133" s="178"/>
      <c r="W133" s="178"/>
      <c r="X133" s="178"/>
      <c r="Y133" s="178"/>
      <c r="Z133" s="178"/>
    </row>
    <row r="134" ht="15.75" hidden="1" customHeight="1">
      <c r="A134" s="217">
        <v>135.0</v>
      </c>
      <c r="B134" s="178"/>
      <c r="C134" s="178"/>
      <c r="D134" s="178"/>
      <c r="E134" s="178"/>
      <c r="F134" s="178"/>
      <c r="G134" s="178"/>
      <c r="H134" s="178"/>
      <c r="I134" s="178"/>
      <c r="J134" s="178"/>
      <c r="K134" s="178"/>
      <c r="L134" s="218"/>
      <c r="M134" s="218"/>
      <c r="N134" s="178"/>
      <c r="O134" s="178"/>
      <c r="P134" s="178"/>
      <c r="Q134" s="218"/>
      <c r="R134" s="218"/>
      <c r="S134" s="178"/>
      <c r="T134" s="178"/>
      <c r="U134" s="178"/>
      <c r="V134" s="178"/>
      <c r="W134" s="178"/>
      <c r="X134" s="178"/>
      <c r="Y134" s="178"/>
      <c r="Z134" s="178"/>
    </row>
    <row r="135" ht="15.75" hidden="1" customHeight="1">
      <c r="A135" s="217">
        <v>136.0</v>
      </c>
      <c r="B135" s="178"/>
      <c r="C135" s="178"/>
      <c r="D135" s="178"/>
      <c r="E135" s="178"/>
      <c r="F135" s="178"/>
      <c r="G135" s="178"/>
      <c r="H135" s="178"/>
      <c r="I135" s="178"/>
      <c r="J135" s="178"/>
      <c r="K135" s="178"/>
      <c r="L135" s="218"/>
      <c r="M135" s="218"/>
      <c r="N135" s="178"/>
      <c r="O135" s="178"/>
      <c r="P135" s="178"/>
      <c r="Q135" s="218"/>
      <c r="R135" s="218"/>
      <c r="S135" s="178"/>
      <c r="T135" s="178"/>
      <c r="U135" s="178"/>
      <c r="V135" s="178"/>
      <c r="W135" s="178"/>
      <c r="X135" s="178"/>
      <c r="Y135" s="178"/>
      <c r="Z135" s="178"/>
    </row>
    <row r="136" ht="15.75" hidden="1" customHeight="1">
      <c r="A136" s="217">
        <v>137.0</v>
      </c>
      <c r="B136" s="178"/>
      <c r="C136" s="178"/>
      <c r="D136" s="178"/>
      <c r="E136" s="178"/>
      <c r="F136" s="178"/>
      <c r="G136" s="178"/>
      <c r="H136" s="178"/>
      <c r="I136" s="178"/>
      <c r="J136" s="178"/>
      <c r="K136" s="178"/>
      <c r="L136" s="218"/>
      <c r="M136" s="218"/>
      <c r="N136" s="178"/>
      <c r="O136" s="178"/>
      <c r="P136" s="178"/>
      <c r="Q136" s="218"/>
      <c r="R136" s="218"/>
      <c r="S136" s="178"/>
      <c r="T136" s="178"/>
      <c r="U136" s="178"/>
      <c r="V136" s="178"/>
      <c r="W136" s="178"/>
      <c r="X136" s="178"/>
      <c r="Y136" s="178"/>
      <c r="Z136" s="178"/>
    </row>
    <row r="137" ht="15.75" hidden="1" customHeight="1">
      <c r="A137" s="217">
        <v>138.0</v>
      </c>
      <c r="B137" s="178"/>
      <c r="C137" s="178"/>
      <c r="D137" s="178"/>
      <c r="E137" s="178"/>
      <c r="F137" s="178"/>
      <c r="G137" s="178"/>
      <c r="H137" s="178"/>
      <c r="I137" s="178"/>
      <c r="J137" s="178"/>
      <c r="K137" s="178"/>
      <c r="L137" s="218"/>
      <c r="M137" s="218"/>
      <c r="N137" s="178"/>
      <c r="O137" s="178"/>
      <c r="P137" s="178"/>
      <c r="Q137" s="218"/>
      <c r="R137" s="218"/>
      <c r="S137" s="178"/>
      <c r="T137" s="178"/>
      <c r="U137" s="178"/>
      <c r="V137" s="178"/>
      <c r="W137" s="178"/>
      <c r="X137" s="178"/>
      <c r="Y137" s="178"/>
      <c r="Z137" s="178"/>
    </row>
    <row r="138" ht="15.75" hidden="1" customHeight="1">
      <c r="A138" s="217">
        <v>139.0</v>
      </c>
      <c r="B138" s="178"/>
      <c r="C138" s="178"/>
      <c r="D138" s="178"/>
      <c r="E138" s="178"/>
      <c r="F138" s="178"/>
      <c r="G138" s="178"/>
      <c r="H138" s="178"/>
      <c r="I138" s="178"/>
      <c r="J138" s="178"/>
      <c r="K138" s="178"/>
      <c r="L138" s="218"/>
      <c r="M138" s="218"/>
      <c r="N138" s="178"/>
      <c r="O138" s="178"/>
      <c r="P138" s="178"/>
      <c r="Q138" s="218"/>
      <c r="R138" s="218"/>
      <c r="S138" s="178"/>
      <c r="T138" s="178"/>
      <c r="U138" s="178"/>
      <c r="V138" s="178"/>
      <c r="W138" s="178"/>
      <c r="X138" s="178"/>
      <c r="Y138" s="178"/>
      <c r="Z138" s="178"/>
    </row>
    <row r="139" ht="15.75" hidden="1" customHeight="1">
      <c r="A139" s="217">
        <v>140.0</v>
      </c>
      <c r="B139" s="178"/>
      <c r="C139" s="178"/>
      <c r="D139" s="178"/>
      <c r="E139" s="178"/>
      <c r="F139" s="178"/>
      <c r="G139" s="178"/>
      <c r="H139" s="178"/>
      <c r="I139" s="178"/>
      <c r="J139" s="178"/>
      <c r="K139" s="178"/>
      <c r="L139" s="218"/>
      <c r="M139" s="218"/>
      <c r="N139" s="178"/>
      <c r="O139" s="178"/>
      <c r="P139" s="178"/>
      <c r="Q139" s="218"/>
      <c r="R139" s="218"/>
      <c r="S139" s="178"/>
      <c r="T139" s="178"/>
      <c r="U139" s="178"/>
      <c r="V139" s="178"/>
      <c r="W139" s="178"/>
      <c r="X139" s="178"/>
      <c r="Y139" s="178"/>
      <c r="Z139" s="178"/>
    </row>
    <row r="140" ht="15.75" hidden="1" customHeight="1">
      <c r="A140" s="217">
        <v>141.0</v>
      </c>
      <c r="B140" s="178"/>
      <c r="C140" s="178"/>
      <c r="D140" s="178"/>
      <c r="E140" s="178"/>
      <c r="F140" s="178"/>
      <c r="G140" s="178"/>
      <c r="H140" s="178"/>
      <c r="I140" s="178"/>
      <c r="J140" s="178"/>
      <c r="K140" s="178"/>
      <c r="L140" s="218"/>
      <c r="M140" s="218"/>
      <c r="N140" s="178"/>
      <c r="O140" s="178"/>
      <c r="P140" s="178"/>
      <c r="Q140" s="218"/>
      <c r="R140" s="218"/>
      <c r="S140" s="178"/>
      <c r="T140" s="178"/>
      <c r="U140" s="178"/>
      <c r="V140" s="178"/>
      <c r="W140" s="178"/>
      <c r="X140" s="178"/>
      <c r="Y140" s="178"/>
      <c r="Z140" s="178"/>
    </row>
    <row r="141" ht="15.75" hidden="1" customHeight="1">
      <c r="A141" s="217">
        <v>142.0</v>
      </c>
      <c r="B141" s="178"/>
      <c r="C141" s="178"/>
      <c r="D141" s="178"/>
      <c r="E141" s="178"/>
      <c r="F141" s="178"/>
      <c r="G141" s="178"/>
      <c r="H141" s="178"/>
      <c r="I141" s="178"/>
      <c r="J141" s="178"/>
      <c r="K141" s="178"/>
      <c r="L141" s="218"/>
      <c r="M141" s="218"/>
      <c r="N141" s="178"/>
      <c r="O141" s="178"/>
      <c r="P141" s="178"/>
      <c r="Q141" s="218"/>
      <c r="R141" s="218"/>
      <c r="S141" s="178"/>
      <c r="T141" s="178"/>
      <c r="U141" s="178"/>
      <c r="V141" s="178"/>
      <c r="W141" s="178"/>
      <c r="X141" s="178"/>
      <c r="Y141" s="178"/>
      <c r="Z141" s="178"/>
    </row>
    <row r="142" ht="15.75" hidden="1" customHeight="1">
      <c r="A142" s="217">
        <v>143.0</v>
      </c>
      <c r="B142" s="178"/>
      <c r="C142" s="178"/>
      <c r="D142" s="178"/>
      <c r="E142" s="178"/>
      <c r="F142" s="178"/>
      <c r="G142" s="178"/>
      <c r="H142" s="178"/>
      <c r="I142" s="178"/>
      <c r="J142" s="178"/>
      <c r="K142" s="178"/>
      <c r="L142" s="218"/>
      <c r="M142" s="218"/>
      <c r="N142" s="178"/>
      <c r="O142" s="178"/>
      <c r="P142" s="178"/>
      <c r="Q142" s="218"/>
      <c r="R142" s="218"/>
      <c r="S142" s="178"/>
      <c r="T142" s="178"/>
      <c r="U142" s="178"/>
      <c r="V142" s="178"/>
      <c r="W142" s="178"/>
      <c r="X142" s="178"/>
      <c r="Y142" s="178"/>
      <c r="Z142" s="178"/>
    </row>
    <row r="143" ht="15.75" hidden="1" customHeight="1">
      <c r="A143" s="217">
        <v>144.0</v>
      </c>
      <c r="B143" s="178"/>
      <c r="C143" s="178"/>
      <c r="D143" s="178"/>
      <c r="E143" s="178"/>
      <c r="F143" s="178"/>
      <c r="G143" s="178"/>
      <c r="H143" s="178"/>
      <c r="I143" s="178"/>
      <c r="J143" s="178"/>
      <c r="K143" s="178"/>
      <c r="L143" s="218"/>
      <c r="M143" s="218"/>
      <c r="N143" s="178"/>
      <c r="O143" s="178"/>
      <c r="P143" s="178"/>
      <c r="Q143" s="218"/>
      <c r="R143" s="218"/>
      <c r="S143" s="178"/>
      <c r="T143" s="178"/>
      <c r="U143" s="178"/>
      <c r="V143" s="178"/>
      <c r="W143" s="178"/>
      <c r="X143" s="178"/>
      <c r="Y143" s="178"/>
      <c r="Z143" s="178"/>
    </row>
    <row r="144" ht="15.75" hidden="1" customHeight="1">
      <c r="A144" s="217">
        <v>145.0</v>
      </c>
      <c r="B144" s="178"/>
      <c r="C144" s="178"/>
      <c r="D144" s="178"/>
      <c r="E144" s="178"/>
      <c r="F144" s="178"/>
      <c r="G144" s="178"/>
      <c r="H144" s="178"/>
      <c r="I144" s="178"/>
      <c r="J144" s="178"/>
      <c r="K144" s="178"/>
      <c r="L144" s="218"/>
      <c r="M144" s="218"/>
      <c r="N144" s="178"/>
      <c r="O144" s="178"/>
      <c r="P144" s="178"/>
      <c r="Q144" s="218"/>
      <c r="R144" s="218"/>
      <c r="S144" s="178"/>
      <c r="T144" s="178"/>
      <c r="U144" s="178"/>
      <c r="V144" s="178"/>
      <c r="W144" s="178"/>
      <c r="X144" s="178"/>
      <c r="Y144" s="178"/>
      <c r="Z144" s="178"/>
    </row>
    <row r="145" ht="15.75" hidden="1" customHeight="1">
      <c r="A145" s="217">
        <v>146.0</v>
      </c>
      <c r="B145" s="178"/>
      <c r="C145" s="178"/>
      <c r="D145" s="178"/>
      <c r="E145" s="178"/>
      <c r="F145" s="178"/>
      <c r="G145" s="178"/>
      <c r="H145" s="178"/>
      <c r="I145" s="178"/>
      <c r="J145" s="178"/>
      <c r="K145" s="178"/>
      <c r="L145" s="218"/>
      <c r="M145" s="218"/>
      <c r="N145" s="178"/>
      <c r="O145" s="178"/>
      <c r="P145" s="178"/>
      <c r="Q145" s="218"/>
      <c r="R145" s="218"/>
      <c r="S145" s="178"/>
      <c r="T145" s="178"/>
      <c r="U145" s="178"/>
      <c r="V145" s="178"/>
      <c r="W145" s="178"/>
      <c r="X145" s="178"/>
      <c r="Y145" s="178"/>
      <c r="Z145" s="178"/>
    </row>
    <row r="146" ht="15.75" hidden="1" customHeight="1">
      <c r="A146" s="217">
        <v>147.0</v>
      </c>
      <c r="B146" s="178"/>
      <c r="C146" s="178"/>
      <c r="D146" s="178"/>
      <c r="E146" s="178"/>
      <c r="F146" s="178"/>
      <c r="G146" s="178"/>
      <c r="H146" s="178"/>
      <c r="I146" s="178"/>
      <c r="J146" s="178"/>
      <c r="K146" s="178"/>
      <c r="L146" s="218"/>
      <c r="M146" s="218"/>
      <c r="N146" s="178"/>
      <c r="O146" s="178"/>
      <c r="P146" s="178"/>
      <c r="Q146" s="218"/>
      <c r="R146" s="218"/>
      <c r="S146" s="178"/>
      <c r="T146" s="178"/>
      <c r="U146" s="178"/>
      <c r="V146" s="178"/>
      <c r="W146" s="178"/>
      <c r="X146" s="178"/>
      <c r="Y146" s="178"/>
      <c r="Z146" s="178"/>
    </row>
    <row r="147" ht="15.75" hidden="1" customHeight="1">
      <c r="A147" s="217">
        <v>148.0</v>
      </c>
      <c r="B147" s="178"/>
      <c r="C147" s="178"/>
      <c r="D147" s="178"/>
      <c r="E147" s="178"/>
      <c r="F147" s="178"/>
      <c r="G147" s="178"/>
      <c r="H147" s="178"/>
      <c r="I147" s="178"/>
      <c r="J147" s="178"/>
      <c r="K147" s="178"/>
      <c r="L147" s="218"/>
      <c r="M147" s="218"/>
      <c r="N147" s="178"/>
      <c r="O147" s="178"/>
      <c r="P147" s="178"/>
      <c r="Q147" s="218"/>
      <c r="R147" s="218"/>
      <c r="S147" s="178"/>
      <c r="T147" s="178"/>
      <c r="U147" s="178"/>
      <c r="V147" s="178"/>
      <c r="W147" s="178"/>
      <c r="X147" s="178"/>
      <c r="Y147" s="178"/>
      <c r="Z147" s="178"/>
    </row>
    <row r="148" ht="15.75" hidden="1" customHeight="1">
      <c r="A148" s="217">
        <v>149.0</v>
      </c>
      <c r="B148" s="178"/>
      <c r="C148" s="178"/>
      <c r="D148" s="178"/>
      <c r="E148" s="178"/>
      <c r="F148" s="178"/>
      <c r="G148" s="178"/>
      <c r="H148" s="178"/>
      <c r="I148" s="178"/>
      <c r="J148" s="178"/>
      <c r="K148" s="178"/>
      <c r="L148" s="218"/>
      <c r="M148" s="218"/>
      <c r="N148" s="178"/>
      <c r="O148" s="178"/>
      <c r="P148" s="178"/>
      <c r="Q148" s="218"/>
      <c r="R148" s="218"/>
      <c r="S148" s="178"/>
      <c r="T148" s="178"/>
      <c r="U148" s="178"/>
      <c r="V148" s="178"/>
      <c r="W148" s="178"/>
      <c r="X148" s="178"/>
      <c r="Y148" s="178"/>
      <c r="Z148" s="178"/>
    </row>
    <row r="149" ht="15.75" hidden="1" customHeight="1">
      <c r="A149" s="217">
        <v>150.0</v>
      </c>
      <c r="B149" s="178"/>
      <c r="C149" s="178"/>
      <c r="D149" s="178"/>
      <c r="E149" s="178"/>
      <c r="F149" s="178"/>
      <c r="G149" s="178"/>
      <c r="H149" s="178"/>
      <c r="I149" s="178"/>
      <c r="J149" s="178"/>
      <c r="K149" s="178"/>
      <c r="L149" s="218"/>
      <c r="M149" s="218"/>
      <c r="N149" s="178"/>
      <c r="O149" s="178"/>
      <c r="P149" s="178"/>
      <c r="Q149" s="218"/>
      <c r="R149" s="218"/>
      <c r="S149" s="178"/>
      <c r="T149" s="178"/>
      <c r="U149" s="178"/>
      <c r="V149" s="178"/>
      <c r="W149" s="178"/>
      <c r="X149" s="178"/>
      <c r="Y149" s="178"/>
      <c r="Z149" s="178"/>
    </row>
    <row r="150" ht="15.75" hidden="1" customHeight="1">
      <c r="A150" s="217">
        <v>151.0</v>
      </c>
      <c r="B150" s="178"/>
      <c r="C150" s="178"/>
      <c r="D150" s="178"/>
      <c r="E150" s="178"/>
      <c r="F150" s="178"/>
      <c r="G150" s="178"/>
      <c r="H150" s="178"/>
      <c r="I150" s="178"/>
      <c r="J150" s="178"/>
      <c r="K150" s="178"/>
      <c r="L150" s="218"/>
      <c r="M150" s="218"/>
      <c r="N150" s="178"/>
      <c r="O150" s="178"/>
      <c r="P150" s="178"/>
      <c r="Q150" s="218"/>
      <c r="R150" s="218"/>
      <c r="S150" s="178"/>
      <c r="T150" s="178"/>
      <c r="U150" s="178"/>
      <c r="V150" s="178"/>
      <c r="W150" s="178"/>
      <c r="X150" s="178"/>
      <c r="Y150" s="178"/>
      <c r="Z150" s="178"/>
    </row>
    <row r="151" ht="15.75" hidden="1" customHeight="1">
      <c r="A151" s="217">
        <v>152.0</v>
      </c>
      <c r="B151" s="178"/>
      <c r="C151" s="178"/>
      <c r="D151" s="178"/>
      <c r="E151" s="178"/>
      <c r="F151" s="178"/>
      <c r="G151" s="178"/>
      <c r="H151" s="178"/>
      <c r="I151" s="178"/>
      <c r="J151" s="178"/>
      <c r="K151" s="178"/>
      <c r="L151" s="218"/>
      <c r="M151" s="218"/>
      <c r="N151" s="178"/>
      <c r="O151" s="178"/>
      <c r="P151" s="178"/>
      <c r="Q151" s="218"/>
      <c r="R151" s="218"/>
      <c r="S151" s="178"/>
      <c r="T151" s="178"/>
      <c r="U151" s="178"/>
      <c r="V151" s="178"/>
      <c r="W151" s="178"/>
      <c r="X151" s="178"/>
      <c r="Y151" s="178"/>
      <c r="Z151" s="178"/>
    </row>
    <row r="152" ht="15.75" hidden="1" customHeight="1">
      <c r="A152" s="217">
        <v>153.0</v>
      </c>
      <c r="B152" s="178"/>
      <c r="C152" s="178"/>
      <c r="D152" s="178"/>
      <c r="E152" s="178"/>
      <c r="F152" s="178"/>
      <c r="G152" s="178"/>
      <c r="H152" s="178"/>
      <c r="I152" s="178"/>
      <c r="J152" s="178"/>
      <c r="K152" s="178"/>
      <c r="L152" s="218"/>
      <c r="M152" s="218"/>
      <c r="N152" s="178"/>
      <c r="O152" s="178"/>
      <c r="P152" s="178"/>
      <c r="Q152" s="218"/>
      <c r="R152" s="218"/>
      <c r="S152" s="178"/>
      <c r="T152" s="178"/>
      <c r="U152" s="178"/>
      <c r="V152" s="178"/>
      <c r="W152" s="178"/>
      <c r="X152" s="178"/>
      <c r="Y152" s="178"/>
      <c r="Z152" s="178"/>
    </row>
    <row r="153" ht="15.75" hidden="1" customHeight="1">
      <c r="A153" s="217">
        <v>154.0</v>
      </c>
      <c r="B153" s="178"/>
      <c r="C153" s="178"/>
      <c r="D153" s="178"/>
      <c r="E153" s="178"/>
      <c r="F153" s="178"/>
      <c r="G153" s="178"/>
      <c r="H153" s="178"/>
      <c r="I153" s="178"/>
      <c r="J153" s="178"/>
      <c r="K153" s="178"/>
      <c r="L153" s="218"/>
      <c r="M153" s="218"/>
      <c r="N153" s="178"/>
      <c r="O153" s="178"/>
      <c r="P153" s="178"/>
      <c r="Q153" s="218"/>
      <c r="R153" s="218"/>
      <c r="S153" s="178"/>
      <c r="T153" s="178"/>
      <c r="U153" s="178"/>
      <c r="V153" s="178"/>
      <c r="W153" s="178"/>
      <c r="X153" s="178"/>
      <c r="Y153" s="178"/>
      <c r="Z153" s="178"/>
    </row>
    <row r="154" ht="15.75" hidden="1" customHeight="1">
      <c r="A154" s="217">
        <v>155.0</v>
      </c>
      <c r="B154" s="178"/>
      <c r="C154" s="178"/>
      <c r="D154" s="178"/>
      <c r="E154" s="178"/>
      <c r="F154" s="178"/>
      <c r="G154" s="178"/>
      <c r="H154" s="178"/>
      <c r="I154" s="178"/>
      <c r="J154" s="178"/>
      <c r="K154" s="178"/>
      <c r="L154" s="218"/>
      <c r="M154" s="218"/>
      <c r="N154" s="178"/>
      <c r="O154" s="178"/>
      <c r="P154" s="178"/>
      <c r="Q154" s="218"/>
      <c r="R154" s="218"/>
      <c r="S154" s="178"/>
      <c r="T154" s="178"/>
      <c r="U154" s="178"/>
      <c r="V154" s="178"/>
      <c r="W154" s="178"/>
      <c r="X154" s="178"/>
      <c r="Y154" s="178"/>
      <c r="Z154" s="178"/>
    </row>
    <row r="155" ht="15.75" hidden="1" customHeight="1">
      <c r="A155" s="217">
        <v>156.0</v>
      </c>
      <c r="B155" s="178"/>
      <c r="C155" s="178"/>
      <c r="D155" s="178"/>
      <c r="E155" s="178"/>
      <c r="F155" s="178"/>
      <c r="G155" s="178"/>
      <c r="H155" s="178"/>
      <c r="I155" s="178"/>
      <c r="J155" s="178"/>
      <c r="K155" s="178"/>
      <c r="L155" s="218"/>
      <c r="M155" s="218"/>
      <c r="N155" s="178"/>
      <c r="O155" s="178"/>
      <c r="P155" s="178"/>
      <c r="Q155" s="218"/>
      <c r="R155" s="218"/>
      <c r="S155" s="178"/>
      <c r="T155" s="178"/>
      <c r="U155" s="178"/>
      <c r="V155" s="178"/>
      <c r="W155" s="178"/>
      <c r="X155" s="178"/>
      <c r="Y155" s="178"/>
      <c r="Z155" s="178"/>
    </row>
    <row r="156" ht="15.75" hidden="1" customHeight="1">
      <c r="A156" s="217">
        <v>157.0</v>
      </c>
      <c r="B156" s="178"/>
      <c r="C156" s="178"/>
      <c r="D156" s="178"/>
      <c r="E156" s="178"/>
      <c r="F156" s="178"/>
      <c r="G156" s="178"/>
      <c r="H156" s="178"/>
      <c r="I156" s="178"/>
      <c r="J156" s="178"/>
      <c r="K156" s="178"/>
      <c r="L156" s="218"/>
      <c r="M156" s="218"/>
      <c r="N156" s="178"/>
      <c r="O156" s="178"/>
      <c r="P156" s="178"/>
      <c r="Q156" s="218"/>
      <c r="R156" s="218"/>
      <c r="S156" s="178"/>
      <c r="T156" s="178"/>
      <c r="U156" s="178"/>
      <c r="V156" s="178"/>
      <c r="W156" s="178"/>
      <c r="X156" s="178"/>
      <c r="Y156" s="178"/>
      <c r="Z156" s="178"/>
    </row>
    <row r="157" ht="15.75" hidden="1" customHeight="1">
      <c r="A157" s="217">
        <v>158.0</v>
      </c>
      <c r="B157" s="178"/>
      <c r="C157" s="178"/>
      <c r="D157" s="178"/>
      <c r="E157" s="178"/>
      <c r="F157" s="178"/>
      <c r="G157" s="178"/>
      <c r="H157" s="178"/>
      <c r="I157" s="178"/>
      <c r="J157" s="178"/>
      <c r="K157" s="178"/>
      <c r="L157" s="218"/>
      <c r="M157" s="218"/>
      <c r="N157" s="178"/>
      <c r="O157" s="178"/>
      <c r="P157" s="178"/>
      <c r="Q157" s="218"/>
      <c r="R157" s="218"/>
      <c r="S157" s="178"/>
      <c r="T157" s="178"/>
      <c r="U157" s="178"/>
      <c r="V157" s="178"/>
      <c r="W157" s="178"/>
      <c r="X157" s="178"/>
      <c r="Y157" s="178"/>
      <c r="Z157" s="178"/>
    </row>
    <row r="158" ht="15.75" hidden="1" customHeight="1">
      <c r="A158" s="217">
        <v>159.0</v>
      </c>
      <c r="B158" s="178"/>
      <c r="C158" s="178"/>
      <c r="D158" s="178"/>
      <c r="E158" s="178"/>
      <c r="F158" s="178"/>
      <c r="G158" s="178"/>
      <c r="H158" s="178"/>
      <c r="I158" s="178"/>
      <c r="J158" s="178"/>
      <c r="K158" s="178"/>
      <c r="L158" s="218"/>
      <c r="M158" s="218"/>
      <c r="N158" s="178"/>
      <c r="O158" s="178"/>
      <c r="P158" s="178"/>
      <c r="Q158" s="218"/>
      <c r="R158" s="218"/>
      <c r="S158" s="178"/>
      <c r="T158" s="178"/>
      <c r="U158" s="178"/>
      <c r="V158" s="178"/>
      <c r="W158" s="178"/>
      <c r="X158" s="178"/>
      <c r="Y158" s="178"/>
      <c r="Z158" s="178"/>
    </row>
    <row r="159" ht="15.75" hidden="1" customHeight="1">
      <c r="A159" s="217">
        <v>160.0</v>
      </c>
      <c r="B159" s="178"/>
      <c r="C159" s="178"/>
      <c r="D159" s="178"/>
      <c r="E159" s="178"/>
      <c r="F159" s="178"/>
      <c r="G159" s="178"/>
      <c r="H159" s="178"/>
      <c r="I159" s="178"/>
      <c r="J159" s="178"/>
      <c r="K159" s="178"/>
      <c r="L159" s="218"/>
      <c r="M159" s="218"/>
      <c r="N159" s="178"/>
      <c r="O159" s="178"/>
      <c r="P159" s="178"/>
      <c r="Q159" s="218"/>
      <c r="R159" s="218"/>
      <c r="S159" s="178"/>
      <c r="T159" s="178"/>
      <c r="U159" s="178"/>
      <c r="V159" s="178"/>
      <c r="W159" s="178"/>
      <c r="X159" s="178"/>
      <c r="Y159" s="178"/>
      <c r="Z159" s="178"/>
    </row>
    <row r="160" ht="15.75" hidden="1" customHeight="1">
      <c r="A160" s="217">
        <v>161.0</v>
      </c>
      <c r="B160" s="178"/>
      <c r="C160" s="178"/>
      <c r="D160" s="178"/>
      <c r="E160" s="178"/>
      <c r="F160" s="178"/>
      <c r="G160" s="178"/>
      <c r="H160" s="178"/>
      <c r="I160" s="178"/>
      <c r="J160" s="178"/>
      <c r="K160" s="178"/>
      <c r="L160" s="218"/>
      <c r="M160" s="218"/>
      <c r="N160" s="178"/>
      <c r="O160" s="178"/>
      <c r="P160" s="178"/>
      <c r="Q160" s="218"/>
      <c r="R160" s="218"/>
      <c r="S160" s="178"/>
      <c r="T160" s="178"/>
      <c r="U160" s="178"/>
      <c r="V160" s="178"/>
      <c r="W160" s="178"/>
      <c r="X160" s="178"/>
      <c r="Y160" s="178"/>
      <c r="Z160" s="178"/>
    </row>
    <row r="161" ht="15.75" hidden="1" customHeight="1">
      <c r="A161" s="217">
        <v>162.0</v>
      </c>
      <c r="B161" s="178"/>
      <c r="C161" s="178"/>
      <c r="D161" s="178"/>
      <c r="E161" s="178"/>
      <c r="F161" s="178"/>
      <c r="G161" s="178"/>
      <c r="H161" s="178"/>
      <c r="I161" s="178"/>
      <c r="J161" s="178"/>
      <c r="K161" s="178"/>
      <c r="L161" s="218"/>
      <c r="M161" s="218"/>
      <c r="N161" s="178"/>
      <c r="O161" s="178"/>
      <c r="P161" s="178"/>
      <c r="Q161" s="218"/>
      <c r="R161" s="218"/>
      <c r="S161" s="178"/>
      <c r="T161" s="178"/>
      <c r="U161" s="178"/>
      <c r="V161" s="178"/>
      <c r="W161" s="178"/>
      <c r="X161" s="178"/>
      <c r="Y161" s="178"/>
      <c r="Z161" s="178"/>
    </row>
    <row r="162" ht="15.75" hidden="1" customHeight="1">
      <c r="A162" s="217">
        <v>163.0</v>
      </c>
      <c r="B162" s="178"/>
      <c r="C162" s="178"/>
      <c r="D162" s="178"/>
      <c r="E162" s="178"/>
      <c r="F162" s="178"/>
      <c r="G162" s="178"/>
      <c r="H162" s="178"/>
      <c r="I162" s="178"/>
      <c r="J162" s="178"/>
      <c r="K162" s="178"/>
      <c r="L162" s="218"/>
      <c r="M162" s="218"/>
      <c r="N162" s="178"/>
      <c r="O162" s="178"/>
      <c r="P162" s="178"/>
      <c r="Q162" s="218"/>
      <c r="R162" s="218"/>
      <c r="S162" s="178"/>
      <c r="T162" s="178"/>
      <c r="U162" s="178"/>
      <c r="V162" s="178"/>
      <c r="W162" s="178"/>
      <c r="X162" s="178"/>
      <c r="Y162" s="178"/>
      <c r="Z162" s="178"/>
    </row>
    <row r="163" ht="15.75" hidden="1" customHeight="1">
      <c r="A163" s="217">
        <v>164.0</v>
      </c>
      <c r="B163" s="178"/>
      <c r="C163" s="178"/>
      <c r="D163" s="178"/>
      <c r="E163" s="178"/>
      <c r="F163" s="178"/>
      <c r="G163" s="178"/>
      <c r="H163" s="178"/>
      <c r="I163" s="178"/>
      <c r="J163" s="178"/>
      <c r="K163" s="178"/>
      <c r="L163" s="218"/>
      <c r="M163" s="218"/>
      <c r="N163" s="178"/>
      <c r="O163" s="178"/>
      <c r="P163" s="178"/>
      <c r="Q163" s="218"/>
      <c r="R163" s="218"/>
      <c r="S163" s="178"/>
      <c r="T163" s="178"/>
      <c r="U163" s="178"/>
      <c r="V163" s="178"/>
      <c r="W163" s="178"/>
      <c r="X163" s="178"/>
      <c r="Y163" s="178"/>
      <c r="Z163" s="178"/>
    </row>
    <row r="164" ht="15.75" hidden="1" customHeight="1">
      <c r="A164" s="217">
        <v>165.0</v>
      </c>
      <c r="B164" s="178"/>
      <c r="C164" s="178"/>
      <c r="D164" s="178"/>
      <c r="E164" s="178"/>
      <c r="F164" s="178"/>
      <c r="G164" s="178"/>
      <c r="H164" s="178"/>
      <c r="I164" s="178"/>
      <c r="J164" s="178"/>
      <c r="K164" s="178"/>
      <c r="L164" s="218"/>
      <c r="M164" s="218"/>
      <c r="N164" s="178"/>
      <c r="O164" s="178"/>
      <c r="P164" s="178"/>
      <c r="Q164" s="218"/>
      <c r="R164" s="218"/>
      <c r="S164" s="178"/>
      <c r="T164" s="178"/>
      <c r="U164" s="178"/>
      <c r="V164" s="178"/>
      <c r="W164" s="178"/>
      <c r="X164" s="178"/>
      <c r="Y164" s="178"/>
      <c r="Z164" s="178"/>
    </row>
    <row r="165" ht="15.75" hidden="1" customHeight="1">
      <c r="A165" s="217">
        <v>166.0</v>
      </c>
      <c r="B165" s="178"/>
      <c r="C165" s="178"/>
      <c r="D165" s="178"/>
      <c r="E165" s="178"/>
      <c r="F165" s="178"/>
      <c r="G165" s="178"/>
      <c r="H165" s="178"/>
      <c r="I165" s="178"/>
      <c r="J165" s="178"/>
      <c r="K165" s="178"/>
      <c r="L165" s="218"/>
      <c r="M165" s="218"/>
      <c r="N165" s="178"/>
      <c r="O165" s="178"/>
      <c r="P165" s="178"/>
      <c r="Q165" s="218"/>
      <c r="R165" s="218"/>
      <c r="S165" s="178"/>
      <c r="T165" s="178"/>
      <c r="U165" s="178"/>
      <c r="V165" s="178"/>
      <c r="W165" s="178"/>
      <c r="X165" s="178"/>
      <c r="Y165" s="178"/>
      <c r="Z165" s="178"/>
    </row>
    <row r="166" ht="15.75" hidden="1" customHeight="1">
      <c r="A166" s="217">
        <v>167.0</v>
      </c>
      <c r="B166" s="178"/>
      <c r="C166" s="178"/>
      <c r="D166" s="178"/>
      <c r="E166" s="178"/>
      <c r="F166" s="178"/>
      <c r="G166" s="178"/>
      <c r="H166" s="178"/>
      <c r="I166" s="178"/>
      <c r="J166" s="178"/>
      <c r="K166" s="178"/>
      <c r="L166" s="218"/>
      <c r="M166" s="218"/>
      <c r="N166" s="178"/>
      <c r="O166" s="178"/>
      <c r="P166" s="178"/>
      <c r="Q166" s="218"/>
      <c r="R166" s="218"/>
      <c r="S166" s="178"/>
      <c r="T166" s="178"/>
      <c r="U166" s="178"/>
      <c r="V166" s="178"/>
      <c r="W166" s="178"/>
      <c r="X166" s="178"/>
      <c r="Y166" s="178"/>
      <c r="Z166" s="178"/>
    </row>
    <row r="167" ht="15.75" hidden="1" customHeight="1">
      <c r="A167" s="217">
        <v>168.0</v>
      </c>
      <c r="B167" s="178"/>
      <c r="C167" s="178"/>
      <c r="D167" s="178"/>
      <c r="E167" s="178"/>
      <c r="F167" s="178"/>
      <c r="G167" s="178"/>
      <c r="H167" s="178"/>
      <c r="I167" s="178"/>
      <c r="J167" s="178"/>
      <c r="K167" s="178"/>
      <c r="L167" s="218"/>
      <c r="M167" s="218"/>
      <c r="N167" s="178"/>
      <c r="O167" s="178"/>
      <c r="P167" s="178"/>
      <c r="Q167" s="218"/>
      <c r="R167" s="218"/>
      <c r="S167" s="178"/>
      <c r="T167" s="178"/>
      <c r="U167" s="178"/>
      <c r="V167" s="178"/>
      <c r="W167" s="178"/>
      <c r="X167" s="178"/>
      <c r="Y167" s="178"/>
      <c r="Z167" s="178"/>
    </row>
    <row r="168" ht="15.75" hidden="1" customHeight="1">
      <c r="A168" s="217">
        <v>169.0</v>
      </c>
      <c r="B168" s="178"/>
      <c r="C168" s="178"/>
      <c r="D168" s="178"/>
      <c r="E168" s="178"/>
      <c r="F168" s="178"/>
      <c r="G168" s="178"/>
      <c r="H168" s="178"/>
      <c r="I168" s="178"/>
      <c r="J168" s="178"/>
      <c r="K168" s="178"/>
      <c r="L168" s="218"/>
      <c r="M168" s="218"/>
      <c r="N168" s="178"/>
      <c r="O168" s="178"/>
      <c r="P168" s="178"/>
      <c r="Q168" s="218"/>
      <c r="R168" s="218"/>
      <c r="S168" s="178"/>
      <c r="T168" s="178"/>
      <c r="U168" s="178"/>
      <c r="V168" s="178"/>
      <c r="W168" s="178"/>
      <c r="X168" s="178"/>
      <c r="Y168" s="178"/>
      <c r="Z168" s="178"/>
    </row>
    <row r="169" ht="15.75" hidden="1" customHeight="1">
      <c r="A169" s="217">
        <v>170.0</v>
      </c>
      <c r="B169" s="178"/>
      <c r="C169" s="178"/>
      <c r="D169" s="178"/>
      <c r="E169" s="178"/>
      <c r="F169" s="178"/>
      <c r="G169" s="178"/>
      <c r="H169" s="178"/>
      <c r="I169" s="178"/>
      <c r="J169" s="178"/>
      <c r="K169" s="178"/>
      <c r="L169" s="218"/>
      <c r="M169" s="218"/>
      <c r="N169" s="178"/>
      <c r="O169" s="178"/>
      <c r="P169" s="178"/>
      <c r="Q169" s="218"/>
      <c r="R169" s="218"/>
      <c r="S169" s="178"/>
      <c r="T169" s="178"/>
      <c r="U169" s="178"/>
      <c r="V169" s="178"/>
      <c r="W169" s="178"/>
      <c r="X169" s="178"/>
      <c r="Y169" s="178"/>
      <c r="Z169" s="178"/>
    </row>
    <row r="170" ht="15.75" hidden="1" customHeight="1">
      <c r="A170" s="217">
        <v>171.0</v>
      </c>
      <c r="B170" s="178"/>
      <c r="C170" s="178"/>
      <c r="D170" s="178"/>
      <c r="E170" s="178"/>
      <c r="F170" s="178"/>
      <c r="G170" s="178"/>
      <c r="H170" s="178"/>
      <c r="I170" s="178"/>
      <c r="J170" s="178"/>
      <c r="K170" s="178"/>
      <c r="L170" s="218"/>
      <c r="M170" s="218"/>
      <c r="N170" s="178"/>
      <c r="O170" s="178"/>
      <c r="P170" s="178"/>
      <c r="Q170" s="218"/>
      <c r="R170" s="218"/>
      <c r="S170" s="178"/>
      <c r="T170" s="178"/>
      <c r="U170" s="178"/>
      <c r="V170" s="178"/>
      <c r="W170" s="178"/>
      <c r="X170" s="178"/>
      <c r="Y170" s="178"/>
      <c r="Z170" s="178"/>
    </row>
    <row r="171" ht="15.75" hidden="1" customHeight="1">
      <c r="A171" s="217">
        <v>172.0</v>
      </c>
      <c r="B171" s="178"/>
      <c r="C171" s="178"/>
      <c r="D171" s="178"/>
      <c r="E171" s="178"/>
      <c r="F171" s="178"/>
      <c r="G171" s="178"/>
      <c r="H171" s="178"/>
      <c r="I171" s="178"/>
      <c r="J171" s="178"/>
      <c r="K171" s="178"/>
      <c r="L171" s="218"/>
      <c r="M171" s="218"/>
      <c r="N171" s="178"/>
      <c r="O171" s="178"/>
      <c r="P171" s="178"/>
      <c r="Q171" s="218"/>
      <c r="R171" s="218"/>
      <c r="S171" s="178"/>
      <c r="T171" s="178"/>
      <c r="U171" s="178"/>
      <c r="V171" s="178"/>
      <c r="W171" s="178"/>
      <c r="X171" s="178"/>
      <c r="Y171" s="178"/>
      <c r="Z171" s="178"/>
    </row>
    <row r="172" ht="15.75" hidden="1" customHeight="1">
      <c r="A172" s="217">
        <v>173.0</v>
      </c>
      <c r="B172" s="178"/>
      <c r="C172" s="178"/>
      <c r="D172" s="178"/>
      <c r="E172" s="178"/>
      <c r="F172" s="178"/>
      <c r="G172" s="178"/>
      <c r="H172" s="178"/>
      <c r="I172" s="178"/>
      <c r="J172" s="178"/>
      <c r="K172" s="178"/>
      <c r="L172" s="218"/>
      <c r="M172" s="218"/>
      <c r="N172" s="178"/>
      <c r="O172" s="178"/>
      <c r="P172" s="178"/>
      <c r="Q172" s="218"/>
      <c r="R172" s="218"/>
      <c r="S172" s="178"/>
      <c r="T172" s="178"/>
      <c r="U172" s="178"/>
      <c r="V172" s="178"/>
      <c r="W172" s="178"/>
      <c r="X172" s="178"/>
      <c r="Y172" s="178"/>
      <c r="Z172" s="178"/>
    </row>
    <row r="173" ht="15.75" hidden="1" customHeight="1">
      <c r="A173" s="217">
        <v>174.0</v>
      </c>
      <c r="B173" s="178"/>
      <c r="C173" s="178"/>
      <c r="D173" s="178"/>
      <c r="E173" s="178"/>
      <c r="F173" s="178"/>
      <c r="G173" s="178"/>
      <c r="H173" s="178"/>
      <c r="I173" s="178"/>
      <c r="J173" s="178"/>
      <c r="K173" s="178"/>
      <c r="L173" s="218"/>
      <c r="M173" s="218"/>
      <c r="N173" s="178"/>
      <c r="O173" s="178"/>
      <c r="P173" s="178"/>
      <c r="Q173" s="218"/>
      <c r="R173" s="218"/>
      <c r="S173" s="178"/>
      <c r="T173" s="178"/>
      <c r="U173" s="178"/>
      <c r="V173" s="178"/>
      <c r="W173" s="178"/>
      <c r="X173" s="178"/>
      <c r="Y173" s="178"/>
      <c r="Z173" s="178"/>
    </row>
    <row r="174" ht="15.75" hidden="1" customHeight="1">
      <c r="A174" s="217">
        <v>175.0</v>
      </c>
      <c r="B174" s="178"/>
      <c r="C174" s="178"/>
      <c r="D174" s="178"/>
      <c r="E174" s="178"/>
      <c r="F174" s="178"/>
      <c r="G174" s="178"/>
      <c r="H174" s="178"/>
      <c r="I174" s="178"/>
      <c r="J174" s="178"/>
      <c r="K174" s="178"/>
      <c r="L174" s="218"/>
      <c r="M174" s="218"/>
      <c r="N174" s="178"/>
      <c r="O174" s="178"/>
      <c r="P174" s="178"/>
      <c r="Q174" s="218"/>
      <c r="R174" s="218"/>
      <c r="S174" s="178"/>
      <c r="T174" s="178"/>
      <c r="U174" s="178"/>
      <c r="V174" s="178"/>
      <c r="W174" s="178"/>
      <c r="X174" s="178"/>
      <c r="Y174" s="178"/>
      <c r="Z174" s="178"/>
    </row>
    <row r="175" ht="15.75" hidden="1" customHeight="1">
      <c r="A175" s="217">
        <v>176.0</v>
      </c>
      <c r="B175" s="178"/>
      <c r="C175" s="178"/>
      <c r="D175" s="178"/>
      <c r="E175" s="178"/>
      <c r="F175" s="178"/>
      <c r="G175" s="178"/>
      <c r="H175" s="178"/>
      <c r="I175" s="178"/>
      <c r="J175" s="178"/>
      <c r="K175" s="178"/>
      <c r="L175" s="218"/>
      <c r="M175" s="218"/>
      <c r="N175" s="178"/>
      <c r="O175" s="178"/>
      <c r="P175" s="178"/>
      <c r="Q175" s="218"/>
      <c r="R175" s="218"/>
      <c r="S175" s="178"/>
      <c r="T175" s="178"/>
      <c r="U175" s="178"/>
      <c r="V175" s="178"/>
      <c r="W175" s="178"/>
      <c r="X175" s="178"/>
      <c r="Y175" s="178"/>
      <c r="Z175" s="178"/>
    </row>
    <row r="176" ht="15.75" hidden="1" customHeight="1">
      <c r="A176" s="217">
        <v>177.0</v>
      </c>
      <c r="B176" s="178"/>
      <c r="C176" s="178"/>
      <c r="D176" s="178"/>
      <c r="E176" s="178"/>
      <c r="F176" s="178"/>
      <c r="G176" s="178"/>
      <c r="H176" s="178"/>
      <c r="I176" s="178"/>
      <c r="J176" s="178"/>
      <c r="K176" s="178"/>
      <c r="L176" s="218"/>
      <c r="M176" s="218"/>
      <c r="N176" s="178"/>
      <c r="O176" s="178"/>
      <c r="P176" s="178"/>
      <c r="Q176" s="218"/>
      <c r="R176" s="218"/>
      <c r="S176" s="178"/>
      <c r="T176" s="178"/>
      <c r="U176" s="178"/>
      <c r="V176" s="178"/>
      <c r="W176" s="178"/>
      <c r="X176" s="178"/>
      <c r="Y176" s="178"/>
      <c r="Z176" s="178"/>
    </row>
    <row r="177" ht="15.75" hidden="1" customHeight="1">
      <c r="A177" s="217">
        <v>178.0</v>
      </c>
      <c r="B177" s="178"/>
      <c r="C177" s="178"/>
      <c r="D177" s="178"/>
      <c r="E177" s="178"/>
      <c r="F177" s="178"/>
      <c r="G177" s="178"/>
      <c r="H177" s="178"/>
      <c r="I177" s="178"/>
      <c r="J177" s="178"/>
      <c r="K177" s="178"/>
      <c r="L177" s="218"/>
      <c r="M177" s="218"/>
      <c r="N177" s="178"/>
      <c r="O177" s="178"/>
      <c r="P177" s="178"/>
      <c r="Q177" s="218"/>
      <c r="R177" s="218"/>
      <c r="S177" s="178"/>
      <c r="T177" s="178"/>
      <c r="U177" s="178"/>
      <c r="V177" s="178"/>
      <c r="W177" s="178"/>
      <c r="X177" s="178"/>
      <c r="Y177" s="178"/>
      <c r="Z177" s="178"/>
    </row>
    <row r="178" ht="15.75" hidden="1" customHeight="1">
      <c r="A178" s="217">
        <v>179.0</v>
      </c>
      <c r="B178" s="178"/>
      <c r="C178" s="178"/>
      <c r="D178" s="178"/>
      <c r="E178" s="178"/>
      <c r="F178" s="178"/>
      <c r="G178" s="178"/>
      <c r="H178" s="178"/>
      <c r="I178" s="178"/>
      <c r="J178" s="178"/>
      <c r="K178" s="178"/>
      <c r="L178" s="218"/>
      <c r="M178" s="218"/>
      <c r="N178" s="178"/>
      <c r="O178" s="178"/>
      <c r="P178" s="178"/>
      <c r="Q178" s="218"/>
      <c r="R178" s="218"/>
      <c r="S178" s="178"/>
      <c r="T178" s="178"/>
      <c r="U178" s="178"/>
      <c r="V178" s="178"/>
      <c r="W178" s="178"/>
      <c r="X178" s="178"/>
      <c r="Y178" s="178"/>
      <c r="Z178" s="178"/>
    </row>
    <row r="179" ht="15.75" hidden="1" customHeight="1">
      <c r="A179" s="217">
        <v>180.0</v>
      </c>
      <c r="B179" s="178"/>
      <c r="C179" s="178"/>
      <c r="D179" s="178"/>
      <c r="E179" s="178"/>
      <c r="F179" s="178"/>
      <c r="G179" s="178"/>
      <c r="H179" s="178"/>
      <c r="I179" s="178"/>
      <c r="J179" s="178"/>
      <c r="K179" s="178"/>
      <c r="L179" s="218"/>
      <c r="M179" s="218"/>
      <c r="N179" s="178"/>
      <c r="O179" s="178"/>
      <c r="P179" s="178"/>
      <c r="Q179" s="218"/>
      <c r="R179" s="218"/>
      <c r="S179" s="178"/>
      <c r="T179" s="178"/>
      <c r="U179" s="178"/>
      <c r="V179" s="178"/>
      <c r="W179" s="178"/>
      <c r="X179" s="178"/>
      <c r="Y179" s="178"/>
      <c r="Z179" s="178"/>
    </row>
    <row r="180" ht="15.75" hidden="1" customHeight="1">
      <c r="A180" s="217">
        <v>181.0</v>
      </c>
      <c r="B180" s="178"/>
      <c r="C180" s="178"/>
      <c r="D180" s="178"/>
      <c r="E180" s="178"/>
      <c r="F180" s="178"/>
      <c r="G180" s="178"/>
      <c r="H180" s="178"/>
      <c r="I180" s="178"/>
      <c r="J180" s="178"/>
      <c r="K180" s="178"/>
      <c r="L180" s="218"/>
      <c r="M180" s="218"/>
      <c r="N180" s="178"/>
      <c r="O180" s="178"/>
      <c r="P180" s="178"/>
      <c r="Q180" s="218"/>
      <c r="R180" s="218"/>
      <c r="S180" s="178"/>
      <c r="T180" s="178"/>
      <c r="U180" s="178"/>
      <c r="V180" s="178"/>
      <c r="W180" s="178"/>
      <c r="X180" s="178"/>
      <c r="Y180" s="178"/>
      <c r="Z180" s="178"/>
    </row>
    <row r="181" ht="15.75" hidden="1" customHeight="1">
      <c r="A181" s="217">
        <v>182.0</v>
      </c>
      <c r="B181" s="219"/>
      <c r="C181" s="219"/>
      <c r="D181" s="219"/>
      <c r="E181" s="219"/>
      <c r="F181" s="178"/>
      <c r="G181" s="178"/>
      <c r="H181" s="178"/>
      <c r="I181" s="178"/>
      <c r="J181" s="178"/>
      <c r="K181" s="178"/>
      <c r="L181" s="218"/>
      <c r="M181" s="218"/>
      <c r="N181" s="178"/>
      <c r="O181" s="178"/>
      <c r="P181" s="178"/>
      <c r="Q181" s="218"/>
      <c r="R181" s="218"/>
      <c r="S181" s="178"/>
      <c r="T181" s="178"/>
      <c r="U181" s="178"/>
      <c r="V181" s="178"/>
      <c r="W181" s="178"/>
      <c r="X181" s="178"/>
      <c r="Y181" s="178"/>
      <c r="Z181" s="178"/>
    </row>
    <row r="182" ht="15.75" hidden="1" customHeight="1">
      <c r="A182" s="217">
        <v>183.0</v>
      </c>
      <c r="B182" s="219"/>
      <c r="C182" s="219"/>
      <c r="D182" s="219"/>
      <c r="E182" s="219"/>
      <c r="F182" s="178"/>
      <c r="G182" s="178"/>
      <c r="H182" s="178"/>
      <c r="I182" s="178"/>
      <c r="J182" s="178"/>
      <c r="K182" s="178"/>
      <c r="L182" s="218"/>
      <c r="M182" s="218"/>
      <c r="N182" s="178"/>
      <c r="O182" s="178"/>
      <c r="P182" s="178"/>
      <c r="Q182" s="218"/>
      <c r="R182" s="218"/>
      <c r="S182" s="178"/>
      <c r="T182" s="178"/>
      <c r="U182" s="178"/>
      <c r="V182" s="178"/>
      <c r="W182" s="178"/>
      <c r="X182" s="178"/>
      <c r="Y182" s="178"/>
      <c r="Z182" s="178"/>
    </row>
    <row r="183" ht="15.75" hidden="1" customHeight="1">
      <c r="A183" s="217">
        <v>184.0</v>
      </c>
      <c r="B183" s="219"/>
      <c r="C183" s="219"/>
      <c r="D183" s="219"/>
      <c r="E183" s="219"/>
      <c r="F183" s="178"/>
      <c r="G183" s="178"/>
      <c r="H183" s="178"/>
      <c r="I183" s="178"/>
      <c r="J183" s="178"/>
      <c r="K183" s="178"/>
      <c r="L183" s="218"/>
      <c r="M183" s="218"/>
      <c r="N183" s="178"/>
      <c r="O183" s="178"/>
      <c r="P183" s="178"/>
      <c r="Q183" s="218"/>
      <c r="R183" s="218"/>
      <c r="S183" s="178"/>
      <c r="T183" s="178"/>
      <c r="U183" s="178"/>
      <c r="V183" s="178"/>
      <c r="W183" s="178"/>
      <c r="X183" s="178"/>
      <c r="Y183" s="178"/>
      <c r="Z183" s="178"/>
    </row>
    <row r="184" ht="15.75" hidden="1" customHeight="1">
      <c r="A184" s="217">
        <v>185.0</v>
      </c>
      <c r="B184" s="219"/>
      <c r="C184" s="219"/>
      <c r="D184" s="219"/>
      <c r="E184" s="219"/>
      <c r="F184" s="178"/>
      <c r="G184" s="178"/>
      <c r="H184" s="178"/>
      <c r="I184" s="178"/>
      <c r="J184" s="178"/>
      <c r="K184" s="178"/>
      <c r="L184" s="218"/>
      <c r="M184" s="218"/>
      <c r="N184" s="178"/>
      <c r="O184" s="178"/>
      <c r="P184" s="178"/>
      <c r="Q184" s="218"/>
      <c r="R184" s="218"/>
      <c r="S184" s="178"/>
      <c r="T184" s="178"/>
      <c r="U184" s="178"/>
      <c r="V184" s="178"/>
      <c r="W184" s="178"/>
      <c r="X184" s="178"/>
      <c r="Y184" s="178"/>
      <c r="Z184" s="178"/>
    </row>
    <row r="185" ht="15.75" hidden="1" customHeight="1">
      <c r="A185" s="217">
        <v>186.0</v>
      </c>
      <c r="B185" s="219"/>
      <c r="C185" s="219"/>
      <c r="D185" s="219"/>
      <c r="E185" s="219"/>
      <c r="F185" s="178"/>
      <c r="G185" s="178"/>
      <c r="H185" s="178"/>
      <c r="I185" s="178"/>
      <c r="J185" s="178"/>
      <c r="K185" s="178"/>
      <c r="L185" s="218"/>
      <c r="M185" s="218"/>
      <c r="N185" s="178"/>
      <c r="O185" s="178"/>
      <c r="P185" s="178"/>
      <c r="Q185" s="218"/>
      <c r="R185" s="218"/>
      <c r="S185" s="178"/>
      <c r="T185" s="178"/>
      <c r="U185" s="178"/>
      <c r="V185" s="178"/>
      <c r="W185" s="178"/>
      <c r="X185" s="178"/>
      <c r="Y185" s="178"/>
      <c r="Z185" s="178"/>
    </row>
    <row r="186" ht="15.75" hidden="1" customHeight="1">
      <c r="A186" s="217">
        <v>187.0</v>
      </c>
      <c r="B186" s="219"/>
      <c r="C186" s="219"/>
      <c r="D186" s="219"/>
      <c r="E186" s="219"/>
      <c r="F186" s="178"/>
      <c r="G186" s="178"/>
      <c r="H186" s="178"/>
      <c r="I186" s="178"/>
      <c r="J186" s="178"/>
      <c r="K186" s="178"/>
      <c r="L186" s="218"/>
      <c r="M186" s="218"/>
      <c r="N186" s="178"/>
      <c r="O186" s="178"/>
      <c r="P186" s="178"/>
      <c r="Q186" s="218"/>
      <c r="R186" s="218"/>
      <c r="S186" s="178"/>
      <c r="T186" s="178"/>
      <c r="U186" s="178"/>
      <c r="V186" s="178"/>
      <c r="W186" s="178"/>
      <c r="X186" s="178"/>
      <c r="Y186" s="178"/>
      <c r="Z186" s="178"/>
    </row>
    <row r="187" ht="15.75" hidden="1" customHeight="1">
      <c r="A187" s="217">
        <v>188.0</v>
      </c>
      <c r="B187" s="219"/>
      <c r="C187" s="219"/>
      <c r="D187" s="219"/>
      <c r="E187" s="219"/>
      <c r="F187" s="178"/>
      <c r="G187" s="178"/>
      <c r="H187" s="178"/>
      <c r="I187" s="178"/>
      <c r="J187" s="178"/>
      <c r="K187" s="178"/>
      <c r="L187" s="218"/>
      <c r="M187" s="218"/>
      <c r="N187" s="178"/>
      <c r="O187" s="178"/>
      <c r="P187" s="178"/>
      <c r="Q187" s="218"/>
      <c r="R187" s="218"/>
      <c r="S187" s="178"/>
      <c r="T187" s="178"/>
      <c r="U187" s="178"/>
      <c r="V187" s="178"/>
      <c r="W187" s="178"/>
      <c r="X187" s="178"/>
      <c r="Y187" s="178"/>
      <c r="Z187" s="178"/>
    </row>
    <row r="188" ht="15.75" hidden="1" customHeight="1">
      <c r="A188" s="217">
        <v>189.0</v>
      </c>
      <c r="B188" s="219"/>
      <c r="C188" s="219"/>
      <c r="D188" s="219"/>
      <c r="E188" s="219"/>
      <c r="F188" s="178"/>
      <c r="G188" s="178"/>
      <c r="H188" s="178"/>
      <c r="I188" s="178"/>
      <c r="J188" s="178"/>
      <c r="K188" s="178"/>
      <c r="L188" s="218"/>
      <c r="M188" s="218"/>
      <c r="N188" s="178"/>
      <c r="O188" s="178"/>
      <c r="P188" s="178"/>
      <c r="Q188" s="218"/>
      <c r="R188" s="218"/>
      <c r="S188" s="178"/>
      <c r="T188" s="178"/>
      <c r="U188" s="178"/>
      <c r="V188" s="178"/>
      <c r="W188" s="178"/>
      <c r="X188" s="178"/>
      <c r="Y188" s="178"/>
      <c r="Z188" s="178"/>
    </row>
    <row r="189" ht="15.75" hidden="1" customHeight="1">
      <c r="A189" s="217">
        <v>190.0</v>
      </c>
      <c r="B189" s="219"/>
      <c r="C189" s="219"/>
      <c r="D189" s="219"/>
      <c r="E189" s="219"/>
      <c r="F189" s="178"/>
      <c r="G189" s="178"/>
      <c r="H189" s="178"/>
      <c r="I189" s="178"/>
      <c r="J189" s="178"/>
      <c r="K189" s="178"/>
      <c r="L189" s="218"/>
      <c r="M189" s="218"/>
      <c r="N189" s="178"/>
      <c r="O189" s="178"/>
      <c r="P189" s="178"/>
      <c r="Q189" s="218"/>
      <c r="R189" s="218"/>
      <c r="S189" s="178"/>
      <c r="T189" s="178"/>
      <c r="U189" s="178"/>
      <c r="V189" s="178"/>
      <c r="W189" s="178"/>
      <c r="X189" s="178"/>
      <c r="Y189" s="178"/>
      <c r="Z189" s="178"/>
    </row>
    <row r="190" ht="15.75" hidden="1" customHeight="1">
      <c r="A190" s="217">
        <v>191.0</v>
      </c>
      <c r="B190" s="219"/>
      <c r="C190" s="219"/>
      <c r="D190" s="219"/>
      <c r="E190" s="219"/>
      <c r="F190" s="178"/>
      <c r="G190" s="178"/>
      <c r="H190" s="178"/>
      <c r="I190" s="178"/>
      <c r="J190" s="178"/>
      <c r="K190" s="178"/>
      <c r="L190" s="218"/>
      <c r="M190" s="218"/>
      <c r="N190" s="178"/>
      <c r="O190" s="178"/>
      <c r="P190" s="178"/>
      <c r="Q190" s="218"/>
      <c r="R190" s="218"/>
      <c r="S190" s="178"/>
      <c r="T190" s="178"/>
      <c r="U190" s="178"/>
      <c r="V190" s="178"/>
      <c r="W190" s="178"/>
      <c r="X190" s="178"/>
      <c r="Y190" s="178"/>
      <c r="Z190" s="178"/>
    </row>
    <row r="191" ht="15.75" hidden="1" customHeight="1">
      <c r="A191" s="217">
        <v>192.0</v>
      </c>
      <c r="B191" s="219"/>
      <c r="C191" s="219"/>
      <c r="D191" s="219"/>
      <c r="E191" s="219"/>
      <c r="F191" s="178"/>
      <c r="G191" s="178"/>
      <c r="H191" s="178"/>
      <c r="I191" s="178"/>
      <c r="J191" s="178"/>
      <c r="K191" s="178"/>
      <c r="L191" s="218"/>
      <c r="M191" s="218"/>
      <c r="N191" s="178"/>
      <c r="O191" s="178"/>
      <c r="P191" s="178"/>
      <c r="Q191" s="218"/>
      <c r="R191" s="218"/>
      <c r="S191" s="178"/>
      <c r="T191" s="178"/>
      <c r="U191" s="178"/>
      <c r="V191" s="178"/>
      <c r="W191" s="178"/>
      <c r="X191" s="178"/>
      <c r="Y191" s="178"/>
      <c r="Z191" s="178"/>
    </row>
    <row r="192" ht="15.75" hidden="1" customHeight="1">
      <c r="A192" s="217">
        <v>193.0</v>
      </c>
      <c r="B192" s="219"/>
      <c r="C192" s="219"/>
      <c r="D192" s="219"/>
      <c r="E192" s="219"/>
      <c r="F192" s="178"/>
      <c r="G192" s="178"/>
      <c r="H192" s="178"/>
      <c r="I192" s="178"/>
      <c r="J192" s="178"/>
      <c r="K192" s="178"/>
      <c r="L192" s="218"/>
      <c r="M192" s="218"/>
      <c r="N192" s="178"/>
      <c r="O192" s="178"/>
      <c r="P192" s="178"/>
      <c r="Q192" s="218"/>
      <c r="R192" s="218"/>
      <c r="S192" s="178"/>
      <c r="T192" s="178"/>
      <c r="U192" s="178"/>
      <c r="V192" s="178"/>
      <c r="W192" s="178"/>
      <c r="X192" s="178"/>
      <c r="Y192" s="178"/>
      <c r="Z192" s="178"/>
    </row>
    <row r="193" ht="15.75" hidden="1" customHeight="1">
      <c r="A193" s="217">
        <v>194.0</v>
      </c>
      <c r="B193" s="219"/>
      <c r="C193" s="219"/>
      <c r="D193" s="219"/>
      <c r="E193" s="219"/>
      <c r="F193" s="178"/>
      <c r="G193" s="178"/>
      <c r="H193" s="178"/>
      <c r="I193" s="178"/>
      <c r="J193" s="178"/>
      <c r="K193" s="178"/>
      <c r="L193" s="218"/>
      <c r="M193" s="218"/>
      <c r="N193" s="178"/>
      <c r="O193" s="178"/>
      <c r="P193" s="178"/>
      <c r="Q193" s="218"/>
      <c r="R193" s="218"/>
      <c r="S193" s="178"/>
      <c r="T193" s="178"/>
      <c r="U193" s="178"/>
      <c r="V193" s="178"/>
      <c r="W193" s="178"/>
      <c r="X193" s="178"/>
      <c r="Y193" s="178"/>
      <c r="Z193" s="178"/>
    </row>
    <row r="194" ht="15.75" hidden="1" customHeight="1">
      <c r="A194" s="217">
        <v>195.0</v>
      </c>
      <c r="B194" s="219"/>
      <c r="C194" s="219"/>
      <c r="D194" s="219"/>
      <c r="E194" s="219"/>
      <c r="F194" s="178"/>
      <c r="G194" s="178"/>
      <c r="H194" s="178"/>
      <c r="I194" s="178"/>
      <c r="J194" s="178"/>
      <c r="K194" s="178"/>
      <c r="L194" s="218"/>
      <c r="M194" s="218"/>
      <c r="N194" s="178"/>
      <c r="O194" s="178"/>
      <c r="P194" s="178"/>
      <c r="Q194" s="218"/>
      <c r="R194" s="218"/>
      <c r="S194" s="178"/>
      <c r="T194" s="178"/>
      <c r="U194" s="178"/>
      <c r="V194" s="178"/>
      <c r="W194" s="178"/>
      <c r="X194" s="178"/>
      <c r="Y194" s="178"/>
      <c r="Z194" s="178"/>
    </row>
    <row r="195" ht="15.75" hidden="1" customHeight="1">
      <c r="A195" s="217">
        <v>196.0</v>
      </c>
      <c r="B195" s="219"/>
      <c r="C195" s="219"/>
      <c r="D195" s="219"/>
      <c r="E195" s="219"/>
      <c r="F195" s="178"/>
      <c r="G195" s="178"/>
      <c r="H195" s="178"/>
      <c r="I195" s="178"/>
      <c r="J195" s="178"/>
      <c r="K195" s="178"/>
      <c r="L195" s="218"/>
      <c r="M195" s="218"/>
      <c r="N195" s="178"/>
      <c r="O195" s="178"/>
      <c r="P195" s="178"/>
      <c r="Q195" s="218"/>
      <c r="R195" s="218"/>
      <c r="S195" s="178"/>
      <c r="T195" s="178"/>
      <c r="U195" s="178"/>
      <c r="V195" s="178"/>
      <c r="W195" s="178"/>
      <c r="X195" s="178"/>
      <c r="Y195" s="178"/>
      <c r="Z195" s="178"/>
    </row>
    <row r="196" ht="15.75" hidden="1" customHeight="1">
      <c r="A196" s="217">
        <v>197.0</v>
      </c>
      <c r="B196" s="219"/>
      <c r="C196" s="219"/>
      <c r="D196" s="219"/>
      <c r="E196" s="219"/>
      <c r="F196" s="178"/>
      <c r="G196" s="178"/>
      <c r="H196" s="178"/>
      <c r="I196" s="178"/>
      <c r="J196" s="178"/>
      <c r="K196" s="178"/>
      <c r="L196" s="218"/>
      <c r="M196" s="218"/>
      <c r="N196" s="178"/>
      <c r="O196" s="178"/>
      <c r="P196" s="178"/>
      <c r="Q196" s="218"/>
      <c r="R196" s="218"/>
      <c r="S196" s="178"/>
      <c r="T196" s="178"/>
      <c r="U196" s="178"/>
      <c r="V196" s="178"/>
      <c r="W196" s="178"/>
      <c r="X196" s="178"/>
      <c r="Y196" s="178"/>
      <c r="Z196" s="178"/>
    </row>
    <row r="197" ht="15.75" hidden="1" customHeight="1">
      <c r="A197" s="217">
        <v>198.0</v>
      </c>
      <c r="B197" s="219"/>
      <c r="C197" s="219"/>
      <c r="D197" s="219"/>
      <c r="E197" s="219"/>
      <c r="F197" s="178"/>
      <c r="G197" s="178"/>
      <c r="H197" s="178"/>
      <c r="I197" s="178"/>
      <c r="J197" s="178"/>
      <c r="K197" s="178"/>
      <c r="L197" s="218"/>
      <c r="M197" s="218"/>
      <c r="N197" s="178"/>
      <c r="O197" s="178"/>
      <c r="P197" s="178"/>
      <c r="Q197" s="218"/>
      <c r="R197" s="218"/>
      <c r="S197" s="178"/>
      <c r="T197" s="178"/>
      <c r="U197" s="178"/>
      <c r="V197" s="178"/>
      <c r="W197" s="178"/>
      <c r="X197" s="178"/>
      <c r="Y197" s="178"/>
      <c r="Z197" s="178"/>
    </row>
    <row r="198" ht="15.75" hidden="1" customHeight="1">
      <c r="A198" s="217">
        <v>199.0</v>
      </c>
      <c r="B198" s="219"/>
      <c r="C198" s="219"/>
      <c r="D198" s="219"/>
      <c r="E198" s="219"/>
      <c r="F198" s="178"/>
      <c r="G198" s="178"/>
      <c r="H198" s="178"/>
      <c r="I198" s="178"/>
      <c r="J198" s="178"/>
      <c r="K198" s="178"/>
      <c r="L198" s="218"/>
      <c r="M198" s="218"/>
      <c r="N198" s="178"/>
      <c r="O198" s="178"/>
      <c r="P198" s="178"/>
      <c r="Q198" s="218"/>
      <c r="R198" s="218"/>
      <c r="S198" s="178"/>
      <c r="T198" s="178"/>
      <c r="U198" s="178"/>
      <c r="V198" s="178"/>
      <c r="W198" s="178"/>
      <c r="X198" s="178"/>
      <c r="Y198" s="178"/>
      <c r="Z198" s="178"/>
    </row>
    <row r="199" ht="15.75" hidden="1" customHeight="1">
      <c r="A199" s="217">
        <v>200.0</v>
      </c>
      <c r="B199" s="219"/>
      <c r="C199" s="219"/>
      <c r="D199" s="219"/>
      <c r="E199" s="219"/>
      <c r="F199" s="178"/>
      <c r="G199" s="178"/>
      <c r="H199" s="178"/>
      <c r="I199" s="178"/>
      <c r="J199" s="178"/>
      <c r="K199" s="178"/>
      <c r="L199" s="218"/>
      <c r="M199" s="218"/>
      <c r="N199" s="178"/>
      <c r="O199" s="178"/>
      <c r="P199" s="178"/>
      <c r="Q199" s="218"/>
      <c r="R199" s="218"/>
      <c r="S199" s="178"/>
      <c r="T199" s="178"/>
      <c r="U199" s="178"/>
      <c r="V199" s="178"/>
      <c r="W199" s="178"/>
      <c r="X199" s="178"/>
      <c r="Y199" s="178"/>
      <c r="Z199" s="178"/>
    </row>
    <row r="200" ht="15.75" hidden="1" customHeight="1">
      <c r="A200" s="217">
        <v>201.0</v>
      </c>
      <c r="B200" s="219"/>
      <c r="C200" s="219"/>
      <c r="D200" s="219"/>
      <c r="E200" s="219"/>
      <c r="F200" s="178"/>
      <c r="G200" s="178"/>
      <c r="H200" s="178"/>
      <c r="I200" s="178"/>
      <c r="J200" s="178"/>
      <c r="K200" s="178"/>
      <c r="L200" s="218"/>
      <c r="M200" s="218"/>
      <c r="N200" s="178"/>
      <c r="O200" s="178"/>
      <c r="P200" s="178"/>
      <c r="Q200" s="218"/>
      <c r="R200" s="218"/>
      <c r="S200" s="178"/>
      <c r="T200" s="178"/>
      <c r="U200" s="178"/>
      <c r="V200" s="178"/>
      <c r="W200" s="178"/>
      <c r="X200" s="178"/>
      <c r="Y200" s="178"/>
      <c r="Z200" s="178"/>
    </row>
    <row r="201" ht="15.75" hidden="1" customHeight="1">
      <c r="A201" s="217">
        <v>202.0</v>
      </c>
      <c r="B201" s="219"/>
      <c r="C201" s="219"/>
      <c r="D201" s="219"/>
      <c r="E201" s="219"/>
      <c r="F201" s="178"/>
      <c r="G201" s="178"/>
      <c r="H201" s="178"/>
      <c r="I201" s="178"/>
      <c r="J201" s="178"/>
      <c r="K201" s="178"/>
      <c r="L201" s="218"/>
      <c r="M201" s="218"/>
      <c r="N201" s="178"/>
      <c r="O201" s="178"/>
      <c r="P201" s="178"/>
      <c r="Q201" s="218"/>
      <c r="R201" s="218"/>
      <c r="S201" s="178"/>
      <c r="T201" s="178"/>
      <c r="U201" s="178"/>
      <c r="V201" s="178"/>
      <c r="W201" s="178"/>
      <c r="X201" s="178"/>
      <c r="Y201" s="178"/>
      <c r="Z201" s="178"/>
    </row>
    <row r="202" ht="15.75" hidden="1" customHeight="1">
      <c r="A202" s="217">
        <v>203.0</v>
      </c>
      <c r="B202" s="219"/>
      <c r="C202" s="219"/>
      <c r="D202" s="219"/>
      <c r="E202" s="219"/>
      <c r="F202" s="178"/>
      <c r="G202" s="178"/>
      <c r="H202" s="178"/>
      <c r="I202" s="178"/>
      <c r="J202" s="178"/>
      <c r="K202" s="178"/>
      <c r="L202" s="218"/>
      <c r="M202" s="218"/>
      <c r="N202" s="178"/>
      <c r="O202" s="178"/>
      <c r="P202" s="178"/>
      <c r="Q202" s="218"/>
      <c r="R202" s="218"/>
      <c r="S202" s="178"/>
      <c r="T202" s="178"/>
      <c r="U202" s="178"/>
      <c r="V202" s="178"/>
      <c r="W202" s="178"/>
      <c r="X202" s="178"/>
      <c r="Y202" s="178"/>
      <c r="Z202" s="178"/>
    </row>
    <row r="203" ht="15.75" hidden="1" customHeight="1">
      <c r="A203" s="217">
        <v>204.0</v>
      </c>
      <c r="B203" s="219"/>
      <c r="C203" s="219"/>
      <c r="D203" s="219"/>
      <c r="E203" s="219"/>
      <c r="F203" s="178"/>
      <c r="G203" s="178"/>
      <c r="H203" s="178"/>
      <c r="I203" s="178"/>
      <c r="J203" s="178"/>
      <c r="K203" s="178"/>
      <c r="L203" s="218"/>
      <c r="M203" s="218"/>
      <c r="N203" s="178"/>
      <c r="O203" s="178"/>
      <c r="P203" s="178"/>
      <c r="Q203" s="218"/>
      <c r="R203" s="218"/>
      <c r="S203" s="178"/>
      <c r="T203" s="178"/>
      <c r="U203" s="178"/>
      <c r="V203" s="178"/>
      <c r="W203" s="178"/>
      <c r="X203" s="178"/>
      <c r="Y203" s="178"/>
      <c r="Z203" s="178"/>
    </row>
    <row r="204" ht="15.75" hidden="1" customHeight="1">
      <c r="A204" s="217">
        <v>205.0</v>
      </c>
      <c r="B204" s="219"/>
      <c r="C204" s="219"/>
      <c r="D204" s="219"/>
      <c r="E204" s="219"/>
      <c r="F204" s="178"/>
      <c r="G204" s="178"/>
      <c r="H204" s="178"/>
      <c r="I204" s="178"/>
      <c r="J204" s="178"/>
      <c r="K204" s="178"/>
      <c r="L204" s="218"/>
      <c r="M204" s="218"/>
      <c r="N204" s="178"/>
      <c r="O204" s="178"/>
      <c r="P204" s="178"/>
      <c r="Q204" s="218"/>
      <c r="R204" s="218"/>
      <c r="S204" s="178"/>
      <c r="T204" s="178"/>
      <c r="U204" s="178"/>
      <c r="V204" s="178"/>
      <c r="W204" s="178"/>
      <c r="X204" s="178"/>
      <c r="Y204" s="178"/>
      <c r="Z204" s="178"/>
    </row>
    <row r="205" ht="15.75" hidden="1" customHeight="1">
      <c r="A205" s="217">
        <v>206.0</v>
      </c>
      <c r="B205" s="219"/>
      <c r="C205" s="219"/>
      <c r="D205" s="219"/>
      <c r="E205" s="219"/>
      <c r="F205" s="178"/>
      <c r="G205" s="178"/>
      <c r="H205" s="178"/>
      <c r="I205" s="178"/>
      <c r="J205" s="178"/>
      <c r="K205" s="178"/>
      <c r="L205" s="218"/>
      <c r="M205" s="218"/>
      <c r="N205" s="178"/>
      <c r="O205" s="178"/>
      <c r="P205" s="178"/>
      <c r="Q205" s="218"/>
      <c r="R205" s="218"/>
      <c r="S205" s="178"/>
      <c r="T205" s="178"/>
      <c r="U205" s="178"/>
      <c r="V205" s="178"/>
      <c r="W205" s="178"/>
      <c r="X205" s="178"/>
      <c r="Y205" s="178"/>
      <c r="Z205" s="178"/>
    </row>
    <row r="206" ht="15.75" hidden="1" customHeight="1">
      <c r="A206" s="217">
        <v>207.0</v>
      </c>
      <c r="B206" s="219"/>
      <c r="C206" s="219"/>
      <c r="D206" s="219"/>
      <c r="E206" s="219"/>
      <c r="F206" s="178"/>
      <c r="G206" s="178"/>
      <c r="H206" s="178"/>
      <c r="I206" s="178"/>
      <c r="J206" s="178"/>
      <c r="K206" s="178"/>
      <c r="L206" s="218"/>
      <c r="M206" s="218"/>
      <c r="N206" s="178"/>
      <c r="O206" s="178"/>
      <c r="P206" s="178"/>
      <c r="Q206" s="218"/>
      <c r="R206" s="218"/>
      <c r="S206" s="178"/>
      <c r="T206" s="178"/>
      <c r="U206" s="178"/>
      <c r="V206" s="178"/>
      <c r="W206" s="178"/>
      <c r="X206" s="178"/>
      <c r="Y206" s="178"/>
      <c r="Z206" s="178"/>
    </row>
    <row r="207" ht="15.75" hidden="1" customHeight="1">
      <c r="A207" s="217">
        <v>208.0</v>
      </c>
      <c r="B207" s="219"/>
      <c r="C207" s="219"/>
      <c r="D207" s="219"/>
      <c r="E207" s="219"/>
      <c r="F207" s="178"/>
      <c r="G207" s="178"/>
      <c r="H207" s="178"/>
      <c r="I207" s="178"/>
      <c r="J207" s="178"/>
      <c r="K207" s="178"/>
      <c r="L207" s="218"/>
      <c r="M207" s="218"/>
      <c r="N207" s="178"/>
      <c r="O207" s="178"/>
      <c r="P207" s="178"/>
      <c r="Q207" s="218"/>
      <c r="R207" s="218"/>
      <c r="S207" s="178"/>
      <c r="T207" s="178"/>
      <c r="U207" s="178"/>
      <c r="V207" s="178"/>
      <c r="W207" s="178"/>
      <c r="X207" s="178"/>
      <c r="Y207" s="178"/>
      <c r="Z207" s="178"/>
    </row>
    <row r="208" ht="15.75" hidden="1" customHeight="1">
      <c r="A208" s="217">
        <v>209.0</v>
      </c>
      <c r="B208" s="219"/>
      <c r="C208" s="219"/>
      <c r="D208" s="219"/>
      <c r="E208" s="219"/>
      <c r="F208" s="178"/>
      <c r="G208" s="178"/>
      <c r="H208" s="178"/>
      <c r="I208" s="178"/>
      <c r="J208" s="178"/>
      <c r="K208" s="178"/>
      <c r="L208" s="218"/>
      <c r="M208" s="218"/>
      <c r="N208" s="178"/>
      <c r="O208" s="178"/>
      <c r="P208" s="178"/>
      <c r="Q208" s="218"/>
      <c r="R208" s="218"/>
      <c r="S208" s="178"/>
      <c r="T208" s="178"/>
      <c r="U208" s="178"/>
      <c r="V208" s="178"/>
      <c r="W208" s="178"/>
      <c r="X208" s="178"/>
      <c r="Y208" s="178"/>
      <c r="Z208" s="178"/>
    </row>
    <row r="209" ht="15.75" hidden="1" customHeight="1">
      <c r="A209" s="217">
        <v>210.0</v>
      </c>
      <c r="B209" s="219"/>
      <c r="C209" s="219"/>
      <c r="D209" s="219"/>
      <c r="E209" s="219"/>
      <c r="F209" s="178"/>
      <c r="G209" s="178"/>
      <c r="H209" s="178"/>
      <c r="I209" s="178"/>
      <c r="J209" s="178"/>
      <c r="K209" s="178"/>
      <c r="L209" s="218"/>
      <c r="M209" s="218"/>
      <c r="N209" s="178"/>
      <c r="O209" s="178"/>
      <c r="P209" s="178"/>
      <c r="Q209" s="218"/>
      <c r="R209" s="218"/>
      <c r="S209" s="178"/>
      <c r="T209" s="178"/>
      <c r="U209" s="178"/>
      <c r="V209" s="178"/>
      <c r="W209" s="178"/>
      <c r="X209" s="178"/>
      <c r="Y209" s="178"/>
      <c r="Z209" s="178"/>
    </row>
    <row r="210" ht="15.75" hidden="1" customHeight="1">
      <c r="A210" s="217">
        <v>211.0</v>
      </c>
      <c r="B210" s="217"/>
      <c r="C210" s="220"/>
      <c r="D210" s="220"/>
      <c r="E210" s="220"/>
      <c r="F210" s="220"/>
      <c r="G210" s="220"/>
      <c r="H210" s="220"/>
      <c r="I210" s="220"/>
      <c r="J210" s="220"/>
      <c r="K210" s="220"/>
      <c r="L210" s="218"/>
      <c r="M210" s="218"/>
      <c r="N210" s="178"/>
      <c r="O210" s="178"/>
      <c r="P210" s="178"/>
      <c r="Q210" s="218"/>
      <c r="R210" s="218"/>
      <c r="S210" s="178"/>
      <c r="T210" s="178"/>
      <c r="U210" s="178"/>
      <c r="V210" s="178"/>
      <c r="W210" s="178"/>
      <c r="X210" s="178"/>
      <c r="Y210" s="178"/>
      <c r="Z210" s="178"/>
    </row>
    <row r="211" ht="15.75" hidden="1" customHeight="1">
      <c r="A211" s="217">
        <v>212.0</v>
      </c>
      <c r="B211" s="217"/>
      <c r="C211" s="220"/>
      <c r="D211" s="220"/>
      <c r="E211" s="220"/>
      <c r="F211" s="220"/>
      <c r="G211" s="220"/>
      <c r="H211" s="220"/>
      <c r="I211" s="220"/>
      <c r="J211" s="220"/>
      <c r="K211" s="220"/>
      <c r="L211" s="218"/>
      <c r="M211" s="218"/>
      <c r="N211" s="178"/>
      <c r="O211" s="178"/>
      <c r="P211" s="178"/>
      <c r="Q211" s="218"/>
      <c r="R211" s="218"/>
      <c r="S211" s="178"/>
      <c r="T211" s="178"/>
      <c r="U211" s="178"/>
      <c r="V211" s="178"/>
      <c r="W211" s="178"/>
      <c r="X211" s="178"/>
      <c r="Y211" s="178"/>
      <c r="Z211" s="178"/>
    </row>
    <row r="212" ht="15.75" hidden="1" customHeight="1">
      <c r="A212" s="217">
        <v>213.0</v>
      </c>
      <c r="B212" s="217"/>
      <c r="C212" s="220"/>
      <c r="D212" s="220"/>
      <c r="E212" s="220"/>
      <c r="F212" s="220"/>
      <c r="G212" s="220"/>
      <c r="H212" s="220"/>
      <c r="I212" s="220"/>
      <c r="J212" s="220"/>
      <c r="K212" s="220"/>
      <c r="L212" s="218"/>
      <c r="M212" s="218"/>
      <c r="N212" s="178"/>
      <c r="O212" s="178"/>
      <c r="P212" s="178"/>
      <c r="Q212" s="218"/>
      <c r="R212" s="218"/>
      <c r="S212" s="178"/>
      <c r="T212" s="178"/>
      <c r="U212" s="178"/>
      <c r="V212" s="178"/>
      <c r="W212" s="178"/>
      <c r="X212" s="178"/>
      <c r="Y212" s="178"/>
      <c r="Z212" s="178"/>
    </row>
    <row r="213" ht="15.75" hidden="1" customHeight="1">
      <c r="A213" s="217">
        <v>214.0</v>
      </c>
      <c r="B213" s="217"/>
      <c r="C213" s="220"/>
      <c r="D213" s="220"/>
      <c r="E213" s="220"/>
      <c r="F213" s="220"/>
      <c r="G213" s="220"/>
      <c r="H213" s="220"/>
      <c r="I213" s="220"/>
      <c r="J213" s="220"/>
      <c r="K213" s="220"/>
      <c r="L213" s="218"/>
      <c r="M213" s="218"/>
      <c r="N213" s="178"/>
      <c r="O213" s="178"/>
      <c r="P213" s="178"/>
      <c r="Q213" s="218"/>
      <c r="R213" s="218"/>
      <c r="S213" s="178"/>
      <c r="T213" s="178"/>
      <c r="U213" s="178"/>
      <c r="V213" s="178"/>
      <c r="W213" s="178"/>
      <c r="X213" s="178"/>
      <c r="Y213" s="178"/>
      <c r="Z213" s="178"/>
    </row>
    <row r="214" ht="15.75" customHeight="1">
      <c r="A214" s="217"/>
      <c r="B214" s="217"/>
      <c r="C214" s="220"/>
      <c r="D214" s="220"/>
      <c r="E214" s="220"/>
      <c r="F214" s="220"/>
      <c r="G214" s="220"/>
      <c r="H214" s="220"/>
      <c r="I214" s="220"/>
      <c r="J214" s="220"/>
      <c r="K214" s="220"/>
      <c r="L214" s="218"/>
      <c r="M214" s="218"/>
      <c r="N214" s="178"/>
      <c r="O214" s="178"/>
      <c r="P214" s="178"/>
      <c r="Q214" s="218"/>
      <c r="R214" s="218"/>
      <c r="S214" s="178"/>
      <c r="T214" s="178"/>
      <c r="U214" s="178"/>
      <c r="V214" s="178"/>
      <c r="W214" s="178"/>
      <c r="X214" s="178"/>
      <c r="Y214" s="178"/>
      <c r="Z214" s="178"/>
    </row>
    <row r="215" ht="15.75" customHeight="1">
      <c r="A215" s="217"/>
      <c r="B215" s="217"/>
      <c r="C215" s="220"/>
      <c r="D215" s="220"/>
      <c r="E215" s="220"/>
      <c r="F215" s="220"/>
      <c r="G215" s="220"/>
      <c r="H215" s="220"/>
      <c r="I215" s="220"/>
      <c r="J215" s="220"/>
      <c r="K215" s="220"/>
      <c r="L215" s="218"/>
      <c r="M215" s="218"/>
      <c r="N215" s="178"/>
      <c r="O215" s="178"/>
      <c r="P215" s="178"/>
      <c r="Q215" s="218"/>
      <c r="R215" s="218"/>
      <c r="S215" s="178"/>
      <c r="T215" s="178"/>
      <c r="U215" s="178"/>
      <c r="V215" s="178"/>
      <c r="W215" s="178"/>
      <c r="X215" s="178"/>
      <c r="Y215" s="178"/>
      <c r="Z215" s="178"/>
    </row>
    <row r="216" ht="15.75" customHeight="1">
      <c r="A216" s="217"/>
      <c r="B216" s="217"/>
      <c r="C216" s="220"/>
      <c r="D216" s="220"/>
      <c r="E216" s="220"/>
      <c r="F216" s="220"/>
      <c r="G216" s="220"/>
      <c r="H216" s="220"/>
      <c r="I216" s="220"/>
      <c r="J216" s="220"/>
      <c r="K216" s="220"/>
      <c r="L216" s="218"/>
      <c r="M216" s="218"/>
      <c r="N216" s="178"/>
      <c r="O216" s="178"/>
      <c r="P216" s="178"/>
      <c r="Q216" s="218"/>
      <c r="R216" s="218"/>
      <c r="S216" s="178"/>
      <c r="T216" s="178"/>
      <c r="U216" s="178"/>
      <c r="V216" s="178"/>
      <c r="W216" s="178"/>
      <c r="X216" s="178"/>
      <c r="Y216" s="178"/>
      <c r="Z216" s="178"/>
    </row>
    <row r="217" ht="15.75" customHeight="1">
      <c r="A217" s="217"/>
      <c r="B217" s="217"/>
      <c r="C217" s="220"/>
      <c r="D217" s="220"/>
      <c r="E217" s="220"/>
      <c r="F217" s="220"/>
      <c r="G217" s="220"/>
      <c r="H217" s="220"/>
      <c r="I217" s="220"/>
      <c r="J217" s="220"/>
      <c r="K217" s="220"/>
      <c r="L217" s="218"/>
      <c r="M217" s="218"/>
      <c r="N217" s="178"/>
      <c r="O217" s="178"/>
      <c r="P217" s="178"/>
      <c r="Q217" s="218"/>
      <c r="R217" s="218"/>
      <c r="S217" s="178"/>
      <c r="T217" s="178"/>
      <c r="U217" s="178"/>
      <c r="V217" s="178"/>
      <c r="W217" s="178"/>
      <c r="X217" s="178"/>
      <c r="Y217" s="178"/>
      <c r="Z217" s="178"/>
    </row>
    <row r="218" ht="15.75" customHeight="1">
      <c r="A218" s="217"/>
      <c r="B218" s="217"/>
      <c r="C218" s="220"/>
      <c r="D218" s="220"/>
      <c r="E218" s="220"/>
      <c r="F218" s="220"/>
      <c r="G218" s="220"/>
      <c r="H218" s="220"/>
      <c r="I218" s="220"/>
      <c r="J218" s="220"/>
      <c r="K218" s="220"/>
      <c r="L218" s="218"/>
      <c r="M218" s="218"/>
      <c r="N218" s="178"/>
      <c r="O218" s="178"/>
      <c r="P218" s="178"/>
      <c r="Q218" s="218"/>
      <c r="R218" s="218"/>
      <c r="S218" s="178"/>
      <c r="T218" s="178"/>
      <c r="U218" s="178"/>
      <c r="V218" s="178"/>
      <c r="W218" s="178"/>
      <c r="X218" s="178"/>
      <c r="Y218" s="178"/>
      <c r="Z218" s="178"/>
    </row>
    <row r="219" ht="15.75" customHeight="1">
      <c r="A219" s="217"/>
      <c r="B219" s="217"/>
      <c r="C219" s="220"/>
      <c r="D219" s="220"/>
      <c r="E219" s="220"/>
      <c r="F219" s="220"/>
      <c r="G219" s="220"/>
      <c r="H219" s="220"/>
      <c r="I219" s="220"/>
      <c r="J219" s="220"/>
      <c r="K219" s="220"/>
      <c r="L219" s="218"/>
      <c r="M219" s="218"/>
      <c r="N219" s="178"/>
      <c r="O219" s="178"/>
      <c r="P219" s="178"/>
      <c r="Q219" s="218"/>
      <c r="R219" s="218"/>
      <c r="S219" s="178"/>
      <c r="T219" s="178"/>
      <c r="U219" s="178"/>
      <c r="V219" s="178"/>
      <c r="W219" s="178"/>
      <c r="X219" s="178"/>
      <c r="Y219" s="178"/>
      <c r="Z219" s="178"/>
    </row>
    <row r="220" ht="15.75" customHeight="1">
      <c r="A220" s="217"/>
      <c r="B220" s="217"/>
      <c r="C220" s="220"/>
      <c r="D220" s="220"/>
      <c r="E220" s="220"/>
      <c r="F220" s="220"/>
      <c r="G220" s="220"/>
      <c r="H220" s="220"/>
      <c r="I220" s="220"/>
      <c r="J220" s="220"/>
      <c r="K220" s="220"/>
      <c r="L220" s="218"/>
      <c r="M220" s="218"/>
      <c r="N220" s="178"/>
      <c r="O220" s="178"/>
      <c r="P220" s="178"/>
      <c r="Q220" s="218"/>
      <c r="R220" s="218"/>
      <c r="S220" s="178"/>
      <c r="T220" s="178"/>
      <c r="U220" s="178"/>
      <c r="V220" s="178"/>
      <c r="W220" s="178"/>
      <c r="X220" s="178"/>
      <c r="Y220" s="178"/>
      <c r="Z220" s="178"/>
    </row>
    <row r="221" ht="15.75" customHeight="1">
      <c r="A221" s="217"/>
      <c r="B221" s="217"/>
      <c r="C221" s="220"/>
      <c r="D221" s="220"/>
      <c r="E221" s="220"/>
      <c r="F221" s="220"/>
      <c r="G221" s="220"/>
      <c r="H221" s="220"/>
      <c r="I221" s="220"/>
      <c r="J221" s="220"/>
      <c r="K221" s="220"/>
      <c r="L221" s="218"/>
      <c r="M221" s="218"/>
      <c r="N221" s="178"/>
      <c r="O221" s="178"/>
      <c r="P221" s="178"/>
      <c r="Q221" s="218"/>
      <c r="R221" s="218"/>
      <c r="S221" s="178"/>
      <c r="T221" s="178"/>
      <c r="U221" s="178"/>
      <c r="V221" s="178"/>
      <c r="W221" s="178"/>
      <c r="X221" s="178"/>
      <c r="Y221" s="178"/>
      <c r="Z221" s="178"/>
    </row>
    <row r="222" ht="15.75" customHeight="1">
      <c r="A222" s="217"/>
      <c r="B222" s="217"/>
      <c r="C222" s="220"/>
      <c r="D222" s="220"/>
      <c r="E222" s="220"/>
      <c r="F222" s="220"/>
      <c r="G222" s="220"/>
      <c r="H222" s="220"/>
      <c r="I222" s="220"/>
      <c r="J222" s="220"/>
      <c r="K222" s="220"/>
      <c r="L222" s="218"/>
      <c r="M222" s="218"/>
      <c r="N222" s="178"/>
      <c r="O222" s="178"/>
      <c r="P222" s="178"/>
      <c r="Q222" s="218"/>
      <c r="R222" s="218"/>
      <c r="S222" s="178"/>
      <c r="T222" s="178"/>
      <c r="U222" s="178"/>
      <c r="V222" s="178"/>
      <c r="W222" s="178"/>
      <c r="X222" s="178"/>
      <c r="Y222" s="178"/>
      <c r="Z222" s="178"/>
    </row>
    <row r="223" ht="15.75" customHeight="1">
      <c r="A223" s="217"/>
      <c r="B223" s="217"/>
      <c r="C223" s="220"/>
      <c r="D223" s="220"/>
      <c r="E223" s="220"/>
      <c r="F223" s="220"/>
      <c r="G223" s="220"/>
      <c r="H223" s="220"/>
      <c r="I223" s="220"/>
      <c r="J223" s="220"/>
      <c r="K223" s="220"/>
      <c r="L223" s="218"/>
      <c r="M223" s="218"/>
      <c r="N223" s="178"/>
      <c r="O223" s="178"/>
      <c r="P223" s="178"/>
      <c r="Q223" s="218"/>
      <c r="R223" s="218"/>
      <c r="S223" s="178"/>
      <c r="T223" s="178"/>
      <c r="U223" s="178"/>
      <c r="V223" s="178"/>
      <c r="W223" s="178"/>
      <c r="X223" s="178"/>
      <c r="Y223" s="178"/>
      <c r="Z223" s="178"/>
    </row>
    <row r="224" ht="15.75" customHeight="1">
      <c r="A224" s="217"/>
      <c r="B224" s="217"/>
      <c r="C224" s="220"/>
      <c r="D224" s="220"/>
      <c r="E224" s="220"/>
      <c r="F224" s="220"/>
      <c r="G224" s="220"/>
      <c r="H224" s="220"/>
      <c r="I224" s="220"/>
      <c r="J224" s="220"/>
      <c r="K224" s="220"/>
      <c r="L224" s="218"/>
      <c r="M224" s="218"/>
      <c r="N224" s="178"/>
      <c r="O224" s="178"/>
      <c r="P224" s="178"/>
      <c r="Q224" s="218"/>
      <c r="R224" s="218"/>
      <c r="S224" s="178"/>
      <c r="T224" s="178"/>
      <c r="U224" s="178"/>
      <c r="V224" s="178"/>
      <c r="W224" s="178"/>
      <c r="X224" s="178"/>
      <c r="Y224" s="178"/>
      <c r="Z224" s="178"/>
    </row>
    <row r="225" ht="15.75" customHeight="1">
      <c r="A225" s="217"/>
      <c r="B225" s="217"/>
      <c r="C225" s="220"/>
      <c r="D225" s="220"/>
      <c r="E225" s="220"/>
      <c r="F225" s="220"/>
      <c r="G225" s="220"/>
      <c r="H225" s="220"/>
      <c r="I225" s="220"/>
      <c r="J225" s="220"/>
      <c r="K225" s="220"/>
      <c r="L225" s="218"/>
      <c r="M225" s="218"/>
      <c r="N225" s="178"/>
      <c r="O225" s="178"/>
      <c r="P225" s="178"/>
      <c r="Q225" s="218"/>
      <c r="R225" s="218"/>
      <c r="S225" s="178"/>
      <c r="T225" s="178"/>
      <c r="U225" s="178"/>
      <c r="V225" s="178"/>
      <c r="W225" s="178"/>
      <c r="X225" s="178"/>
      <c r="Y225" s="178"/>
      <c r="Z225" s="178"/>
    </row>
    <row r="226" ht="15.75" customHeight="1">
      <c r="A226" s="217"/>
      <c r="B226" s="217"/>
      <c r="C226" s="220"/>
      <c r="D226" s="220"/>
      <c r="E226" s="220"/>
      <c r="F226" s="220"/>
      <c r="G226" s="220"/>
      <c r="H226" s="220"/>
      <c r="I226" s="220"/>
      <c r="J226" s="220"/>
      <c r="K226" s="220"/>
      <c r="L226" s="218"/>
      <c r="M226" s="218"/>
      <c r="N226" s="178"/>
      <c r="O226" s="178"/>
      <c r="P226" s="178"/>
      <c r="Q226" s="218"/>
      <c r="R226" s="218"/>
      <c r="S226" s="178"/>
      <c r="T226" s="178"/>
      <c r="U226" s="178"/>
      <c r="V226" s="178"/>
      <c r="W226" s="178"/>
      <c r="X226" s="178"/>
      <c r="Y226" s="178"/>
      <c r="Z226" s="178"/>
    </row>
    <row r="227" ht="15.75" customHeight="1">
      <c r="A227" s="217"/>
      <c r="B227" s="217"/>
      <c r="C227" s="220"/>
      <c r="D227" s="220"/>
      <c r="E227" s="220"/>
      <c r="F227" s="220"/>
      <c r="G227" s="220"/>
      <c r="H227" s="220"/>
      <c r="I227" s="220"/>
      <c r="J227" s="220"/>
      <c r="K227" s="220"/>
      <c r="L227" s="218"/>
      <c r="M227" s="218"/>
      <c r="N227" s="178"/>
      <c r="O227" s="178"/>
      <c r="P227" s="178"/>
      <c r="Q227" s="218"/>
      <c r="R227" s="218"/>
      <c r="S227" s="178"/>
      <c r="T227" s="178"/>
      <c r="U227" s="178"/>
      <c r="V227" s="178"/>
      <c r="W227" s="178"/>
      <c r="X227" s="178"/>
      <c r="Y227" s="178"/>
      <c r="Z227" s="178"/>
    </row>
    <row r="228" ht="15.75" customHeight="1">
      <c r="A228" s="217"/>
      <c r="B228" s="217"/>
      <c r="C228" s="220"/>
      <c r="D228" s="220"/>
      <c r="E228" s="220"/>
      <c r="F228" s="220"/>
      <c r="G228" s="220"/>
      <c r="H228" s="220"/>
      <c r="I228" s="220"/>
      <c r="J228" s="220"/>
      <c r="K228" s="220"/>
      <c r="L228" s="218"/>
      <c r="M228" s="218"/>
      <c r="N228" s="178"/>
      <c r="O228" s="178"/>
      <c r="P228" s="178"/>
      <c r="Q228" s="218"/>
      <c r="R228" s="218"/>
      <c r="S228" s="178"/>
      <c r="T228" s="178"/>
      <c r="U228" s="178"/>
      <c r="V228" s="178"/>
      <c r="W228" s="178"/>
      <c r="X228" s="178"/>
      <c r="Y228" s="178"/>
      <c r="Z228" s="178"/>
    </row>
    <row r="229" ht="15.75" customHeight="1">
      <c r="A229" s="217"/>
      <c r="B229" s="217"/>
      <c r="C229" s="220"/>
      <c r="D229" s="220"/>
      <c r="E229" s="220"/>
      <c r="F229" s="220"/>
      <c r="G229" s="220"/>
      <c r="H229" s="220"/>
      <c r="I229" s="220"/>
      <c r="J229" s="220"/>
      <c r="K229" s="220"/>
      <c r="L229" s="218"/>
      <c r="M229" s="218"/>
      <c r="N229" s="178"/>
      <c r="O229" s="178"/>
      <c r="P229" s="178"/>
      <c r="Q229" s="218"/>
      <c r="R229" s="218"/>
      <c r="S229" s="178"/>
      <c r="T229" s="178"/>
      <c r="U229" s="178"/>
      <c r="V229" s="178"/>
      <c r="W229" s="178"/>
      <c r="X229" s="178"/>
      <c r="Y229" s="178"/>
      <c r="Z229" s="178"/>
    </row>
    <row r="230" ht="15.75" customHeight="1">
      <c r="A230" s="217"/>
      <c r="B230" s="217"/>
      <c r="C230" s="220"/>
      <c r="D230" s="220"/>
      <c r="E230" s="220"/>
      <c r="F230" s="220"/>
      <c r="G230" s="220"/>
      <c r="H230" s="220"/>
      <c r="I230" s="220"/>
      <c r="J230" s="220"/>
      <c r="K230" s="220"/>
      <c r="L230" s="218"/>
      <c r="M230" s="218"/>
      <c r="N230" s="178"/>
      <c r="O230" s="178"/>
      <c r="P230" s="178"/>
      <c r="Q230" s="218"/>
      <c r="R230" s="218"/>
      <c r="S230" s="178"/>
      <c r="T230" s="178"/>
      <c r="U230" s="178"/>
      <c r="V230" s="178"/>
      <c r="W230" s="178"/>
      <c r="X230" s="178"/>
      <c r="Y230" s="178"/>
      <c r="Z230" s="178"/>
    </row>
    <row r="231" ht="15.75" customHeight="1">
      <c r="A231" s="217"/>
      <c r="B231" s="217"/>
      <c r="C231" s="220"/>
      <c r="D231" s="220"/>
      <c r="E231" s="220"/>
      <c r="F231" s="220"/>
      <c r="G231" s="220"/>
      <c r="H231" s="220"/>
      <c r="I231" s="220"/>
      <c r="J231" s="220"/>
      <c r="K231" s="220"/>
      <c r="L231" s="218"/>
      <c r="M231" s="218"/>
      <c r="N231" s="178"/>
      <c r="O231" s="178"/>
      <c r="P231" s="178"/>
      <c r="Q231" s="218"/>
      <c r="R231" s="218"/>
      <c r="S231" s="178"/>
      <c r="T231" s="178"/>
      <c r="U231" s="178"/>
      <c r="V231" s="178"/>
      <c r="W231" s="178"/>
      <c r="X231" s="178"/>
      <c r="Y231" s="178"/>
      <c r="Z231" s="178"/>
    </row>
    <row r="232" ht="15.75" customHeight="1">
      <c r="A232" s="217"/>
      <c r="B232" s="217"/>
      <c r="C232" s="220"/>
      <c r="D232" s="220"/>
      <c r="E232" s="220"/>
      <c r="F232" s="220"/>
      <c r="G232" s="220"/>
      <c r="H232" s="220"/>
      <c r="I232" s="220"/>
      <c r="J232" s="220"/>
      <c r="K232" s="220"/>
      <c r="L232" s="218"/>
      <c r="M232" s="218"/>
      <c r="N232" s="178"/>
      <c r="O232" s="178"/>
      <c r="P232" s="178"/>
      <c r="Q232" s="218"/>
      <c r="R232" s="218"/>
      <c r="S232" s="178"/>
      <c r="T232" s="178"/>
      <c r="U232" s="178"/>
      <c r="V232" s="178"/>
      <c r="W232" s="178"/>
      <c r="X232" s="178"/>
      <c r="Y232" s="178"/>
      <c r="Z232" s="178"/>
    </row>
    <row r="233" ht="15.75" customHeight="1">
      <c r="A233" s="217"/>
      <c r="B233" s="217"/>
      <c r="C233" s="220"/>
      <c r="D233" s="220"/>
      <c r="E233" s="220"/>
      <c r="F233" s="220"/>
      <c r="G233" s="220"/>
      <c r="H233" s="220"/>
      <c r="I233" s="220"/>
      <c r="J233" s="220"/>
      <c r="K233" s="220"/>
      <c r="L233" s="218"/>
      <c r="M233" s="218"/>
      <c r="N233" s="178"/>
      <c r="O233" s="178"/>
      <c r="P233" s="178"/>
      <c r="Q233" s="218"/>
      <c r="R233" s="218"/>
      <c r="S233" s="178"/>
      <c r="T233" s="178"/>
      <c r="U233" s="178"/>
      <c r="V233" s="178"/>
      <c r="W233" s="178"/>
      <c r="X233" s="178"/>
      <c r="Y233" s="178"/>
      <c r="Z233" s="178"/>
    </row>
    <row r="234" ht="15.75" customHeight="1">
      <c r="A234" s="217"/>
      <c r="B234" s="217"/>
      <c r="C234" s="220"/>
      <c r="D234" s="220"/>
      <c r="E234" s="220"/>
      <c r="F234" s="220"/>
      <c r="G234" s="220"/>
      <c r="H234" s="220"/>
      <c r="I234" s="220"/>
      <c r="J234" s="220"/>
      <c r="K234" s="220"/>
      <c r="L234" s="218"/>
      <c r="M234" s="218"/>
      <c r="N234" s="178"/>
      <c r="O234" s="178"/>
      <c r="P234" s="178"/>
      <c r="Q234" s="218"/>
      <c r="R234" s="218"/>
      <c r="S234" s="178"/>
      <c r="T234" s="178"/>
      <c r="U234" s="178"/>
      <c r="V234" s="178"/>
      <c r="W234" s="178"/>
      <c r="X234" s="178"/>
      <c r="Y234" s="178"/>
      <c r="Z234" s="178"/>
    </row>
    <row r="235" ht="15.75" customHeight="1">
      <c r="A235" s="217"/>
      <c r="B235" s="217"/>
      <c r="C235" s="220"/>
      <c r="D235" s="220"/>
      <c r="E235" s="220"/>
      <c r="F235" s="220"/>
      <c r="G235" s="220"/>
      <c r="H235" s="220"/>
      <c r="I235" s="220"/>
      <c r="J235" s="220"/>
      <c r="K235" s="220"/>
      <c r="L235" s="218"/>
      <c r="M235" s="218"/>
      <c r="N235" s="178"/>
      <c r="O235" s="178"/>
      <c r="P235" s="178"/>
      <c r="Q235" s="218"/>
      <c r="R235" s="218"/>
      <c r="S235" s="178"/>
      <c r="T235" s="178"/>
      <c r="U235" s="178"/>
      <c r="V235" s="178"/>
      <c r="W235" s="178"/>
      <c r="X235" s="178"/>
      <c r="Y235" s="178"/>
      <c r="Z235" s="178"/>
    </row>
    <row r="236" ht="15.75" customHeight="1">
      <c r="A236" s="217"/>
      <c r="B236" s="217"/>
      <c r="C236" s="220"/>
      <c r="D236" s="220"/>
      <c r="E236" s="220"/>
      <c r="F236" s="220"/>
      <c r="G236" s="220"/>
      <c r="H236" s="220"/>
      <c r="I236" s="220"/>
      <c r="J236" s="220"/>
      <c r="K236" s="220"/>
      <c r="L236" s="218"/>
      <c r="M236" s="218"/>
      <c r="N236" s="178"/>
      <c r="O236" s="178"/>
      <c r="P236" s="178"/>
      <c r="Q236" s="218"/>
      <c r="R236" s="218"/>
      <c r="S236" s="178"/>
      <c r="T236" s="178"/>
      <c r="U236" s="178"/>
      <c r="V236" s="178"/>
      <c r="W236" s="178"/>
      <c r="X236" s="178"/>
      <c r="Y236" s="178"/>
      <c r="Z236" s="178"/>
    </row>
    <row r="237" ht="15.75" customHeight="1">
      <c r="A237" s="217"/>
      <c r="B237" s="217"/>
      <c r="C237" s="220"/>
      <c r="D237" s="220"/>
      <c r="E237" s="220"/>
      <c r="F237" s="220"/>
      <c r="G237" s="220"/>
      <c r="H237" s="220"/>
      <c r="I237" s="220"/>
      <c r="J237" s="220"/>
      <c r="K237" s="220"/>
      <c r="L237" s="218"/>
      <c r="M237" s="218"/>
      <c r="N237" s="178"/>
      <c r="O237" s="178"/>
      <c r="P237" s="178"/>
      <c r="Q237" s="218"/>
      <c r="R237" s="218"/>
      <c r="S237" s="178"/>
      <c r="T237" s="178"/>
      <c r="U237" s="178"/>
      <c r="V237" s="178"/>
      <c r="W237" s="178"/>
      <c r="X237" s="178"/>
      <c r="Y237" s="178"/>
      <c r="Z237" s="178"/>
    </row>
    <row r="238" ht="15.75" customHeight="1">
      <c r="A238" s="217"/>
      <c r="B238" s="217"/>
      <c r="C238" s="220"/>
      <c r="D238" s="220"/>
      <c r="E238" s="220"/>
      <c r="F238" s="220"/>
      <c r="G238" s="220"/>
      <c r="H238" s="220"/>
      <c r="I238" s="220"/>
      <c r="J238" s="220"/>
      <c r="K238" s="220"/>
      <c r="L238" s="218"/>
      <c r="M238" s="218"/>
      <c r="N238" s="178"/>
      <c r="O238" s="178"/>
      <c r="P238" s="178"/>
      <c r="Q238" s="218"/>
      <c r="R238" s="218"/>
      <c r="S238" s="178"/>
      <c r="T238" s="178"/>
      <c r="U238" s="178"/>
      <c r="V238" s="178"/>
      <c r="W238" s="178"/>
      <c r="X238" s="178"/>
      <c r="Y238" s="178"/>
      <c r="Z238" s="178"/>
    </row>
    <row r="239" ht="15.75" customHeight="1">
      <c r="A239" s="217"/>
      <c r="B239" s="217"/>
      <c r="C239" s="220"/>
      <c r="D239" s="220"/>
      <c r="E239" s="220"/>
      <c r="F239" s="220"/>
      <c r="G239" s="220"/>
      <c r="H239" s="220"/>
      <c r="I239" s="220"/>
      <c r="J239" s="220"/>
      <c r="K239" s="220"/>
      <c r="L239" s="218"/>
      <c r="M239" s="218"/>
      <c r="N239" s="178"/>
      <c r="O239" s="178"/>
      <c r="P239" s="178"/>
      <c r="Q239" s="218"/>
      <c r="R239" s="218"/>
      <c r="S239" s="178"/>
      <c r="T239" s="178"/>
      <c r="U239" s="178"/>
      <c r="V239" s="178"/>
      <c r="W239" s="178"/>
      <c r="X239" s="178"/>
      <c r="Y239" s="178"/>
      <c r="Z239" s="178"/>
    </row>
    <row r="240" ht="15.75" customHeight="1">
      <c r="A240" s="217"/>
      <c r="B240" s="217"/>
      <c r="C240" s="220"/>
      <c r="D240" s="220"/>
      <c r="E240" s="220"/>
      <c r="F240" s="220"/>
      <c r="G240" s="220"/>
      <c r="H240" s="220"/>
      <c r="I240" s="220"/>
      <c r="J240" s="220"/>
      <c r="K240" s="220"/>
      <c r="L240" s="218"/>
      <c r="M240" s="218"/>
      <c r="N240" s="178"/>
      <c r="O240" s="178"/>
      <c r="P240" s="178"/>
      <c r="Q240" s="218"/>
      <c r="R240" s="218"/>
      <c r="S240" s="178"/>
      <c r="T240" s="178"/>
      <c r="U240" s="178"/>
      <c r="V240" s="178"/>
      <c r="W240" s="178"/>
      <c r="X240" s="178"/>
      <c r="Y240" s="178"/>
      <c r="Z240" s="178"/>
    </row>
    <row r="241" ht="15.75" customHeight="1">
      <c r="A241" s="217"/>
      <c r="B241" s="217"/>
      <c r="C241" s="220"/>
      <c r="D241" s="220"/>
      <c r="E241" s="220"/>
      <c r="F241" s="220"/>
      <c r="G241" s="220"/>
      <c r="H241" s="220"/>
      <c r="I241" s="220"/>
      <c r="J241" s="220"/>
      <c r="K241" s="220"/>
      <c r="L241" s="218"/>
      <c r="M241" s="218"/>
      <c r="N241" s="178"/>
      <c r="O241" s="178"/>
      <c r="P241" s="178"/>
      <c r="Q241" s="218"/>
      <c r="R241" s="218"/>
      <c r="S241" s="178"/>
      <c r="T241" s="178"/>
      <c r="U241" s="178"/>
      <c r="V241" s="178"/>
      <c r="W241" s="178"/>
      <c r="X241" s="178"/>
      <c r="Y241" s="178"/>
      <c r="Z241" s="178"/>
    </row>
    <row r="242" ht="15.75" customHeight="1">
      <c r="A242" s="217"/>
      <c r="B242" s="217"/>
      <c r="C242" s="220"/>
      <c r="D242" s="220"/>
      <c r="E242" s="220"/>
      <c r="F242" s="220"/>
      <c r="G242" s="220"/>
      <c r="H242" s="220"/>
      <c r="I242" s="220"/>
      <c r="J242" s="220"/>
      <c r="K242" s="220"/>
      <c r="L242" s="218"/>
      <c r="M242" s="218"/>
      <c r="N242" s="178"/>
      <c r="O242" s="178"/>
      <c r="P242" s="178"/>
      <c r="Q242" s="218"/>
      <c r="R242" s="218"/>
      <c r="S242" s="178"/>
      <c r="T242" s="178"/>
      <c r="U242" s="178"/>
      <c r="V242" s="178"/>
      <c r="W242" s="178"/>
      <c r="X242" s="178"/>
      <c r="Y242" s="178"/>
      <c r="Z242" s="178"/>
    </row>
    <row r="243" ht="15.75" customHeight="1">
      <c r="A243" s="217"/>
      <c r="B243" s="217"/>
      <c r="C243" s="220"/>
      <c r="D243" s="220"/>
      <c r="E243" s="220"/>
      <c r="F243" s="220"/>
      <c r="G243" s="220"/>
      <c r="H243" s="220"/>
      <c r="I243" s="220"/>
      <c r="J243" s="220"/>
      <c r="K243" s="220"/>
      <c r="L243" s="218"/>
      <c r="M243" s="218"/>
      <c r="N243" s="178"/>
      <c r="O243" s="178"/>
      <c r="P243" s="178"/>
      <c r="Q243" s="218"/>
      <c r="R243" s="218"/>
      <c r="S243" s="178"/>
      <c r="T243" s="178"/>
      <c r="U243" s="178"/>
      <c r="V243" s="178"/>
      <c r="W243" s="178"/>
      <c r="X243" s="178"/>
      <c r="Y243" s="178"/>
      <c r="Z243" s="178"/>
    </row>
    <row r="244" ht="15.75" customHeight="1">
      <c r="A244" s="217"/>
      <c r="B244" s="217"/>
      <c r="C244" s="220"/>
      <c r="D244" s="220"/>
      <c r="E244" s="220"/>
      <c r="F244" s="220"/>
      <c r="G244" s="220"/>
      <c r="H244" s="220"/>
      <c r="I244" s="220"/>
      <c r="J244" s="220"/>
      <c r="K244" s="220"/>
      <c r="L244" s="218"/>
      <c r="M244" s="218"/>
      <c r="N244" s="178"/>
      <c r="O244" s="178"/>
      <c r="P244" s="178"/>
      <c r="Q244" s="218"/>
      <c r="R244" s="218"/>
      <c r="S244" s="178"/>
      <c r="T244" s="178"/>
      <c r="U244" s="178"/>
      <c r="V244" s="178"/>
      <c r="W244" s="178"/>
      <c r="X244" s="178"/>
      <c r="Y244" s="178"/>
      <c r="Z244" s="178"/>
    </row>
    <row r="245" ht="15.75" customHeight="1">
      <c r="A245" s="217"/>
      <c r="B245" s="217"/>
      <c r="C245" s="220"/>
      <c r="D245" s="220"/>
      <c r="E245" s="220"/>
      <c r="F245" s="220"/>
      <c r="G245" s="220"/>
      <c r="H245" s="220"/>
      <c r="I245" s="220"/>
      <c r="J245" s="220"/>
      <c r="K245" s="220"/>
      <c r="L245" s="218"/>
      <c r="M245" s="218"/>
      <c r="N245" s="178"/>
      <c r="O245" s="178"/>
      <c r="P245" s="178"/>
      <c r="Q245" s="218"/>
      <c r="R245" s="218"/>
      <c r="S245" s="178"/>
      <c r="T245" s="178"/>
      <c r="U245" s="178"/>
      <c r="V245" s="178"/>
      <c r="W245" s="178"/>
      <c r="X245" s="178"/>
      <c r="Y245" s="178"/>
      <c r="Z245" s="178"/>
    </row>
    <row r="246" ht="15.75" customHeight="1">
      <c r="A246" s="217"/>
      <c r="B246" s="217"/>
      <c r="C246" s="220"/>
      <c r="D246" s="220"/>
      <c r="E246" s="220"/>
      <c r="F246" s="220"/>
      <c r="G246" s="220"/>
      <c r="H246" s="220"/>
      <c r="I246" s="220"/>
      <c r="J246" s="220"/>
      <c r="K246" s="220"/>
      <c r="L246" s="218"/>
      <c r="M246" s="218"/>
      <c r="N246" s="178"/>
      <c r="O246" s="178"/>
      <c r="P246" s="178"/>
      <c r="Q246" s="218"/>
      <c r="R246" s="218"/>
      <c r="S246" s="178"/>
      <c r="T246" s="178"/>
      <c r="U246" s="178"/>
      <c r="V246" s="178"/>
      <c r="W246" s="178"/>
      <c r="X246" s="178"/>
      <c r="Y246" s="178"/>
      <c r="Z246" s="178"/>
    </row>
    <row r="247" ht="15.75" customHeight="1">
      <c r="A247" s="217"/>
      <c r="B247" s="217"/>
      <c r="C247" s="220"/>
      <c r="D247" s="220"/>
      <c r="E247" s="220"/>
      <c r="F247" s="220"/>
      <c r="G247" s="220"/>
      <c r="H247" s="220"/>
      <c r="I247" s="220"/>
      <c r="J247" s="220"/>
      <c r="K247" s="220"/>
      <c r="L247" s="218"/>
      <c r="M247" s="218"/>
      <c r="N247" s="178"/>
      <c r="O247" s="178"/>
      <c r="P247" s="178"/>
      <c r="Q247" s="218"/>
      <c r="R247" s="218"/>
      <c r="S247" s="178"/>
      <c r="T247" s="178"/>
      <c r="U247" s="178"/>
      <c r="V247" s="178"/>
      <c r="W247" s="178"/>
      <c r="X247" s="178"/>
      <c r="Y247" s="178"/>
      <c r="Z247" s="178"/>
    </row>
    <row r="248" ht="15.75" customHeight="1">
      <c r="A248" s="217"/>
      <c r="B248" s="217"/>
      <c r="C248" s="220"/>
      <c r="D248" s="220"/>
      <c r="E248" s="220"/>
      <c r="F248" s="220"/>
      <c r="G248" s="220"/>
      <c r="H248" s="220"/>
      <c r="I248" s="220"/>
      <c r="J248" s="220"/>
      <c r="K248" s="220"/>
      <c r="L248" s="218"/>
      <c r="M248" s="218"/>
      <c r="N248" s="178"/>
      <c r="O248" s="178"/>
      <c r="P248" s="178"/>
      <c r="Q248" s="218"/>
      <c r="R248" s="218"/>
      <c r="S248" s="178"/>
      <c r="T248" s="178"/>
      <c r="U248" s="178"/>
      <c r="V248" s="178"/>
      <c r="W248" s="178"/>
      <c r="X248" s="178"/>
      <c r="Y248" s="178"/>
      <c r="Z248" s="178"/>
    </row>
    <row r="249" ht="15.75" customHeight="1">
      <c r="A249" s="217"/>
      <c r="B249" s="217"/>
      <c r="C249" s="220"/>
      <c r="D249" s="220"/>
      <c r="E249" s="220"/>
      <c r="F249" s="220"/>
      <c r="G249" s="220"/>
      <c r="H249" s="220"/>
      <c r="I249" s="220"/>
      <c r="J249" s="220"/>
      <c r="K249" s="220"/>
      <c r="L249" s="218"/>
      <c r="M249" s="218"/>
      <c r="N249" s="178"/>
      <c r="O249" s="178"/>
      <c r="P249" s="178"/>
      <c r="Q249" s="218"/>
      <c r="R249" s="218"/>
      <c r="S249" s="178"/>
      <c r="T249" s="178"/>
      <c r="U249" s="178"/>
      <c r="V249" s="178"/>
      <c r="W249" s="178"/>
      <c r="X249" s="178"/>
      <c r="Y249" s="178"/>
      <c r="Z249" s="178"/>
    </row>
    <row r="250" ht="15.75" customHeight="1">
      <c r="A250" s="217"/>
      <c r="B250" s="217"/>
      <c r="C250" s="220"/>
      <c r="D250" s="220"/>
      <c r="E250" s="220"/>
      <c r="F250" s="220"/>
      <c r="G250" s="220"/>
      <c r="H250" s="220"/>
      <c r="I250" s="220"/>
      <c r="J250" s="220"/>
      <c r="K250" s="220"/>
      <c r="L250" s="218"/>
      <c r="M250" s="218"/>
      <c r="N250" s="178"/>
      <c r="O250" s="178"/>
      <c r="P250" s="178"/>
      <c r="Q250" s="218"/>
      <c r="R250" s="218"/>
      <c r="S250" s="178"/>
      <c r="T250" s="178"/>
      <c r="U250" s="178"/>
      <c r="V250" s="178"/>
      <c r="W250" s="178"/>
      <c r="X250" s="178"/>
      <c r="Y250" s="178"/>
      <c r="Z250" s="178"/>
    </row>
    <row r="251" ht="15.75" customHeight="1">
      <c r="A251" s="217"/>
      <c r="B251" s="217"/>
      <c r="C251" s="220"/>
      <c r="D251" s="220"/>
      <c r="E251" s="220"/>
      <c r="F251" s="220"/>
      <c r="G251" s="220"/>
      <c r="H251" s="220"/>
      <c r="I251" s="220"/>
      <c r="J251" s="220"/>
      <c r="K251" s="220"/>
      <c r="L251" s="218"/>
      <c r="M251" s="218"/>
      <c r="N251" s="178"/>
      <c r="O251" s="178"/>
      <c r="P251" s="178"/>
      <c r="Q251" s="218"/>
      <c r="R251" s="218"/>
      <c r="S251" s="178"/>
      <c r="T251" s="178"/>
      <c r="U251" s="178"/>
      <c r="V251" s="178"/>
      <c r="W251" s="178"/>
      <c r="X251" s="178"/>
      <c r="Y251" s="178"/>
      <c r="Z251" s="178"/>
    </row>
    <row r="252" ht="15.75" customHeight="1">
      <c r="A252" s="217"/>
      <c r="B252" s="217"/>
      <c r="C252" s="220"/>
      <c r="D252" s="220"/>
      <c r="E252" s="220"/>
      <c r="F252" s="220"/>
      <c r="G252" s="220"/>
      <c r="H252" s="220"/>
      <c r="I252" s="220"/>
      <c r="J252" s="220"/>
      <c r="K252" s="220"/>
      <c r="L252" s="218"/>
      <c r="M252" s="218"/>
      <c r="N252" s="178"/>
      <c r="O252" s="178"/>
      <c r="P252" s="178"/>
      <c r="Q252" s="218"/>
      <c r="R252" s="218"/>
      <c r="S252" s="178"/>
      <c r="T252" s="178"/>
      <c r="U252" s="178"/>
      <c r="V252" s="178"/>
      <c r="W252" s="178"/>
      <c r="X252" s="178"/>
      <c r="Y252" s="178"/>
      <c r="Z252" s="178"/>
    </row>
    <row r="253" ht="15.75" customHeight="1">
      <c r="A253" s="217"/>
      <c r="B253" s="217"/>
      <c r="C253" s="220"/>
      <c r="D253" s="220"/>
      <c r="E253" s="220"/>
      <c r="F253" s="220"/>
      <c r="G253" s="220"/>
      <c r="H253" s="220"/>
      <c r="I253" s="220"/>
      <c r="J253" s="220"/>
      <c r="K253" s="220"/>
      <c r="L253" s="218"/>
      <c r="M253" s="218"/>
      <c r="N253" s="178"/>
      <c r="O253" s="178"/>
      <c r="P253" s="178"/>
      <c r="Q253" s="218"/>
      <c r="R253" s="218"/>
      <c r="S253" s="178"/>
      <c r="T253" s="178"/>
      <c r="U253" s="178"/>
      <c r="V253" s="178"/>
      <c r="W253" s="178"/>
      <c r="X253" s="178"/>
      <c r="Y253" s="178"/>
      <c r="Z253" s="178"/>
    </row>
    <row r="254" ht="15.75" customHeight="1">
      <c r="A254" s="217"/>
      <c r="B254" s="217"/>
      <c r="C254" s="220"/>
      <c r="D254" s="220"/>
      <c r="E254" s="220"/>
      <c r="F254" s="220"/>
      <c r="G254" s="220"/>
      <c r="H254" s="220"/>
      <c r="I254" s="220"/>
      <c r="J254" s="220"/>
      <c r="K254" s="220"/>
      <c r="L254" s="218"/>
      <c r="M254" s="218"/>
      <c r="N254" s="178"/>
      <c r="O254" s="178"/>
      <c r="P254" s="178"/>
      <c r="Q254" s="218"/>
      <c r="R254" s="218"/>
      <c r="S254" s="178"/>
      <c r="T254" s="178"/>
      <c r="U254" s="178"/>
      <c r="V254" s="178"/>
      <c r="W254" s="178"/>
      <c r="X254" s="178"/>
      <c r="Y254" s="178"/>
      <c r="Z254" s="178"/>
    </row>
    <row r="255" ht="15.75" customHeight="1">
      <c r="A255" s="217"/>
      <c r="B255" s="217"/>
      <c r="C255" s="220"/>
      <c r="D255" s="220"/>
      <c r="E255" s="220"/>
      <c r="F255" s="220"/>
      <c r="G255" s="220"/>
      <c r="H255" s="220"/>
      <c r="I255" s="220"/>
      <c r="J255" s="220"/>
      <c r="K255" s="220"/>
      <c r="L255" s="218"/>
      <c r="M255" s="218"/>
      <c r="N255" s="178"/>
      <c r="O255" s="178"/>
      <c r="P255" s="178"/>
      <c r="Q255" s="218"/>
      <c r="R255" s="218"/>
      <c r="S255" s="178"/>
      <c r="T255" s="178"/>
      <c r="U255" s="178"/>
      <c r="V255" s="178"/>
      <c r="W255" s="178"/>
      <c r="X255" s="178"/>
      <c r="Y255" s="178"/>
      <c r="Z255" s="178"/>
    </row>
    <row r="256" ht="15.75" customHeight="1">
      <c r="A256" s="217"/>
      <c r="B256" s="217"/>
      <c r="C256" s="220"/>
      <c r="D256" s="220"/>
      <c r="E256" s="220"/>
      <c r="F256" s="220"/>
      <c r="G256" s="220"/>
      <c r="H256" s="220"/>
      <c r="I256" s="220"/>
      <c r="J256" s="220"/>
      <c r="K256" s="220"/>
      <c r="L256" s="218"/>
      <c r="M256" s="218"/>
      <c r="N256" s="178"/>
      <c r="O256" s="178"/>
      <c r="P256" s="178"/>
      <c r="Q256" s="218"/>
      <c r="R256" s="218"/>
      <c r="S256" s="178"/>
      <c r="T256" s="178"/>
      <c r="U256" s="178"/>
      <c r="V256" s="178"/>
      <c r="W256" s="178"/>
      <c r="X256" s="178"/>
      <c r="Y256" s="178"/>
      <c r="Z256" s="178"/>
    </row>
    <row r="257" ht="15.75" customHeight="1">
      <c r="A257" s="217"/>
      <c r="B257" s="217"/>
      <c r="C257" s="220"/>
      <c r="D257" s="220"/>
      <c r="E257" s="220"/>
      <c r="F257" s="220"/>
      <c r="G257" s="220"/>
      <c r="H257" s="220"/>
      <c r="I257" s="220"/>
      <c r="J257" s="220"/>
      <c r="K257" s="220"/>
      <c r="L257" s="218"/>
      <c r="M257" s="218"/>
      <c r="N257" s="178"/>
      <c r="O257" s="178"/>
      <c r="P257" s="178"/>
      <c r="Q257" s="218"/>
      <c r="R257" s="218"/>
      <c r="S257" s="178"/>
      <c r="T257" s="178"/>
      <c r="U257" s="178"/>
      <c r="V257" s="178"/>
      <c r="W257" s="178"/>
      <c r="X257" s="178"/>
      <c r="Y257" s="178"/>
      <c r="Z257" s="178"/>
    </row>
    <row r="258" ht="15.75" customHeight="1">
      <c r="A258" s="217"/>
      <c r="B258" s="217"/>
      <c r="C258" s="220"/>
      <c r="D258" s="220"/>
      <c r="E258" s="220"/>
      <c r="F258" s="220"/>
      <c r="G258" s="220"/>
      <c r="H258" s="220"/>
      <c r="I258" s="220"/>
      <c r="J258" s="220"/>
      <c r="K258" s="220"/>
      <c r="L258" s="218"/>
      <c r="M258" s="218"/>
      <c r="N258" s="178"/>
      <c r="O258" s="178"/>
      <c r="P258" s="178"/>
      <c r="Q258" s="218"/>
      <c r="R258" s="218"/>
      <c r="S258" s="178"/>
      <c r="T258" s="178"/>
      <c r="U258" s="178"/>
      <c r="V258" s="178"/>
      <c r="W258" s="178"/>
      <c r="X258" s="178"/>
      <c r="Y258" s="178"/>
      <c r="Z258" s="178"/>
    </row>
    <row r="259" ht="15.75" customHeight="1">
      <c r="A259" s="217"/>
      <c r="B259" s="217"/>
      <c r="C259" s="220"/>
      <c r="D259" s="220"/>
      <c r="E259" s="220"/>
      <c r="F259" s="220"/>
      <c r="G259" s="220"/>
      <c r="H259" s="220"/>
      <c r="I259" s="220"/>
      <c r="J259" s="220"/>
      <c r="K259" s="220"/>
      <c r="L259" s="218"/>
      <c r="M259" s="218"/>
      <c r="N259" s="178"/>
      <c r="O259" s="178"/>
      <c r="P259" s="178"/>
      <c r="Q259" s="218"/>
      <c r="R259" s="218"/>
      <c r="S259" s="178"/>
      <c r="T259" s="178"/>
      <c r="U259" s="178"/>
      <c r="V259" s="178"/>
      <c r="W259" s="178"/>
      <c r="X259" s="178"/>
      <c r="Y259" s="178"/>
      <c r="Z259" s="178"/>
    </row>
    <row r="260" ht="15.75" customHeight="1">
      <c r="A260" s="217"/>
      <c r="B260" s="217"/>
      <c r="C260" s="220"/>
      <c r="D260" s="220"/>
      <c r="E260" s="220"/>
      <c r="F260" s="220"/>
      <c r="G260" s="220"/>
      <c r="H260" s="220"/>
      <c r="I260" s="220"/>
      <c r="J260" s="220"/>
      <c r="K260" s="220"/>
      <c r="L260" s="218"/>
      <c r="M260" s="218"/>
      <c r="N260" s="178"/>
      <c r="O260" s="178"/>
      <c r="P260" s="178"/>
      <c r="Q260" s="218"/>
      <c r="R260" s="218"/>
      <c r="S260" s="178"/>
      <c r="T260" s="178"/>
      <c r="U260" s="178"/>
      <c r="V260" s="178"/>
      <c r="W260" s="178"/>
      <c r="X260" s="178"/>
      <c r="Y260" s="178"/>
      <c r="Z260" s="178"/>
    </row>
    <row r="261" ht="15.75" customHeight="1">
      <c r="A261" s="217"/>
      <c r="B261" s="217"/>
      <c r="C261" s="220"/>
      <c r="D261" s="220"/>
      <c r="E261" s="220"/>
      <c r="F261" s="220"/>
      <c r="G261" s="220"/>
      <c r="H261" s="220"/>
      <c r="I261" s="220"/>
      <c r="J261" s="220"/>
      <c r="K261" s="220"/>
      <c r="L261" s="218"/>
      <c r="M261" s="218"/>
      <c r="N261" s="178"/>
      <c r="O261" s="178"/>
      <c r="P261" s="178"/>
      <c r="Q261" s="218"/>
      <c r="R261" s="218"/>
      <c r="S261" s="178"/>
      <c r="T261" s="178"/>
      <c r="U261" s="178"/>
      <c r="V261" s="178"/>
      <c r="W261" s="178"/>
      <c r="X261" s="178"/>
      <c r="Y261" s="178"/>
      <c r="Z261" s="178"/>
    </row>
    <row r="262" ht="15.75" customHeight="1">
      <c r="A262" s="217"/>
      <c r="B262" s="217"/>
      <c r="C262" s="220"/>
      <c r="D262" s="220"/>
      <c r="E262" s="220"/>
      <c r="F262" s="220"/>
      <c r="G262" s="220"/>
      <c r="H262" s="220"/>
      <c r="I262" s="220"/>
      <c r="J262" s="220"/>
      <c r="K262" s="220"/>
      <c r="L262" s="218"/>
      <c r="M262" s="218"/>
      <c r="N262" s="178"/>
      <c r="O262" s="178"/>
      <c r="P262" s="178"/>
      <c r="Q262" s="218"/>
      <c r="R262" s="218"/>
      <c r="S262" s="178"/>
      <c r="T262" s="178"/>
      <c r="U262" s="178"/>
      <c r="V262" s="178"/>
      <c r="W262" s="178"/>
      <c r="X262" s="178"/>
      <c r="Y262" s="178"/>
      <c r="Z262" s="178"/>
    </row>
    <row r="263" ht="15.75" customHeight="1">
      <c r="A263" s="217"/>
      <c r="B263" s="217"/>
      <c r="C263" s="220"/>
      <c r="D263" s="220"/>
      <c r="E263" s="220"/>
      <c r="F263" s="220"/>
      <c r="G263" s="220"/>
      <c r="H263" s="220"/>
      <c r="I263" s="220"/>
      <c r="J263" s="220"/>
      <c r="K263" s="220"/>
      <c r="L263" s="218"/>
      <c r="M263" s="218"/>
      <c r="N263" s="178"/>
      <c r="O263" s="178"/>
      <c r="P263" s="178"/>
      <c r="Q263" s="218"/>
      <c r="R263" s="218"/>
      <c r="S263" s="178"/>
      <c r="T263" s="178"/>
      <c r="U263" s="178"/>
      <c r="V263" s="178"/>
      <c r="W263" s="178"/>
      <c r="X263" s="178"/>
      <c r="Y263" s="178"/>
      <c r="Z263" s="178"/>
    </row>
    <row r="264" ht="15.75" customHeight="1">
      <c r="A264" s="217"/>
      <c r="B264" s="217"/>
      <c r="C264" s="220"/>
      <c r="D264" s="220"/>
      <c r="E264" s="220"/>
      <c r="F264" s="220"/>
      <c r="G264" s="220"/>
      <c r="H264" s="220"/>
      <c r="I264" s="220"/>
      <c r="J264" s="220"/>
      <c r="K264" s="220"/>
      <c r="L264" s="218"/>
      <c r="M264" s="218"/>
      <c r="N264" s="178"/>
      <c r="O264" s="178"/>
      <c r="P264" s="178"/>
      <c r="Q264" s="218"/>
      <c r="R264" s="218"/>
      <c r="S264" s="178"/>
      <c r="T264" s="178"/>
      <c r="U264" s="178"/>
      <c r="V264" s="178"/>
      <c r="W264" s="178"/>
      <c r="X264" s="178"/>
      <c r="Y264" s="178"/>
      <c r="Z264" s="178"/>
    </row>
    <row r="265" ht="15.75" customHeight="1">
      <c r="A265" s="217"/>
      <c r="B265" s="217"/>
      <c r="C265" s="220"/>
      <c r="D265" s="220"/>
      <c r="E265" s="220"/>
      <c r="F265" s="220"/>
      <c r="G265" s="220"/>
      <c r="H265" s="220"/>
      <c r="I265" s="220"/>
      <c r="J265" s="220"/>
      <c r="K265" s="220"/>
      <c r="L265" s="218"/>
      <c r="M265" s="218"/>
      <c r="N265" s="178"/>
      <c r="O265" s="178"/>
      <c r="P265" s="178"/>
      <c r="Q265" s="218"/>
      <c r="R265" s="218"/>
      <c r="S265" s="178"/>
      <c r="T265" s="178"/>
      <c r="U265" s="178"/>
      <c r="V265" s="178"/>
      <c r="W265" s="178"/>
      <c r="X265" s="178"/>
      <c r="Y265" s="178"/>
      <c r="Z265" s="178"/>
    </row>
    <row r="266" ht="15.75" customHeight="1">
      <c r="A266" s="217"/>
      <c r="B266" s="217"/>
      <c r="C266" s="220"/>
      <c r="D266" s="220"/>
      <c r="E266" s="220"/>
      <c r="F266" s="220"/>
      <c r="G266" s="220"/>
      <c r="H266" s="220"/>
      <c r="I266" s="220"/>
      <c r="J266" s="220"/>
      <c r="K266" s="220"/>
      <c r="L266" s="218"/>
      <c r="M266" s="218"/>
      <c r="N266" s="178"/>
      <c r="O266" s="178"/>
      <c r="P266" s="178"/>
      <c r="Q266" s="218"/>
      <c r="R266" s="218"/>
      <c r="S266" s="178"/>
      <c r="T266" s="178"/>
      <c r="U266" s="178"/>
      <c r="V266" s="178"/>
      <c r="W266" s="178"/>
      <c r="X266" s="178"/>
      <c r="Y266" s="178"/>
      <c r="Z266" s="178"/>
    </row>
    <row r="267" ht="15.75" customHeight="1">
      <c r="A267" s="217"/>
      <c r="B267" s="217"/>
      <c r="C267" s="220"/>
      <c r="D267" s="220"/>
      <c r="E267" s="220"/>
      <c r="F267" s="220"/>
      <c r="G267" s="220"/>
      <c r="H267" s="220"/>
      <c r="I267" s="220"/>
      <c r="J267" s="220"/>
      <c r="K267" s="220"/>
      <c r="L267" s="218"/>
      <c r="M267" s="218"/>
      <c r="N267" s="178"/>
      <c r="O267" s="178"/>
      <c r="P267" s="178"/>
      <c r="Q267" s="218"/>
      <c r="R267" s="218"/>
      <c r="S267" s="178"/>
      <c r="T267" s="178"/>
      <c r="U267" s="178"/>
      <c r="V267" s="178"/>
      <c r="W267" s="178"/>
      <c r="X267" s="178"/>
      <c r="Y267" s="178"/>
      <c r="Z267" s="178"/>
    </row>
    <row r="268" ht="15.75" customHeight="1">
      <c r="A268" s="217"/>
      <c r="B268" s="217"/>
      <c r="C268" s="220"/>
      <c r="D268" s="220"/>
      <c r="E268" s="220"/>
      <c r="F268" s="220"/>
      <c r="G268" s="220"/>
      <c r="H268" s="220"/>
      <c r="I268" s="220"/>
      <c r="J268" s="220"/>
      <c r="K268" s="220"/>
      <c r="L268" s="218"/>
      <c r="M268" s="218"/>
      <c r="N268" s="178"/>
      <c r="O268" s="178"/>
      <c r="P268" s="178"/>
      <c r="Q268" s="218"/>
      <c r="R268" s="218"/>
      <c r="S268" s="178"/>
      <c r="T268" s="178"/>
      <c r="U268" s="178"/>
      <c r="V268" s="178"/>
      <c r="W268" s="178"/>
      <c r="X268" s="178"/>
      <c r="Y268" s="178"/>
      <c r="Z268" s="178"/>
    </row>
    <row r="269" ht="15.75" customHeight="1">
      <c r="A269" s="217"/>
      <c r="B269" s="217"/>
      <c r="C269" s="220"/>
      <c r="D269" s="220"/>
      <c r="E269" s="220"/>
      <c r="F269" s="220"/>
      <c r="G269" s="220"/>
      <c r="H269" s="220"/>
      <c r="I269" s="220"/>
      <c r="J269" s="220"/>
      <c r="K269" s="220"/>
      <c r="L269" s="218"/>
      <c r="M269" s="218"/>
      <c r="N269" s="178"/>
      <c r="O269" s="178"/>
      <c r="P269" s="178"/>
      <c r="Q269" s="218"/>
      <c r="R269" s="218"/>
      <c r="S269" s="178"/>
      <c r="T269" s="178"/>
      <c r="U269" s="178"/>
      <c r="V269" s="178"/>
      <c r="W269" s="178"/>
      <c r="X269" s="178"/>
      <c r="Y269" s="178"/>
      <c r="Z269" s="178"/>
    </row>
    <row r="270" ht="15.75" customHeight="1">
      <c r="A270" s="217"/>
      <c r="B270" s="217"/>
      <c r="C270" s="220"/>
      <c r="D270" s="220"/>
      <c r="E270" s="220"/>
      <c r="F270" s="220"/>
      <c r="G270" s="220"/>
      <c r="H270" s="220"/>
      <c r="I270" s="220"/>
      <c r="J270" s="220"/>
      <c r="K270" s="220"/>
      <c r="L270" s="218"/>
      <c r="M270" s="218"/>
      <c r="N270" s="178"/>
      <c r="O270" s="178"/>
      <c r="P270" s="178"/>
      <c r="Q270" s="218"/>
      <c r="R270" s="218"/>
      <c r="S270" s="178"/>
      <c r="T270" s="178"/>
      <c r="U270" s="178"/>
      <c r="V270" s="178"/>
      <c r="W270" s="178"/>
      <c r="X270" s="178"/>
      <c r="Y270" s="178"/>
      <c r="Z270" s="178"/>
    </row>
    <row r="271" ht="15.75" customHeight="1">
      <c r="A271" s="217"/>
      <c r="B271" s="217"/>
      <c r="C271" s="220"/>
      <c r="D271" s="220"/>
      <c r="E271" s="220"/>
      <c r="F271" s="220"/>
      <c r="G271" s="220"/>
      <c r="H271" s="220"/>
      <c r="I271" s="220"/>
      <c r="J271" s="220"/>
      <c r="K271" s="220"/>
      <c r="L271" s="218"/>
      <c r="M271" s="218"/>
      <c r="N271" s="178"/>
      <c r="O271" s="178"/>
      <c r="P271" s="178"/>
      <c r="Q271" s="218"/>
      <c r="R271" s="218"/>
      <c r="S271" s="178"/>
      <c r="T271" s="178"/>
      <c r="U271" s="178"/>
      <c r="V271" s="178"/>
      <c r="W271" s="178"/>
      <c r="X271" s="178"/>
      <c r="Y271" s="178"/>
      <c r="Z271" s="178"/>
    </row>
    <row r="272" ht="15.75" customHeight="1">
      <c r="A272" s="217"/>
      <c r="B272" s="217"/>
      <c r="C272" s="220"/>
      <c r="D272" s="220"/>
      <c r="E272" s="220"/>
      <c r="F272" s="220"/>
      <c r="G272" s="220"/>
      <c r="H272" s="220"/>
      <c r="I272" s="220"/>
      <c r="J272" s="220"/>
      <c r="K272" s="220"/>
      <c r="L272" s="218"/>
      <c r="M272" s="218"/>
      <c r="N272" s="178"/>
      <c r="O272" s="178"/>
      <c r="P272" s="178"/>
      <c r="Q272" s="218"/>
      <c r="R272" s="218"/>
      <c r="S272" s="178"/>
      <c r="T272" s="178"/>
      <c r="U272" s="178"/>
      <c r="V272" s="178"/>
      <c r="W272" s="178"/>
      <c r="X272" s="178"/>
      <c r="Y272" s="178"/>
      <c r="Z272" s="178"/>
    </row>
    <row r="273" ht="15.75" customHeight="1">
      <c r="A273" s="217"/>
      <c r="B273" s="217"/>
      <c r="C273" s="220"/>
      <c r="D273" s="220"/>
      <c r="E273" s="220"/>
      <c r="F273" s="220"/>
      <c r="G273" s="220"/>
      <c r="H273" s="220"/>
      <c r="I273" s="220"/>
      <c r="J273" s="220"/>
      <c r="K273" s="220"/>
      <c r="L273" s="218"/>
      <c r="M273" s="218"/>
      <c r="N273" s="178"/>
      <c r="O273" s="178"/>
      <c r="P273" s="178"/>
      <c r="Q273" s="218"/>
      <c r="R273" s="218"/>
      <c r="S273" s="178"/>
      <c r="T273" s="178"/>
      <c r="U273" s="178"/>
      <c r="V273" s="178"/>
      <c r="W273" s="178"/>
      <c r="X273" s="178"/>
      <c r="Y273" s="178"/>
      <c r="Z273" s="178"/>
    </row>
    <row r="274" ht="15.75" customHeight="1">
      <c r="A274" s="217"/>
      <c r="B274" s="217"/>
      <c r="C274" s="220"/>
      <c r="D274" s="220"/>
      <c r="E274" s="220"/>
      <c r="F274" s="220"/>
      <c r="G274" s="220"/>
      <c r="H274" s="220"/>
      <c r="I274" s="220"/>
      <c r="J274" s="220"/>
      <c r="K274" s="220"/>
      <c r="L274" s="218"/>
      <c r="M274" s="218"/>
      <c r="N274" s="178"/>
      <c r="O274" s="178"/>
      <c r="P274" s="178"/>
      <c r="Q274" s="218"/>
      <c r="R274" s="218"/>
      <c r="S274" s="178"/>
      <c r="T274" s="178"/>
      <c r="U274" s="178"/>
      <c r="V274" s="178"/>
      <c r="W274" s="178"/>
      <c r="X274" s="178"/>
      <c r="Y274" s="178"/>
      <c r="Z274" s="178"/>
    </row>
    <row r="275" ht="15.75" customHeight="1">
      <c r="A275" s="217"/>
      <c r="B275" s="217"/>
      <c r="C275" s="220"/>
      <c r="D275" s="220"/>
      <c r="E275" s="220"/>
      <c r="F275" s="220"/>
      <c r="G275" s="220"/>
      <c r="H275" s="220"/>
      <c r="I275" s="220"/>
      <c r="J275" s="220"/>
      <c r="K275" s="220"/>
      <c r="L275" s="218"/>
      <c r="M275" s="218"/>
      <c r="N275" s="178"/>
      <c r="O275" s="178"/>
      <c r="P275" s="178"/>
      <c r="Q275" s="218"/>
      <c r="R275" s="218"/>
      <c r="S275" s="178"/>
      <c r="T275" s="178"/>
      <c r="U275" s="178"/>
      <c r="V275" s="178"/>
      <c r="W275" s="178"/>
      <c r="X275" s="178"/>
      <c r="Y275" s="178"/>
      <c r="Z275" s="178"/>
    </row>
    <row r="276" ht="15.75" customHeight="1">
      <c r="A276" s="217"/>
      <c r="B276" s="217"/>
      <c r="C276" s="220"/>
      <c r="D276" s="220"/>
      <c r="E276" s="220"/>
      <c r="F276" s="220"/>
      <c r="G276" s="220"/>
      <c r="H276" s="220"/>
      <c r="I276" s="220"/>
      <c r="J276" s="220"/>
      <c r="K276" s="220"/>
      <c r="L276" s="218"/>
      <c r="M276" s="218"/>
      <c r="N276" s="178"/>
      <c r="O276" s="178"/>
      <c r="P276" s="178"/>
      <c r="Q276" s="218"/>
      <c r="R276" s="218"/>
      <c r="S276" s="178"/>
      <c r="T276" s="178"/>
      <c r="U276" s="178"/>
      <c r="V276" s="178"/>
      <c r="W276" s="178"/>
      <c r="X276" s="178"/>
      <c r="Y276" s="178"/>
      <c r="Z276" s="178"/>
    </row>
    <row r="277" ht="15.75" customHeight="1">
      <c r="A277" s="217"/>
      <c r="B277" s="217"/>
      <c r="C277" s="220"/>
      <c r="D277" s="220"/>
      <c r="E277" s="220"/>
      <c r="F277" s="220"/>
      <c r="G277" s="220"/>
      <c r="H277" s="220"/>
      <c r="I277" s="220"/>
      <c r="J277" s="220"/>
      <c r="K277" s="220"/>
      <c r="L277" s="218"/>
      <c r="M277" s="218"/>
      <c r="N277" s="178"/>
      <c r="O277" s="178"/>
      <c r="P277" s="178"/>
      <c r="Q277" s="218"/>
      <c r="R277" s="218"/>
      <c r="S277" s="178"/>
      <c r="T277" s="178"/>
      <c r="U277" s="178"/>
      <c r="V277" s="178"/>
      <c r="W277" s="178"/>
      <c r="X277" s="178"/>
      <c r="Y277" s="178"/>
      <c r="Z277" s="178"/>
    </row>
    <row r="278" ht="15.75" customHeight="1">
      <c r="A278" s="217"/>
      <c r="B278" s="217"/>
      <c r="C278" s="220"/>
      <c r="D278" s="220"/>
      <c r="E278" s="220"/>
      <c r="F278" s="220"/>
      <c r="G278" s="220"/>
      <c r="H278" s="220"/>
      <c r="I278" s="220"/>
      <c r="J278" s="220"/>
      <c r="K278" s="220"/>
      <c r="L278" s="218"/>
      <c r="M278" s="218"/>
      <c r="N278" s="178"/>
      <c r="O278" s="178"/>
      <c r="P278" s="178"/>
      <c r="Q278" s="218"/>
      <c r="R278" s="218"/>
      <c r="S278" s="178"/>
      <c r="T278" s="178"/>
      <c r="U278" s="178"/>
      <c r="V278" s="178"/>
      <c r="W278" s="178"/>
      <c r="X278" s="178"/>
      <c r="Y278" s="178"/>
      <c r="Z278" s="178"/>
    </row>
    <row r="279" ht="15.75" customHeight="1">
      <c r="A279" s="217"/>
      <c r="B279" s="217"/>
      <c r="C279" s="220"/>
      <c r="D279" s="220"/>
      <c r="E279" s="220"/>
      <c r="F279" s="220"/>
      <c r="G279" s="220"/>
      <c r="H279" s="220"/>
      <c r="I279" s="220"/>
      <c r="J279" s="220"/>
      <c r="K279" s="220"/>
      <c r="L279" s="218"/>
      <c r="M279" s="218"/>
      <c r="N279" s="178"/>
      <c r="O279" s="178"/>
      <c r="P279" s="178"/>
      <c r="Q279" s="218"/>
      <c r="R279" s="218"/>
      <c r="S279" s="178"/>
      <c r="T279" s="178"/>
      <c r="U279" s="178"/>
      <c r="V279" s="178"/>
      <c r="W279" s="178"/>
      <c r="X279" s="178"/>
      <c r="Y279" s="178"/>
      <c r="Z279" s="178"/>
    </row>
    <row r="280" ht="15.75" customHeight="1">
      <c r="A280" s="217"/>
      <c r="B280" s="217"/>
      <c r="C280" s="220"/>
      <c r="D280" s="220"/>
      <c r="E280" s="220"/>
      <c r="F280" s="220"/>
      <c r="G280" s="220"/>
      <c r="H280" s="220"/>
      <c r="I280" s="220"/>
      <c r="J280" s="220"/>
      <c r="K280" s="220"/>
      <c r="L280" s="218"/>
      <c r="M280" s="218"/>
      <c r="N280" s="178"/>
      <c r="O280" s="178"/>
      <c r="P280" s="178"/>
      <c r="Q280" s="218"/>
      <c r="R280" s="218"/>
      <c r="S280" s="178"/>
      <c r="T280" s="178"/>
      <c r="U280" s="178"/>
      <c r="V280" s="178"/>
      <c r="W280" s="178"/>
      <c r="X280" s="178"/>
      <c r="Y280" s="178"/>
      <c r="Z280" s="178"/>
    </row>
    <row r="281" ht="15.75" customHeight="1">
      <c r="A281" s="217"/>
      <c r="B281" s="217"/>
      <c r="C281" s="220"/>
      <c r="D281" s="220"/>
      <c r="E281" s="220"/>
      <c r="F281" s="220"/>
      <c r="G281" s="220"/>
      <c r="H281" s="220"/>
      <c r="I281" s="220"/>
      <c r="J281" s="220"/>
      <c r="K281" s="220"/>
      <c r="L281" s="218"/>
      <c r="M281" s="218"/>
      <c r="N281" s="178"/>
      <c r="O281" s="178"/>
      <c r="P281" s="178"/>
      <c r="Q281" s="218"/>
      <c r="R281" s="218"/>
      <c r="S281" s="178"/>
      <c r="T281" s="178"/>
      <c r="U281" s="178"/>
      <c r="V281" s="178"/>
      <c r="W281" s="178"/>
      <c r="X281" s="178"/>
      <c r="Y281" s="178"/>
      <c r="Z281" s="178"/>
    </row>
    <row r="282" ht="15.75" customHeight="1">
      <c r="A282" s="217"/>
      <c r="B282" s="217"/>
      <c r="C282" s="220"/>
      <c r="D282" s="220"/>
      <c r="E282" s="220"/>
      <c r="F282" s="220"/>
      <c r="G282" s="220"/>
      <c r="H282" s="220"/>
      <c r="I282" s="220"/>
      <c r="J282" s="220"/>
      <c r="K282" s="220"/>
      <c r="L282" s="218"/>
      <c r="M282" s="218"/>
      <c r="N282" s="178"/>
      <c r="O282" s="178"/>
      <c r="P282" s="178"/>
      <c r="Q282" s="218"/>
      <c r="R282" s="218"/>
      <c r="S282" s="178"/>
      <c r="T282" s="178"/>
      <c r="U282" s="178"/>
      <c r="V282" s="178"/>
      <c r="W282" s="178"/>
      <c r="X282" s="178"/>
      <c r="Y282" s="178"/>
      <c r="Z282" s="178"/>
    </row>
    <row r="283" ht="15.75" customHeight="1">
      <c r="A283" s="217"/>
      <c r="B283" s="217"/>
      <c r="C283" s="220"/>
      <c r="D283" s="220"/>
      <c r="E283" s="220"/>
      <c r="F283" s="220"/>
      <c r="G283" s="220"/>
      <c r="H283" s="220"/>
      <c r="I283" s="220"/>
      <c r="J283" s="220"/>
      <c r="K283" s="220"/>
      <c r="L283" s="218"/>
      <c r="M283" s="218"/>
      <c r="N283" s="178"/>
      <c r="O283" s="178"/>
      <c r="P283" s="178"/>
      <c r="Q283" s="218"/>
      <c r="R283" s="218"/>
      <c r="S283" s="178"/>
      <c r="T283" s="178"/>
      <c r="U283" s="178"/>
      <c r="V283" s="178"/>
      <c r="W283" s="178"/>
      <c r="X283" s="178"/>
      <c r="Y283" s="178"/>
      <c r="Z283" s="178"/>
    </row>
    <row r="284" ht="15.75" customHeight="1">
      <c r="A284" s="217"/>
      <c r="B284" s="217"/>
      <c r="C284" s="220"/>
      <c r="D284" s="220"/>
      <c r="E284" s="220"/>
      <c r="F284" s="220"/>
      <c r="G284" s="220"/>
      <c r="H284" s="220"/>
      <c r="I284" s="220"/>
      <c r="J284" s="220"/>
      <c r="K284" s="220"/>
      <c r="L284" s="218"/>
      <c r="M284" s="218"/>
      <c r="N284" s="178"/>
      <c r="O284" s="178"/>
      <c r="P284" s="178"/>
      <c r="Q284" s="218"/>
      <c r="R284" s="218"/>
      <c r="S284" s="178"/>
      <c r="T284" s="178"/>
      <c r="U284" s="178"/>
      <c r="V284" s="178"/>
      <c r="W284" s="178"/>
      <c r="X284" s="178"/>
      <c r="Y284" s="178"/>
      <c r="Z284" s="178"/>
    </row>
    <row r="285" ht="15.75" customHeight="1">
      <c r="A285" s="217"/>
      <c r="B285" s="217"/>
      <c r="C285" s="220"/>
      <c r="D285" s="220"/>
      <c r="E285" s="220"/>
      <c r="F285" s="220"/>
      <c r="G285" s="220"/>
      <c r="H285" s="220"/>
      <c r="I285" s="220"/>
      <c r="J285" s="220"/>
      <c r="K285" s="220"/>
      <c r="L285" s="218"/>
      <c r="M285" s="218"/>
      <c r="N285" s="178"/>
      <c r="O285" s="178"/>
      <c r="P285" s="178"/>
      <c r="Q285" s="218"/>
      <c r="R285" s="218"/>
      <c r="S285" s="178"/>
      <c r="T285" s="178"/>
      <c r="U285" s="178"/>
      <c r="V285" s="178"/>
      <c r="W285" s="178"/>
      <c r="X285" s="178"/>
      <c r="Y285" s="178"/>
      <c r="Z285" s="178"/>
    </row>
    <row r="286" ht="15.75" customHeight="1">
      <c r="A286" s="217"/>
      <c r="B286" s="217"/>
      <c r="C286" s="220"/>
      <c r="D286" s="220"/>
      <c r="E286" s="220"/>
      <c r="F286" s="220"/>
      <c r="G286" s="220"/>
      <c r="H286" s="220"/>
      <c r="I286" s="220"/>
      <c r="J286" s="220"/>
      <c r="K286" s="220"/>
      <c r="L286" s="218"/>
      <c r="M286" s="218"/>
      <c r="N286" s="178"/>
      <c r="O286" s="178"/>
      <c r="P286" s="178"/>
      <c r="Q286" s="218"/>
      <c r="R286" s="218"/>
      <c r="S286" s="178"/>
      <c r="T286" s="178"/>
      <c r="U286" s="178"/>
      <c r="V286" s="178"/>
      <c r="W286" s="178"/>
      <c r="X286" s="178"/>
      <c r="Y286" s="178"/>
      <c r="Z286" s="178"/>
    </row>
    <row r="287" ht="15.75" customHeight="1">
      <c r="A287" s="217"/>
      <c r="B287" s="217"/>
      <c r="C287" s="220"/>
      <c r="D287" s="220"/>
      <c r="E287" s="220"/>
      <c r="F287" s="220"/>
      <c r="G287" s="220"/>
      <c r="H287" s="220"/>
      <c r="I287" s="220"/>
      <c r="J287" s="220"/>
      <c r="K287" s="220"/>
      <c r="L287" s="218"/>
      <c r="M287" s="218"/>
      <c r="N287" s="178"/>
      <c r="O287" s="178"/>
      <c r="P287" s="178"/>
      <c r="Q287" s="218"/>
      <c r="R287" s="218"/>
      <c r="S287" s="178"/>
      <c r="T287" s="178"/>
      <c r="U287" s="178"/>
      <c r="V287" s="178"/>
      <c r="W287" s="178"/>
      <c r="X287" s="178"/>
      <c r="Y287" s="178"/>
      <c r="Z287" s="178"/>
    </row>
    <row r="288" ht="15.75" customHeight="1">
      <c r="A288" s="217"/>
      <c r="B288" s="217"/>
      <c r="C288" s="220"/>
      <c r="D288" s="220"/>
      <c r="E288" s="220"/>
      <c r="F288" s="220"/>
      <c r="G288" s="220"/>
      <c r="H288" s="220"/>
      <c r="I288" s="220"/>
      <c r="J288" s="220"/>
      <c r="K288" s="220"/>
      <c r="L288" s="218"/>
      <c r="M288" s="218"/>
      <c r="N288" s="178"/>
      <c r="O288" s="178"/>
      <c r="P288" s="178"/>
      <c r="Q288" s="218"/>
      <c r="R288" s="218"/>
      <c r="S288" s="178"/>
      <c r="T288" s="178"/>
      <c r="U288" s="178"/>
      <c r="V288" s="178"/>
      <c r="W288" s="178"/>
      <c r="X288" s="178"/>
      <c r="Y288" s="178"/>
      <c r="Z288" s="178"/>
    </row>
    <row r="289" ht="15.75" customHeight="1">
      <c r="A289" s="217"/>
      <c r="B289" s="217"/>
      <c r="C289" s="220"/>
      <c r="D289" s="220"/>
      <c r="E289" s="220"/>
      <c r="F289" s="220"/>
      <c r="G289" s="220"/>
      <c r="H289" s="220"/>
      <c r="I289" s="220"/>
      <c r="J289" s="220"/>
      <c r="K289" s="220"/>
      <c r="L289" s="218"/>
      <c r="M289" s="218"/>
      <c r="N289" s="178"/>
      <c r="O289" s="178"/>
      <c r="P289" s="178"/>
      <c r="Q289" s="218"/>
      <c r="R289" s="218"/>
      <c r="S289" s="178"/>
      <c r="T289" s="178"/>
      <c r="U289" s="178"/>
      <c r="V289" s="178"/>
      <c r="W289" s="178"/>
      <c r="X289" s="178"/>
      <c r="Y289" s="178"/>
      <c r="Z289" s="178"/>
    </row>
    <row r="290" ht="15.75" customHeight="1">
      <c r="A290" s="217"/>
      <c r="B290" s="217"/>
      <c r="C290" s="220"/>
      <c r="D290" s="220"/>
      <c r="E290" s="220"/>
      <c r="F290" s="220"/>
      <c r="G290" s="220"/>
      <c r="H290" s="220"/>
      <c r="I290" s="220"/>
      <c r="J290" s="220"/>
      <c r="K290" s="220"/>
      <c r="L290" s="218"/>
      <c r="M290" s="218"/>
      <c r="N290" s="178"/>
      <c r="O290" s="178"/>
      <c r="P290" s="178"/>
      <c r="Q290" s="218"/>
      <c r="R290" s="218"/>
      <c r="S290" s="178"/>
      <c r="T290" s="178"/>
      <c r="U290" s="178"/>
      <c r="V290" s="178"/>
      <c r="W290" s="178"/>
      <c r="X290" s="178"/>
      <c r="Y290" s="178"/>
      <c r="Z290" s="178"/>
    </row>
    <row r="291" ht="15.75" customHeight="1">
      <c r="A291" s="217"/>
      <c r="B291" s="217"/>
      <c r="C291" s="220"/>
      <c r="D291" s="220"/>
      <c r="E291" s="220"/>
      <c r="F291" s="220"/>
      <c r="G291" s="220"/>
      <c r="H291" s="220"/>
      <c r="I291" s="220"/>
      <c r="J291" s="220"/>
      <c r="K291" s="220"/>
      <c r="L291" s="218"/>
      <c r="M291" s="218"/>
      <c r="N291" s="178"/>
      <c r="O291" s="178"/>
      <c r="P291" s="178"/>
      <c r="Q291" s="218"/>
      <c r="R291" s="218"/>
      <c r="S291" s="178"/>
      <c r="T291" s="178"/>
      <c r="U291" s="178"/>
      <c r="V291" s="178"/>
      <c r="W291" s="178"/>
      <c r="X291" s="178"/>
      <c r="Y291" s="178"/>
      <c r="Z291" s="178"/>
    </row>
    <row r="292" ht="15.75" customHeight="1">
      <c r="A292" s="217"/>
      <c r="B292" s="217"/>
      <c r="C292" s="220"/>
      <c r="D292" s="220"/>
      <c r="E292" s="220"/>
      <c r="F292" s="220"/>
      <c r="G292" s="220"/>
      <c r="H292" s="220"/>
      <c r="I292" s="220"/>
      <c r="J292" s="220"/>
      <c r="K292" s="220"/>
      <c r="L292" s="218"/>
      <c r="M292" s="218"/>
      <c r="N292" s="178"/>
      <c r="O292" s="178"/>
      <c r="P292" s="178"/>
      <c r="Q292" s="218"/>
      <c r="R292" s="218"/>
      <c r="S292" s="178"/>
      <c r="T292" s="178"/>
      <c r="U292" s="178"/>
      <c r="V292" s="178"/>
      <c r="W292" s="178"/>
      <c r="X292" s="178"/>
      <c r="Y292" s="178"/>
      <c r="Z292" s="178"/>
    </row>
    <row r="293" ht="15.75" customHeight="1">
      <c r="A293" s="217"/>
      <c r="B293" s="217"/>
      <c r="C293" s="220"/>
      <c r="D293" s="220"/>
      <c r="E293" s="220"/>
      <c r="F293" s="220"/>
      <c r="G293" s="220"/>
      <c r="H293" s="220"/>
      <c r="I293" s="220"/>
      <c r="J293" s="220"/>
      <c r="K293" s="220"/>
      <c r="L293" s="218"/>
      <c r="M293" s="218"/>
      <c r="N293" s="178"/>
      <c r="O293" s="178"/>
      <c r="P293" s="178"/>
      <c r="Q293" s="218"/>
      <c r="R293" s="218"/>
      <c r="S293" s="178"/>
      <c r="T293" s="178"/>
      <c r="U293" s="178"/>
      <c r="V293" s="178"/>
      <c r="W293" s="178"/>
      <c r="X293" s="178"/>
      <c r="Y293" s="178"/>
      <c r="Z293" s="178"/>
    </row>
    <row r="294" ht="15.75" customHeight="1">
      <c r="A294" s="217"/>
      <c r="B294" s="217"/>
      <c r="C294" s="220"/>
      <c r="D294" s="220"/>
      <c r="E294" s="220"/>
      <c r="F294" s="220"/>
      <c r="G294" s="220"/>
      <c r="H294" s="220"/>
      <c r="I294" s="220"/>
      <c r="J294" s="220"/>
      <c r="K294" s="220"/>
      <c r="L294" s="218"/>
      <c r="M294" s="218"/>
      <c r="N294" s="178"/>
      <c r="O294" s="178"/>
      <c r="P294" s="178"/>
      <c r="Q294" s="218"/>
      <c r="R294" s="218"/>
      <c r="S294" s="178"/>
      <c r="T294" s="178"/>
      <c r="U294" s="178"/>
      <c r="V294" s="178"/>
      <c r="W294" s="178"/>
      <c r="X294" s="178"/>
      <c r="Y294" s="178"/>
      <c r="Z294" s="178"/>
    </row>
    <row r="295" ht="15.75" customHeight="1">
      <c r="A295" s="217"/>
      <c r="B295" s="217"/>
      <c r="C295" s="220"/>
      <c r="D295" s="220"/>
      <c r="E295" s="220"/>
      <c r="F295" s="220"/>
      <c r="G295" s="220"/>
      <c r="H295" s="220"/>
      <c r="I295" s="220"/>
      <c r="J295" s="220"/>
      <c r="K295" s="220"/>
      <c r="L295" s="218"/>
      <c r="M295" s="218"/>
      <c r="N295" s="178"/>
      <c r="O295" s="178"/>
      <c r="P295" s="178"/>
      <c r="Q295" s="218"/>
      <c r="R295" s="218"/>
      <c r="S295" s="178"/>
      <c r="T295" s="178"/>
      <c r="U295" s="178"/>
      <c r="V295" s="178"/>
      <c r="W295" s="178"/>
      <c r="X295" s="178"/>
      <c r="Y295" s="178"/>
      <c r="Z295" s="178"/>
    </row>
    <row r="296" ht="15.75" customHeight="1">
      <c r="A296" s="217"/>
      <c r="B296" s="217"/>
      <c r="C296" s="220"/>
      <c r="D296" s="220"/>
      <c r="E296" s="220"/>
      <c r="F296" s="220"/>
      <c r="G296" s="220"/>
      <c r="H296" s="220"/>
      <c r="I296" s="220"/>
      <c r="J296" s="220"/>
      <c r="K296" s="220"/>
      <c r="L296" s="218"/>
      <c r="M296" s="218"/>
      <c r="N296" s="178"/>
      <c r="O296" s="178"/>
      <c r="P296" s="178"/>
      <c r="Q296" s="218"/>
      <c r="R296" s="218"/>
      <c r="S296" s="178"/>
      <c r="T296" s="178"/>
      <c r="U296" s="178"/>
      <c r="V296" s="178"/>
      <c r="W296" s="178"/>
      <c r="X296" s="178"/>
      <c r="Y296" s="178"/>
      <c r="Z296" s="178"/>
    </row>
    <row r="297" ht="15.75" customHeight="1">
      <c r="A297" s="217"/>
      <c r="B297" s="217"/>
      <c r="C297" s="220"/>
      <c r="D297" s="220"/>
      <c r="E297" s="220"/>
      <c r="F297" s="220"/>
      <c r="G297" s="220"/>
      <c r="H297" s="220"/>
      <c r="I297" s="220"/>
      <c r="J297" s="220"/>
      <c r="K297" s="220"/>
      <c r="L297" s="218"/>
      <c r="M297" s="218"/>
      <c r="N297" s="178"/>
      <c r="O297" s="178"/>
      <c r="P297" s="178"/>
      <c r="Q297" s="218"/>
      <c r="R297" s="218"/>
      <c r="S297" s="178"/>
      <c r="T297" s="178"/>
      <c r="U297" s="178"/>
      <c r="V297" s="178"/>
      <c r="W297" s="178"/>
      <c r="X297" s="178"/>
      <c r="Y297" s="178"/>
      <c r="Z297" s="178"/>
    </row>
    <row r="298" ht="15.75" customHeight="1">
      <c r="A298" s="217"/>
      <c r="B298" s="217"/>
      <c r="C298" s="220"/>
      <c r="D298" s="220"/>
      <c r="E298" s="220"/>
      <c r="F298" s="220"/>
      <c r="G298" s="220"/>
      <c r="H298" s="220"/>
      <c r="I298" s="220"/>
      <c r="J298" s="220"/>
      <c r="K298" s="220"/>
      <c r="L298" s="218"/>
      <c r="M298" s="218"/>
      <c r="N298" s="178"/>
      <c r="O298" s="178"/>
      <c r="P298" s="178"/>
      <c r="Q298" s="218"/>
      <c r="R298" s="218"/>
      <c r="S298" s="178"/>
      <c r="T298" s="178"/>
      <c r="U298" s="178"/>
      <c r="V298" s="178"/>
      <c r="W298" s="178"/>
      <c r="X298" s="178"/>
      <c r="Y298" s="178"/>
      <c r="Z298" s="178"/>
    </row>
    <row r="299" ht="15.75" customHeight="1">
      <c r="A299" s="217"/>
      <c r="B299" s="217"/>
      <c r="C299" s="220"/>
      <c r="D299" s="220"/>
      <c r="E299" s="220"/>
      <c r="F299" s="220"/>
      <c r="G299" s="220"/>
      <c r="H299" s="220"/>
      <c r="I299" s="220"/>
      <c r="J299" s="220"/>
      <c r="K299" s="220"/>
      <c r="L299" s="218"/>
      <c r="M299" s="218"/>
      <c r="N299" s="178"/>
      <c r="O299" s="178"/>
      <c r="P299" s="178"/>
      <c r="Q299" s="218"/>
      <c r="R299" s="218"/>
      <c r="S299" s="178"/>
      <c r="T299" s="178"/>
      <c r="U299" s="178"/>
      <c r="V299" s="178"/>
      <c r="W299" s="178"/>
      <c r="X299" s="178"/>
      <c r="Y299" s="178"/>
      <c r="Z299" s="178"/>
    </row>
    <row r="300" ht="15.75" customHeight="1">
      <c r="A300" s="217"/>
      <c r="B300" s="217"/>
      <c r="C300" s="220"/>
      <c r="D300" s="220"/>
      <c r="E300" s="220"/>
      <c r="F300" s="220"/>
      <c r="G300" s="220"/>
      <c r="H300" s="220"/>
      <c r="I300" s="220"/>
      <c r="J300" s="220"/>
      <c r="K300" s="220"/>
      <c r="L300" s="218"/>
      <c r="M300" s="218"/>
      <c r="N300" s="178"/>
      <c r="O300" s="178"/>
      <c r="P300" s="178"/>
      <c r="Q300" s="218"/>
      <c r="R300" s="218"/>
      <c r="S300" s="178"/>
      <c r="T300" s="178"/>
      <c r="U300" s="178"/>
      <c r="V300" s="178"/>
      <c r="W300" s="178"/>
      <c r="X300" s="178"/>
      <c r="Y300" s="178"/>
      <c r="Z300" s="178"/>
    </row>
    <row r="301" ht="15.75" customHeight="1">
      <c r="A301" s="217"/>
      <c r="B301" s="217"/>
      <c r="C301" s="220"/>
      <c r="D301" s="220"/>
      <c r="E301" s="220"/>
      <c r="F301" s="220"/>
      <c r="G301" s="220"/>
      <c r="H301" s="220"/>
      <c r="I301" s="220"/>
      <c r="J301" s="220"/>
      <c r="K301" s="220"/>
      <c r="L301" s="218"/>
      <c r="M301" s="218"/>
      <c r="N301" s="178"/>
      <c r="O301" s="178"/>
      <c r="P301" s="178"/>
      <c r="Q301" s="218"/>
      <c r="R301" s="218"/>
      <c r="S301" s="178"/>
      <c r="T301" s="178"/>
      <c r="U301" s="178"/>
      <c r="V301" s="178"/>
      <c r="W301" s="178"/>
      <c r="X301" s="178"/>
      <c r="Y301" s="178"/>
      <c r="Z301" s="178"/>
    </row>
    <row r="302" ht="15.75" customHeight="1">
      <c r="A302" s="217"/>
      <c r="B302" s="217"/>
      <c r="C302" s="220"/>
      <c r="D302" s="220"/>
      <c r="E302" s="220"/>
      <c r="F302" s="220"/>
      <c r="G302" s="220"/>
      <c r="H302" s="220"/>
      <c r="I302" s="220"/>
      <c r="J302" s="220"/>
      <c r="K302" s="220"/>
      <c r="L302" s="218"/>
      <c r="M302" s="218"/>
      <c r="N302" s="178"/>
      <c r="O302" s="178"/>
      <c r="P302" s="178"/>
      <c r="Q302" s="218"/>
      <c r="R302" s="218"/>
      <c r="S302" s="178"/>
      <c r="T302" s="178"/>
      <c r="U302" s="178"/>
      <c r="V302" s="178"/>
      <c r="W302" s="178"/>
      <c r="X302" s="178"/>
      <c r="Y302" s="178"/>
      <c r="Z302" s="178"/>
    </row>
    <row r="303" ht="15.75" customHeight="1">
      <c r="A303" s="217"/>
      <c r="B303" s="217"/>
      <c r="C303" s="220"/>
      <c r="D303" s="220"/>
      <c r="E303" s="220"/>
      <c r="F303" s="220"/>
      <c r="G303" s="220"/>
      <c r="H303" s="220"/>
      <c r="I303" s="220"/>
      <c r="J303" s="220"/>
      <c r="K303" s="220"/>
      <c r="L303" s="218"/>
      <c r="M303" s="218"/>
      <c r="N303" s="178"/>
      <c r="O303" s="178"/>
      <c r="P303" s="178"/>
      <c r="Q303" s="218"/>
      <c r="R303" s="218"/>
      <c r="S303" s="178"/>
      <c r="T303" s="178"/>
      <c r="U303" s="178"/>
      <c r="V303" s="178"/>
      <c r="W303" s="178"/>
      <c r="X303" s="178"/>
      <c r="Y303" s="178"/>
      <c r="Z303" s="178"/>
    </row>
    <row r="304" ht="15.75" customHeight="1">
      <c r="A304" s="217"/>
      <c r="B304" s="217"/>
      <c r="C304" s="220"/>
      <c r="D304" s="220"/>
      <c r="E304" s="220"/>
      <c r="F304" s="220"/>
      <c r="G304" s="220"/>
      <c r="H304" s="220"/>
      <c r="I304" s="220"/>
      <c r="J304" s="220"/>
      <c r="K304" s="220"/>
      <c r="L304" s="218"/>
      <c r="M304" s="218"/>
      <c r="N304" s="178"/>
      <c r="O304" s="178"/>
      <c r="P304" s="178"/>
      <c r="Q304" s="218"/>
      <c r="R304" s="218"/>
      <c r="S304" s="178"/>
      <c r="T304" s="178"/>
      <c r="U304" s="178"/>
      <c r="V304" s="178"/>
      <c r="W304" s="178"/>
      <c r="X304" s="178"/>
      <c r="Y304" s="178"/>
      <c r="Z304" s="178"/>
    </row>
    <row r="305" ht="15.75" customHeight="1">
      <c r="A305" s="217"/>
      <c r="B305" s="217"/>
      <c r="C305" s="220"/>
      <c r="D305" s="220"/>
      <c r="E305" s="220"/>
      <c r="F305" s="220"/>
      <c r="G305" s="220"/>
      <c r="H305" s="220"/>
      <c r="I305" s="220"/>
      <c r="J305" s="220"/>
      <c r="K305" s="220"/>
      <c r="L305" s="218"/>
      <c r="M305" s="218"/>
      <c r="N305" s="178"/>
      <c r="O305" s="178"/>
      <c r="P305" s="178"/>
      <c r="Q305" s="218"/>
      <c r="R305" s="218"/>
      <c r="S305" s="178"/>
      <c r="T305" s="178"/>
      <c r="U305" s="178"/>
      <c r="V305" s="178"/>
      <c r="W305" s="178"/>
      <c r="X305" s="178"/>
      <c r="Y305" s="178"/>
      <c r="Z305" s="178"/>
    </row>
    <row r="306" ht="15.75" customHeight="1">
      <c r="A306" s="217"/>
      <c r="B306" s="217"/>
      <c r="C306" s="220"/>
      <c r="D306" s="220"/>
      <c r="E306" s="220"/>
      <c r="F306" s="220"/>
      <c r="G306" s="220"/>
      <c r="H306" s="220"/>
      <c r="I306" s="220"/>
      <c r="J306" s="220"/>
      <c r="K306" s="220"/>
      <c r="L306" s="218"/>
      <c r="M306" s="218"/>
      <c r="N306" s="178"/>
      <c r="O306" s="178"/>
      <c r="P306" s="178"/>
      <c r="Q306" s="218"/>
      <c r="R306" s="218"/>
      <c r="S306" s="178"/>
      <c r="T306" s="178"/>
      <c r="U306" s="178"/>
      <c r="V306" s="178"/>
      <c r="W306" s="178"/>
      <c r="X306" s="178"/>
      <c r="Y306" s="178"/>
      <c r="Z306" s="178"/>
    </row>
    <row r="307" ht="15.75" customHeight="1">
      <c r="A307" s="217"/>
      <c r="B307" s="217"/>
      <c r="C307" s="220"/>
      <c r="D307" s="220"/>
      <c r="E307" s="220"/>
      <c r="F307" s="220"/>
      <c r="G307" s="220"/>
      <c r="H307" s="220"/>
      <c r="I307" s="220"/>
      <c r="J307" s="220"/>
      <c r="K307" s="220"/>
      <c r="L307" s="218"/>
      <c r="M307" s="218"/>
      <c r="N307" s="178"/>
      <c r="O307" s="178"/>
      <c r="P307" s="178"/>
      <c r="Q307" s="218"/>
      <c r="R307" s="218"/>
      <c r="S307" s="178"/>
      <c r="T307" s="178"/>
      <c r="U307" s="178"/>
      <c r="V307" s="178"/>
      <c r="W307" s="178"/>
      <c r="X307" s="178"/>
      <c r="Y307" s="178"/>
      <c r="Z307" s="178"/>
    </row>
    <row r="308" ht="15.75" customHeight="1">
      <c r="A308" s="217"/>
      <c r="B308" s="217"/>
      <c r="C308" s="220"/>
      <c r="D308" s="220"/>
      <c r="E308" s="220"/>
      <c r="F308" s="220"/>
      <c r="G308" s="220"/>
      <c r="H308" s="220"/>
      <c r="I308" s="220"/>
      <c r="J308" s="220"/>
      <c r="K308" s="220"/>
      <c r="L308" s="218"/>
      <c r="M308" s="218"/>
      <c r="N308" s="178"/>
      <c r="O308" s="178"/>
      <c r="P308" s="178"/>
      <c r="Q308" s="218"/>
      <c r="R308" s="218"/>
      <c r="S308" s="178"/>
      <c r="T308" s="178"/>
      <c r="U308" s="178"/>
      <c r="V308" s="178"/>
      <c r="W308" s="178"/>
      <c r="X308" s="178"/>
      <c r="Y308" s="178"/>
      <c r="Z308" s="178"/>
    </row>
    <row r="309" ht="15.75" customHeight="1">
      <c r="A309" s="217"/>
      <c r="B309" s="217"/>
      <c r="C309" s="220"/>
      <c r="D309" s="220"/>
      <c r="E309" s="220"/>
      <c r="F309" s="220"/>
      <c r="G309" s="220"/>
      <c r="H309" s="220"/>
      <c r="I309" s="220"/>
      <c r="J309" s="220"/>
      <c r="K309" s="220"/>
      <c r="L309" s="218"/>
      <c r="M309" s="218"/>
      <c r="N309" s="178"/>
      <c r="O309" s="178"/>
      <c r="P309" s="178"/>
      <c r="Q309" s="218"/>
      <c r="R309" s="218"/>
      <c r="S309" s="178"/>
      <c r="T309" s="178"/>
      <c r="U309" s="178"/>
      <c r="V309" s="178"/>
      <c r="W309" s="178"/>
      <c r="X309" s="178"/>
      <c r="Y309" s="178"/>
      <c r="Z309" s="178"/>
    </row>
    <row r="310" ht="15.75" customHeight="1">
      <c r="A310" s="217"/>
      <c r="B310" s="217"/>
      <c r="C310" s="220"/>
      <c r="D310" s="220"/>
      <c r="E310" s="220"/>
      <c r="F310" s="220"/>
      <c r="G310" s="220"/>
      <c r="H310" s="220"/>
      <c r="I310" s="220"/>
      <c r="J310" s="220"/>
      <c r="K310" s="220"/>
      <c r="L310" s="218"/>
      <c r="M310" s="218"/>
      <c r="N310" s="178"/>
      <c r="O310" s="178"/>
      <c r="P310" s="178"/>
      <c r="Q310" s="218"/>
      <c r="R310" s="218"/>
      <c r="S310" s="178"/>
      <c r="T310" s="178"/>
      <c r="U310" s="178"/>
      <c r="V310" s="178"/>
      <c r="W310" s="178"/>
      <c r="X310" s="178"/>
      <c r="Y310" s="178"/>
      <c r="Z310" s="178"/>
    </row>
    <row r="311" ht="15.75" customHeight="1">
      <c r="A311" s="217"/>
      <c r="B311" s="217"/>
      <c r="C311" s="220"/>
      <c r="D311" s="220"/>
      <c r="E311" s="220"/>
      <c r="F311" s="220"/>
      <c r="G311" s="220"/>
      <c r="H311" s="220"/>
      <c r="I311" s="220"/>
      <c r="J311" s="220"/>
      <c r="K311" s="220"/>
      <c r="L311" s="218"/>
      <c r="M311" s="218"/>
      <c r="N311" s="178"/>
      <c r="O311" s="178"/>
      <c r="P311" s="178"/>
      <c r="Q311" s="218"/>
      <c r="R311" s="218"/>
      <c r="S311" s="178"/>
      <c r="T311" s="178"/>
      <c r="U311" s="178"/>
      <c r="V311" s="178"/>
      <c r="W311" s="178"/>
      <c r="X311" s="178"/>
      <c r="Y311" s="178"/>
      <c r="Z311" s="178"/>
    </row>
    <row r="312" ht="15.75" customHeight="1">
      <c r="A312" s="217"/>
      <c r="B312" s="217"/>
      <c r="C312" s="220"/>
      <c r="D312" s="220"/>
      <c r="E312" s="220"/>
      <c r="F312" s="220"/>
      <c r="G312" s="220"/>
      <c r="H312" s="220"/>
      <c r="I312" s="220"/>
      <c r="J312" s="220"/>
      <c r="K312" s="220"/>
      <c r="L312" s="218"/>
      <c r="M312" s="218"/>
      <c r="N312" s="178"/>
      <c r="O312" s="178"/>
      <c r="P312" s="178"/>
      <c r="Q312" s="218"/>
      <c r="R312" s="218"/>
      <c r="S312" s="178"/>
      <c r="T312" s="178"/>
      <c r="U312" s="178"/>
      <c r="V312" s="178"/>
      <c r="W312" s="178"/>
      <c r="X312" s="178"/>
      <c r="Y312" s="178"/>
      <c r="Z312" s="178"/>
    </row>
    <row r="313" ht="15.75" customHeight="1">
      <c r="A313" s="217"/>
      <c r="B313" s="217"/>
      <c r="C313" s="220"/>
      <c r="D313" s="220"/>
      <c r="E313" s="220"/>
      <c r="F313" s="220"/>
      <c r="G313" s="220"/>
      <c r="H313" s="220"/>
      <c r="I313" s="220"/>
      <c r="J313" s="220"/>
      <c r="K313" s="220"/>
      <c r="L313" s="218"/>
      <c r="M313" s="218"/>
      <c r="N313" s="178"/>
      <c r="O313" s="178"/>
      <c r="P313" s="178"/>
      <c r="Q313" s="218"/>
      <c r="R313" s="218"/>
      <c r="S313" s="178"/>
      <c r="T313" s="178"/>
      <c r="U313" s="178"/>
      <c r="V313" s="178"/>
      <c r="W313" s="178"/>
      <c r="X313" s="178"/>
      <c r="Y313" s="178"/>
      <c r="Z313" s="178"/>
    </row>
    <row r="314" ht="15.75" customHeight="1">
      <c r="A314" s="217"/>
      <c r="B314" s="217"/>
      <c r="C314" s="220"/>
      <c r="D314" s="220"/>
      <c r="E314" s="220"/>
      <c r="F314" s="220"/>
      <c r="G314" s="220"/>
      <c r="H314" s="220"/>
      <c r="I314" s="220"/>
      <c r="J314" s="220"/>
      <c r="K314" s="220"/>
      <c r="L314" s="218"/>
      <c r="M314" s="218"/>
      <c r="N314" s="178"/>
      <c r="O314" s="178"/>
      <c r="P314" s="178"/>
      <c r="Q314" s="218"/>
      <c r="R314" s="218"/>
      <c r="S314" s="178"/>
      <c r="T314" s="178"/>
      <c r="U314" s="178"/>
      <c r="V314" s="178"/>
      <c r="W314" s="178"/>
      <c r="X314" s="178"/>
      <c r="Y314" s="178"/>
      <c r="Z314" s="178"/>
    </row>
    <row r="315" ht="15.75" customHeight="1">
      <c r="A315" s="217"/>
      <c r="B315" s="217"/>
      <c r="C315" s="220"/>
      <c r="D315" s="220"/>
      <c r="E315" s="220"/>
      <c r="F315" s="220"/>
      <c r="G315" s="220"/>
      <c r="H315" s="220"/>
      <c r="I315" s="220"/>
      <c r="J315" s="220"/>
      <c r="K315" s="220"/>
      <c r="L315" s="218"/>
      <c r="M315" s="218"/>
      <c r="N315" s="178"/>
      <c r="O315" s="178"/>
      <c r="P315" s="178"/>
      <c r="Q315" s="218"/>
      <c r="R315" s="218"/>
      <c r="S315" s="178"/>
      <c r="T315" s="178"/>
      <c r="U315" s="178"/>
      <c r="V315" s="178"/>
      <c r="W315" s="178"/>
      <c r="X315" s="178"/>
      <c r="Y315" s="178"/>
      <c r="Z315" s="178"/>
    </row>
    <row r="316" ht="15.75" customHeight="1">
      <c r="A316" s="217"/>
      <c r="B316" s="217"/>
      <c r="C316" s="220"/>
      <c r="D316" s="220"/>
      <c r="E316" s="220"/>
      <c r="F316" s="220"/>
      <c r="G316" s="220"/>
      <c r="H316" s="220"/>
      <c r="I316" s="220"/>
      <c r="J316" s="220"/>
      <c r="K316" s="220"/>
      <c r="L316" s="218"/>
      <c r="M316" s="218"/>
      <c r="N316" s="178"/>
      <c r="O316" s="178"/>
      <c r="P316" s="178"/>
      <c r="Q316" s="218"/>
      <c r="R316" s="218"/>
      <c r="S316" s="178"/>
      <c r="T316" s="178"/>
      <c r="U316" s="178"/>
      <c r="V316" s="178"/>
      <c r="W316" s="178"/>
      <c r="X316" s="178"/>
      <c r="Y316" s="178"/>
      <c r="Z316" s="178"/>
    </row>
    <row r="317" ht="15.75" customHeight="1">
      <c r="A317" s="217"/>
      <c r="B317" s="217"/>
      <c r="C317" s="220"/>
      <c r="D317" s="220"/>
      <c r="E317" s="220"/>
      <c r="F317" s="220"/>
      <c r="G317" s="220"/>
      <c r="H317" s="220"/>
      <c r="I317" s="220"/>
      <c r="J317" s="220"/>
      <c r="K317" s="220"/>
      <c r="L317" s="218"/>
      <c r="M317" s="218"/>
      <c r="N317" s="178"/>
      <c r="O317" s="178"/>
      <c r="P317" s="178"/>
      <c r="Q317" s="218"/>
      <c r="R317" s="218"/>
      <c r="S317" s="178"/>
      <c r="T317" s="178"/>
      <c r="U317" s="178"/>
      <c r="V317" s="178"/>
      <c r="W317" s="178"/>
      <c r="X317" s="178"/>
      <c r="Y317" s="178"/>
      <c r="Z317" s="178"/>
    </row>
    <row r="318" ht="15.75" customHeight="1">
      <c r="A318" s="217"/>
      <c r="B318" s="217"/>
      <c r="C318" s="220"/>
      <c r="D318" s="220"/>
      <c r="E318" s="220"/>
      <c r="F318" s="220"/>
      <c r="G318" s="220"/>
      <c r="H318" s="220"/>
      <c r="I318" s="220"/>
      <c r="J318" s="220"/>
      <c r="K318" s="220"/>
      <c r="L318" s="218"/>
      <c r="M318" s="218"/>
      <c r="N318" s="178"/>
      <c r="O318" s="178"/>
      <c r="P318" s="178"/>
      <c r="Q318" s="218"/>
      <c r="R318" s="218"/>
      <c r="S318" s="178"/>
      <c r="T318" s="178"/>
      <c r="U318" s="178"/>
      <c r="V318" s="178"/>
      <c r="W318" s="178"/>
      <c r="X318" s="178"/>
      <c r="Y318" s="178"/>
      <c r="Z318" s="178"/>
    </row>
    <row r="319" ht="15.75" customHeight="1">
      <c r="A319" s="217"/>
      <c r="B319" s="217"/>
      <c r="C319" s="220"/>
      <c r="D319" s="220"/>
      <c r="E319" s="220"/>
      <c r="F319" s="220"/>
      <c r="G319" s="220"/>
      <c r="H319" s="220"/>
      <c r="I319" s="220"/>
      <c r="J319" s="220"/>
      <c r="K319" s="220"/>
      <c r="L319" s="218"/>
      <c r="M319" s="218"/>
      <c r="N319" s="178"/>
      <c r="O319" s="178"/>
      <c r="P319" s="178"/>
      <c r="Q319" s="218"/>
      <c r="R319" s="218"/>
      <c r="S319" s="178"/>
      <c r="T319" s="178"/>
      <c r="U319" s="178"/>
      <c r="V319" s="178"/>
      <c r="W319" s="178"/>
      <c r="X319" s="178"/>
      <c r="Y319" s="178"/>
      <c r="Z319" s="178"/>
    </row>
    <row r="320" ht="15.75" customHeight="1">
      <c r="A320" s="217"/>
      <c r="B320" s="217"/>
      <c r="C320" s="220"/>
      <c r="D320" s="220"/>
      <c r="E320" s="220"/>
      <c r="F320" s="220"/>
      <c r="G320" s="220"/>
      <c r="H320" s="220"/>
      <c r="I320" s="220"/>
      <c r="J320" s="220"/>
      <c r="K320" s="220"/>
      <c r="L320" s="218"/>
      <c r="M320" s="218"/>
      <c r="N320" s="178"/>
      <c r="O320" s="178"/>
      <c r="P320" s="178"/>
      <c r="Q320" s="218"/>
      <c r="R320" s="218"/>
      <c r="S320" s="178"/>
      <c r="T320" s="178"/>
      <c r="U320" s="178"/>
      <c r="V320" s="178"/>
      <c r="W320" s="178"/>
      <c r="X320" s="178"/>
      <c r="Y320" s="178"/>
      <c r="Z320" s="178"/>
    </row>
    <row r="321" ht="15.75" customHeight="1">
      <c r="A321" s="217"/>
      <c r="B321" s="217"/>
      <c r="C321" s="220"/>
      <c r="D321" s="220"/>
      <c r="E321" s="220"/>
      <c r="F321" s="220"/>
      <c r="G321" s="220"/>
      <c r="H321" s="220"/>
      <c r="I321" s="220"/>
      <c r="J321" s="220"/>
      <c r="K321" s="220"/>
      <c r="L321" s="218"/>
      <c r="M321" s="218"/>
      <c r="N321" s="178"/>
      <c r="O321" s="178"/>
      <c r="P321" s="178"/>
      <c r="Q321" s="218"/>
      <c r="R321" s="218"/>
      <c r="S321" s="178"/>
      <c r="T321" s="178"/>
      <c r="U321" s="178"/>
      <c r="V321" s="178"/>
      <c r="W321" s="178"/>
      <c r="X321" s="178"/>
      <c r="Y321" s="178"/>
      <c r="Z321" s="178"/>
    </row>
    <row r="322" ht="15.75" customHeight="1">
      <c r="A322" s="217"/>
      <c r="B322" s="217"/>
      <c r="C322" s="220"/>
      <c r="D322" s="220"/>
      <c r="E322" s="220"/>
      <c r="F322" s="220"/>
      <c r="G322" s="220"/>
      <c r="H322" s="220"/>
      <c r="I322" s="220"/>
      <c r="J322" s="220"/>
      <c r="K322" s="220"/>
      <c r="L322" s="218"/>
      <c r="M322" s="218"/>
      <c r="N322" s="178"/>
      <c r="O322" s="178"/>
      <c r="P322" s="178"/>
      <c r="Q322" s="218"/>
      <c r="R322" s="218"/>
      <c r="S322" s="178"/>
      <c r="T322" s="178"/>
      <c r="U322" s="178"/>
      <c r="V322" s="178"/>
      <c r="W322" s="178"/>
      <c r="X322" s="178"/>
      <c r="Y322" s="178"/>
      <c r="Z322" s="178"/>
    </row>
    <row r="323" ht="15.75" customHeight="1">
      <c r="A323" s="217"/>
      <c r="B323" s="217"/>
      <c r="C323" s="220"/>
      <c r="D323" s="220"/>
      <c r="E323" s="220"/>
      <c r="F323" s="220"/>
      <c r="G323" s="220"/>
      <c r="H323" s="220"/>
      <c r="I323" s="220"/>
      <c r="J323" s="220"/>
      <c r="K323" s="220"/>
      <c r="L323" s="218"/>
      <c r="M323" s="218"/>
      <c r="N323" s="178"/>
      <c r="O323" s="178"/>
      <c r="P323" s="178"/>
      <c r="Q323" s="218"/>
      <c r="R323" s="218"/>
      <c r="S323" s="178"/>
      <c r="T323" s="178"/>
      <c r="U323" s="178"/>
      <c r="V323" s="178"/>
      <c r="W323" s="178"/>
      <c r="X323" s="178"/>
      <c r="Y323" s="178"/>
      <c r="Z323" s="178"/>
    </row>
    <row r="324" ht="15.75" customHeight="1">
      <c r="A324" s="217"/>
      <c r="B324" s="217"/>
      <c r="C324" s="220"/>
      <c r="D324" s="220"/>
      <c r="E324" s="220"/>
      <c r="F324" s="220"/>
      <c r="G324" s="220"/>
      <c r="H324" s="220"/>
      <c r="I324" s="220"/>
      <c r="J324" s="220"/>
      <c r="K324" s="220"/>
      <c r="L324" s="218"/>
      <c r="M324" s="218"/>
      <c r="N324" s="178"/>
      <c r="O324" s="178"/>
      <c r="P324" s="178"/>
      <c r="Q324" s="218"/>
      <c r="R324" s="218"/>
      <c r="S324" s="178"/>
      <c r="T324" s="178"/>
      <c r="U324" s="178"/>
      <c r="V324" s="178"/>
      <c r="W324" s="178"/>
      <c r="X324" s="178"/>
      <c r="Y324" s="178"/>
      <c r="Z324" s="178"/>
    </row>
    <row r="325" ht="15.75" customHeight="1">
      <c r="A325" s="217"/>
      <c r="B325" s="217"/>
      <c r="C325" s="220"/>
      <c r="D325" s="220"/>
      <c r="E325" s="220"/>
      <c r="F325" s="220"/>
      <c r="G325" s="220"/>
      <c r="H325" s="220"/>
      <c r="I325" s="220"/>
      <c r="J325" s="220"/>
      <c r="K325" s="220"/>
      <c r="L325" s="218"/>
      <c r="M325" s="218"/>
      <c r="N325" s="178"/>
      <c r="O325" s="178"/>
      <c r="P325" s="178"/>
      <c r="Q325" s="218"/>
      <c r="R325" s="218"/>
      <c r="S325" s="178"/>
      <c r="T325" s="178"/>
      <c r="U325" s="178"/>
      <c r="V325" s="178"/>
      <c r="W325" s="178"/>
      <c r="X325" s="178"/>
      <c r="Y325" s="178"/>
      <c r="Z325" s="178"/>
    </row>
    <row r="326" ht="15.75" customHeight="1">
      <c r="A326" s="217"/>
      <c r="B326" s="217"/>
      <c r="C326" s="220"/>
      <c r="D326" s="220"/>
      <c r="E326" s="220"/>
      <c r="F326" s="220"/>
      <c r="G326" s="220"/>
      <c r="H326" s="220"/>
      <c r="I326" s="220"/>
      <c r="J326" s="220"/>
      <c r="K326" s="220"/>
      <c r="L326" s="218"/>
      <c r="M326" s="218"/>
      <c r="N326" s="178"/>
      <c r="O326" s="178"/>
      <c r="P326" s="178"/>
      <c r="Q326" s="218"/>
      <c r="R326" s="218"/>
      <c r="S326" s="178"/>
      <c r="T326" s="178"/>
      <c r="U326" s="178"/>
      <c r="V326" s="178"/>
      <c r="W326" s="178"/>
      <c r="X326" s="178"/>
      <c r="Y326" s="178"/>
      <c r="Z326" s="178"/>
    </row>
    <row r="327" ht="15.75" customHeight="1">
      <c r="A327" s="217"/>
      <c r="B327" s="217"/>
      <c r="C327" s="220"/>
      <c r="D327" s="220"/>
      <c r="E327" s="220"/>
      <c r="F327" s="220"/>
      <c r="G327" s="220"/>
      <c r="H327" s="220"/>
      <c r="I327" s="220"/>
      <c r="J327" s="220"/>
      <c r="K327" s="220"/>
      <c r="L327" s="218"/>
      <c r="M327" s="218"/>
      <c r="N327" s="178"/>
      <c r="O327" s="178"/>
      <c r="P327" s="178"/>
      <c r="Q327" s="218"/>
      <c r="R327" s="218"/>
      <c r="S327" s="178"/>
      <c r="T327" s="178"/>
      <c r="U327" s="178"/>
      <c r="V327" s="178"/>
      <c r="W327" s="178"/>
      <c r="X327" s="178"/>
      <c r="Y327" s="178"/>
      <c r="Z327" s="178"/>
    </row>
    <row r="328" ht="15.75" customHeight="1">
      <c r="A328" s="217"/>
      <c r="B328" s="217"/>
      <c r="C328" s="220"/>
      <c r="D328" s="220"/>
      <c r="E328" s="220"/>
      <c r="F328" s="220"/>
      <c r="G328" s="220"/>
      <c r="H328" s="220"/>
      <c r="I328" s="220"/>
      <c r="J328" s="220"/>
      <c r="K328" s="220"/>
      <c r="L328" s="218"/>
      <c r="M328" s="218"/>
      <c r="N328" s="178"/>
      <c r="O328" s="178"/>
      <c r="P328" s="178"/>
      <c r="Q328" s="218"/>
      <c r="R328" s="218"/>
      <c r="S328" s="178"/>
      <c r="T328" s="178"/>
      <c r="U328" s="178"/>
      <c r="V328" s="178"/>
      <c r="W328" s="178"/>
      <c r="X328" s="178"/>
      <c r="Y328" s="178"/>
      <c r="Z328" s="178"/>
    </row>
    <row r="329" ht="15.75" customHeight="1">
      <c r="A329" s="217"/>
      <c r="B329" s="217"/>
      <c r="C329" s="220"/>
      <c r="D329" s="220"/>
      <c r="E329" s="220"/>
      <c r="F329" s="220"/>
      <c r="G329" s="220"/>
      <c r="H329" s="220"/>
      <c r="I329" s="220"/>
      <c r="J329" s="220"/>
      <c r="K329" s="220"/>
      <c r="L329" s="218"/>
      <c r="M329" s="218"/>
      <c r="N329" s="178"/>
      <c r="O329" s="178"/>
      <c r="P329" s="178"/>
      <c r="Q329" s="218"/>
      <c r="R329" s="218"/>
      <c r="S329" s="178"/>
      <c r="T329" s="178"/>
      <c r="U329" s="178"/>
      <c r="V329" s="178"/>
      <c r="W329" s="178"/>
      <c r="X329" s="178"/>
      <c r="Y329" s="178"/>
      <c r="Z329" s="178"/>
    </row>
    <row r="330" ht="15.75" customHeight="1">
      <c r="A330" s="217"/>
      <c r="B330" s="217"/>
      <c r="C330" s="220"/>
      <c r="D330" s="220"/>
      <c r="E330" s="220"/>
      <c r="F330" s="220"/>
      <c r="G330" s="220"/>
      <c r="H330" s="220"/>
      <c r="I330" s="220"/>
      <c r="J330" s="220"/>
      <c r="K330" s="220"/>
      <c r="L330" s="218"/>
      <c r="M330" s="218"/>
      <c r="N330" s="178"/>
      <c r="O330" s="178"/>
      <c r="P330" s="178"/>
      <c r="Q330" s="218"/>
      <c r="R330" s="218"/>
      <c r="S330" s="178"/>
      <c r="T330" s="178"/>
      <c r="U330" s="178"/>
      <c r="V330" s="178"/>
      <c r="W330" s="178"/>
      <c r="X330" s="178"/>
      <c r="Y330" s="178"/>
      <c r="Z330" s="178"/>
    </row>
    <row r="331" ht="15.75" customHeight="1">
      <c r="A331" s="217"/>
      <c r="B331" s="217"/>
      <c r="C331" s="220"/>
      <c r="D331" s="220"/>
      <c r="E331" s="220"/>
      <c r="F331" s="220"/>
      <c r="G331" s="220"/>
      <c r="H331" s="220"/>
      <c r="I331" s="220"/>
      <c r="J331" s="220"/>
      <c r="K331" s="220"/>
      <c r="L331" s="218"/>
      <c r="M331" s="218"/>
      <c r="N331" s="178"/>
      <c r="O331" s="178"/>
      <c r="P331" s="178"/>
      <c r="Q331" s="218"/>
      <c r="R331" s="218"/>
      <c r="S331" s="178"/>
      <c r="T331" s="178"/>
      <c r="U331" s="178"/>
      <c r="V331" s="178"/>
      <c r="W331" s="178"/>
      <c r="X331" s="178"/>
      <c r="Y331" s="178"/>
      <c r="Z331" s="178"/>
    </row>
    <row r="332" ht="15.75" customHeight="1">
      <c r="A332" s="217"/>
      <c r="B332" s="217"/>
      <c r="C332" s="220"/>
      <c r="D332" s="220"/>
      <c r="E332" s="220"/>
      <c r="F332" s="220"/>
      <c r="G332" s="220"/>
      <c r="H332" s="220"/>
      <c r="I332" s="220"/>
      <c r="J332" s="220"/>
      <c r="K332" s="220"/>
      <c r="L332" s="218"/>
      <c r="M332" s="218"/>
      <c r="N332" s="178"/>
      <c r="O332" s="178"/>
      <c r="P332" s="178"/>
      <c r="Q332" s="218"/>
      <c r="R332" s="218"/>
      <c r="S332" s="178"/>
      <c r="T332" s="178"/>
      <c r="U332" s="178"/>
      <c r="V332" s="178"/>
      <c r="W332" s="178"/>
      <c r="X332" s="178"/>
      <c r="Y332" s="178"/>
      <c r="Z332" s="178"/>
    </row>
    <row r="333" ht="15.75" customHeight="1">
      <c r="A333" s="217"/>
      <c r="B333" s="217"/>
      <c r="C333" s="220"/>
      <c r="D333" s="220"/>
      <c r="E333" s="220"/>
      <c r="F333" s="220"/>
      <c r="G333" s="220"/>
      <c r="H333" s="220"/>
      <c r="I333" s="220"/>
      <c r="J333" s="220"/>
      <c r="K333" s="220"/>
      <c r="L333" s="218"/>
      <c r="M333" s="218"/>
      <c r="N333" s="178"/>
      <c r="O333" s="178"/>
      <c r="P333" s="178"/>
      <c r="Q333" s="218"/>
      <c r="R333" s="218"/>
      <c r="S333" s="178"/>
      <c r="T333" s="178"/>
      <c r="U333" s="178"/>
      <c r="V333" s="178"/>
      <c r="W333" s="178"/>
      <c r="X333" s="178"/>
      <c r="Y333" s="178"/>
      <c r="Z333" s="178"/>
    </row>
    <row r="334" ht="15.75" customHeight="1">
      <c r="A334" s="217"/>
      <c r="B334" s="217"/>
      <c r="C334" s="220"/>
      <c r="D334" s="220"/>
      <c r="E334" s="220"/>
      <c r="F334" s="220"/>
      <c r="G334" s="220"/>
      <c r="H334" s="220"/>
      <c r="I334" s="220"/>
      <c r="J334" s="220"/>
      <c r="K334" s="220"/>
      <c r="L334" s="218"/>
      <c r="M334" s="218"/>
      <c r="N334" s="178"/>
      <c r="O334" s="178"/>
      <c r="P334" s="178"/>
      <c r="Q334" s="218"/>
      <c r="R334" s="218"/>
      <c r="S334" s="178"/>
      <c r="T334" s="178"/>
      <c r="U334" s="178"/>
      <c r="V334" s="178"/>
      <c r="W334" s="178"/>
      <c r="X334" s="178"/>
      <c r="Y334" s="178"/>
      <c r="Z334" s="178"/>
    </row>
    <row r="335" ht="15.75" customHeight="1">
      <c r="A335" s="217"/>
      <c r="B335" s="217"/>
      <c r="C335" s="220"/>
      <c r="D335" s="220"/>
      <c r="E335" s="220"/>
      <c r="F335" s="220"/>
      <c r="G335" s="220"/>
      <c r="H335" s="220"/>
      <c r="I335" s="220"/>
      <c r="J335" s="220"/>
      <c r="K335" s="220"/>
      <c r="L335" s="218"/>
      <c r="M335" s="218"/>
      <c r="N335" s="178"/>
      <c r="O335" s="178"/>
      <c r="P335" s="178"/>
      <c r="Q335" s="218"/>
      <c r="R335" s="218"/>
      <c r="S335" s="178"/>
      <c r="T335" s="178"/>
      <c r="U335" s="178"/>
      <c r="V335" s="178"/>
      <c r="W335" s="178"/>
      <c r="X335" s="178"/>
      <c r="Y335" s="178"/>
      <c r="Z335" s="178"/>
    </row>
    <row r="336" ht="15.75" customHeight="1">
      <c r="A336" s="217"/>
      <c r="B336" s="217"/>
      <c r="C336" s="220"/>
      <c r="D336" s="220"/>
      <c r="E336" s="220"/>
      <c r="F336" s="220"/>
      <c r="G336" s="220"/>
      <c r="H336" s="220"/>
      <c r="I336" s="220"/>
      <c r="J336" s="220"/>
      <c r="K336" s="220"/>
      <c r="L336" s="218"/>
      <c r="M336" s="218"/>
      <c r="N336" s="178"/>
      <c r="O336" s="178"/>
      <c r="P336" s="178"/>
      <c r="Q336" s="218"/>
      <c r="R336" s="218"/>
      <c r="S336" s="178"/>
      <c r="T336" s="178"/>
      <c r="U336" s="178"/>
      <c r="V336" s="178"/>
      <c r="W336" s="178"/>
      <c r="X336" s="178"/>
      <c r="Y336" s="178"/>
      <c r="Z336" s="178"/>
    </row>
    <row r="337" ht="15.75" customHeight="1">
      <c r="A337" s="217"/>
      <c r="B337" s="217"/>
      <c r="C337" s="220"/>
      <c r="D337" s="220"/>
      <c r="E337" s="220"/>
      <c r="F337" s="220"/>
      <c r="G337" s="220"/>
      <c r="H337" s="220"/>
      <c r="I337" s="220"/>
      <c r="J337" s="220"/>
      <c r="K337" s="220"/>
      <c r="L337" s="218"/>
      <c r="M337" s="218"/>
      <c r="N337" s="178"/>
      <c r="O337" s="178"/>
      <c r="P337" s="178"/>
      <c r="Q337" s="218"/>
      <c r="R337" s="218"/>
      <c r="S337" s="178"/>
      <c r="T337" s="178"/>
      <c r="U337" s="178"/>
      <c r="V337" s="178"/>
      <c r="W337" s="178"/>
      <c r="X337" s="178"/>
      <c r="Y337" s="178"/>
      <c r="Z337" s="178"/>
    </row>
    <row r="338" ht="15.75" customHeight="1">
      <c r="A338" s="217"/>
      <c r="B338" s="217"/>
      <c r="C338" s="220"/>
      <c r="D338" s="220"/>
      <c r="E338" s="220"/>
      <c r="F338" s="220"/>
      <c r="G338" s="220"/>
      <c r="H338" s="220"/>
      <c r="I338" s="220"/>
      <c r="J338" s="220"/>
      <c r="K338" s="220"/>
      <c r="L338" s="218"/>
      <c r="M338" s="218"/>
      <c r="N338" s="178"/>
      <c r="O338" s="178"/>
      <c r="P338" s="178"/>
      <c r="Q338" s="218"/>
      <c r="R338" s="218"/>
      <c r="S338" s="178"/>
      <c r="T338" s="178"/>
      <c r="U338" s="178"/>
      <c r="V338" s="178"/>
      <c r="W338" s="178"/>
      <c r="X338" s="178"/>
      <c r="Y338" s="178"/>
      <c r="Z338" s="178"/>
    </row>
    <row r="339" ht="15.75" customHeight="1">
      <c r="A339" s="217"/>
      <c r="B339" s="217"/>
      <c r="C339" s="220"/>
      <c r="D339" s="220"/>
      <c r="E339" s="220"/>
      <c r="F339" s="220"/>
      <c r="G339" s="220"/>
      <c r="H339" s="220"/>
      <c r="I339" s="220"/>
      <c r="J339" s="220"/>
      <c r="K339" s="220"/>
      <c r="L339" s="218"/>
      <c r="M339" s="218"/>
      <c r="N339" s="178"/>
      <c r="O339" s="178"/>
      <c r="P339" s="178"/>
      <c r="Q339" s="218"/>
      <c r="R339" s="218"/>
      <c r="S339" s="178"/>
      <c r="T339" s="178"/>
      <c r="U339" s="178"/>
      <c r="V339" s="178"/>
      <c r="W339" s="178"/>
      <c r="X339" s="178"/>
      <c r="Y339" s="178"/>
      <c r="Z339" s="178"/>
    </row>
    <row r="340" ht="15.75" customHeight="1">
      <c r="A340" s="217"/>
      <c r="B340" s="217"/>
      <c r="C340" s="220"/>
      <c r="D340" s="220"/>
      <c r="E340" s="220"/>
      <c r="F340" s="220"/>
      <c r="G340" s="220"/>
      <c r="H340" s="220"/>
      <c r="I340" s="220"/>
      <c r="J340" s="220"/>
      <c r="K340" s="220"/>
      <c r="L340" s="218"/>
      <c r="M340" s="218"/>
      <c r="N340" s="178"/>
      <c r="O340" s="178"/>
      <c r="P340" s="178"/>
      <c r="Q340" s="218"/>
      <c r="R340" s="218"/>
      <c r="S340" s="178"/>
      <c r="T340" s="178"/>
      <c r="U340" s="178"/>
      <c r="V340" s="178"/>
      <c r="W340" s="178"/>
      <c r="X340" s="178"/>
      <c r="Y340" s="178"/>
      <c r="Z340" s="178"/>
    </row>
    <row r="341" ht="15.75" customHeight="1">
      <c r="A341" s="217"/>
      <c r="B341" s="217"/>
      <c r="C341" s="220"/>
      <c r="D341" s="220"/>
      <c r="E341" s="220"/>
      <c r="F341" s="220"/>
      <c r="G341" s="220"/>
      <c r="H341" s="220"/>
      <c r="I341" s="220"/>
      <c r="J341" s="220"/>
      <c r="K341" s="220"/>
      <c r="L341" s="218"/>
      <c r="M341" s="218"/>
      <c r="N341" s="178"/>
      <c r="O341" s="178"/>
      <c r="P341" s="178"/>
      <c r="Q341" s="218"/>
      <c r="R341" s="218"/>
      <c r="S341" s="178"/>
      <c r="T341" s="178"/>
      <c r="U341" s="178"/>
      <c r="V341" s="178"/>
      <c r="W341" s="178"/>
      <c r="X341" s="178"/>
      <c r="Y341" s="178"/>
      <c r="Z341" s="178"/>
    </row>
    <row r="342" ht="15.75" customHeight="1">
      <c r="A342" s="217"/>
      <c r="B342" s="217"/>
      <c r="C342" s="220"/>
      <c r="D342" s="220"/>
      <c r="E342" s="220"/>
      <c r="F342" s="220"/>
      <c r="G342" s="220"/>
      <c r="H342" s="220"/>
      <c r="I342" s="220"/>
      <c r="J342" s="220"/>
      <c r="K342" s="220"/>
      <c r="L342" s="218"/>
      <c r="M342" s="218"/>
      <c r="N342" s="178"/>
      <c r="O342" s="178"/>
      <c r="P342" s="178"/>
      <c r="Q342" s="218"/>
      <c r="R342" s="218"/>
      <c r="S342" s="178"/>
      <c r="T342" s="178"/>
      <c r="U342" s="178"/>
      <c r="V342" s="178"/>
      <c r="W342" s="178"/>
      <c r="X342" s="178"/>
      <c r="Y342" s="178"/>
      <c r="Z342" s="178"/>
    </row>
    <row r="343" ht="15.75" customHeight="1">
      <c r="A343" s="217"/>
      <c r="B343" s="217"/>
      <c r="C343" s="220"/>
      <c r="D343" s="220"/>
      <c r="E343" s="220"/>
      <c r="F343" s="220"/>
      <c r="G343" s="220"/>
      <c r="H343" s="220"/>
      <c r="I343" s="220"/>
      <c r="J343" s="220"/>
      <c r="K343" s="220"/>
      <c r="L343" s="218"/>
      <c r="M343" s="218"/>
      <c r="N343" s="178"/>
      <c r="O343" s="178"/>
      <c r="P343" s="178"/>
      <c r="Q343" s="218"/>
      <c r="R343" s="218"/>
      <c r="S343" s="178"/>
      <c r="T343" s="178"/>
      <c r="U343" s="178"/>
      <c r="V343" s="178"/>
      <c r="W343" s="178"/>
      <c r="X343" s="178"/>
      <c r="Y343" s="178"/>
      <c r="Z343" s="178"/>
    </row>
    <row r="344" ht="15.75" customHeight="1">
      <c r="A344" s="217"/>
      <c r="B344" s="217"/>
      <c r="C344" s="220"/>
      <c r="D344" s="220"/>
      <c r="E344" s="220"/>
      <c r="F344" s="220"/>
      <c r="G344" s="220"/>
      <c r="H344" s="220"/>
      <c r="I344" s="220"/>
      <c r="J344" s="220"/>
      <c r="K344" s="220"/>
      <c r="L344" s="218"/>
      <c r="M344" s="218"/>
      <c r="N344" s="178"/>
      <c r="O344" s="178"/>
      <c r="P344" s="178"/>
      <c r="Q344" s="218"/>
      <c r="R344" s="218"/>
      <c r="S344" s="178"/>
      <c r="T344" s="178"/>
      <c r="U344" s="178"/>
      <c r="V344" s="178"/>
      <c r="W344" s="178"/>
      <c r="X344" s="178"/>
      <c r="Y344" s="178"/>
      <c r="Z344" s="178"/>
    </row>
    <row r="345" ht="15.75" customHeight="1">
      <c r="A345" s="217"/>
      <c r="B345" s="217"/>
      <c r="C345" s="220"/>
      <c r="D345" s="220"/>
      <c r="E345" s="220"/>
      <c r="F345" s="220"/>
      <c r="G345" s="220"/>
      <c r="H345" s="220"/>
      <c r="I345" s="220"/>
      <c r="J345" s="220"/>
      <c r="K345" s="220"/>
      <c r="L345" s="218"/>
      <c r="M345" s="218"/>
      <c r="N345" s="178"/>
      <c r="O345" s="178"/>
      <c r="P345" s="178"/>
      <c r="Q345" s="218"/>
      <c r="R345" s="218"/>
      <c r="S345" s="178"/>
      <c r="T345" s="178"/>
      <c r="U345" s="178"/>
      <c r="V345" s="178"/>
      <c r="W345" s="178"/>
      <c r="X345" s="178"/>
      <c r="Y345" s="178"/>
      <c r="Z345" s="178"/>
    </row>
    <row r="346" ht="15.75" customHeight="1">
      <c r="A346" s="217"/>
      <c r="B346" s="217"/>
      <c r="C346" s="220"/>
      <c r="D346" s="220"/>
      <c r="E346" s="220"/>
      <c r="F346" s="220"/>
      <c r="G346" s="220"/>
      <c r="H346" s="220"/>
      <c r="I346" s="220"/>
      <c r="J346" s="220"/>
      <c r="K346" s="220"/>
      <c r="L346" s="218"/>
      <c r="M346" s="218"/>
      <c r="N346" s="178"/>
      <c r="O346" s="178"/>
      <c r="P346" s="178"/>
      <c r="Q346" s="218"/>
      <c r="R346" s="218"/>
      <c r="S346" s="178"/>
      <c r="T346" s="178"/>
      <c r="U346" s="178"/>
      <c r="V346" s="178"/>
      <c r="W346" s="178"/>
      <c r="X346" s="178"/>
      <c r="Y346" s="178"/>
      <c r="Z346" s="178"/>
    </row>
    <row r="347" ht="15.75" customHeight="1">
      <c r="A347" s="217"/>
      <c r="B347" s="217"/>
      <c r="C347" s="220"/>
      <c r="D347" s="220"/>
      <c r="E347" s="220"/>
      <c r="F347" s="220"/>
      <c r="G347" s="220"/>
      <c r="H347" s="220"/>
      <c r="I347" s="220"/>
      <c r="J347" s="220"/>
      <c r="K347" s="220"/>
      <c r="L347" s="218"/>
      <c r="M347" s="218"/>
      <c r="N347" s="178"/>
      <c r="O347" s="178"/>
      <c r="P347" s="178"/>
      <c r="Q347" s="218"/>
      <c r="R347" s="218"/>
      <c r="S347" s="178"/>
      <c r="T347" s="178"/>
      <c r="U347" s="178"/>
      <c r="V347" s="178"/>
      <c r="W347" s="178"/>
      <c r="X347" s="178"/>
      <c r="Y347" s="178"/>
      <c r="Z347" s="178"/>
    </row>
    <row r="348" ht="15.75" customHeight="1">
      <c r="A348" s="217"/>
      <c r="B348" s="217"/>
      <c r="C348" s="220"/>
      <c r="D348" s="220"/>
      <c r="E348" s="220"/>
      <c r="F348" s="220"/>
      <c r="G348" s="220"/>
      <c r="H348" s="220"/>
      <c r="I348" s="220"/>
      <c r="J348" s="220"/>
      <c r="K348" s="220"/>
      <c r="L348" s="218"/>
      <c r="M348" s="218"/>
      <c r="N348" s="178"/>
      <c r="O348" s="178"/>
      <c r="P348" s="178"/>
      <c r="Q348" s="218"/>
      <c r="R348" s="218"/>
      <c r="S348" s="178"/>
      <c r="T348" s="178"/>
      <c r="U348" s="178"/>
      <c r="V348" s="178"/>
      <c r="W348" s="178"/>
      <c r="X348" s="178"/>
      <c r="Y348" s="178"/>
      <c r="Z348" s="178"/>
    </row>
    <row r="349" ht="15.75" customHeight="1">
      <c r="A349" s="217"/>
      <c r="B349" s="217"/>
      <c r="C349" s="220"/>
      <c r="D349" s="220"/>
      <c r="E349" s="220"/>
      <c r="F349" s="220"/>
      <c r="G349" s="220"/>
      <c r="H349" s="220"/>
      <c r="I349" s="220"/>
      <c r="J349" s="220"/>
      <c r="K349" s="220"/>
      <c r="L349" s="218"/>
      <c r="M349" s="218"/>
      <c r="N349" s="178"/>
      <c r="O349" s="178"/>
      <c r="P349" s="178"/>
      <c r="Q349" s="218"/>
      <c r="R349" s="218"/>
      <c r="S349" s="178"/>
      <c r="T349" s="178"/>
      <c r="U349" s="178"/>
      <c r="V349" s="178"/>
      <c r="W349" s="178"/>
      <c r="X349" s="178"/>
      <c r="Y349" s="178"/>
      <c r="Z349" s="178"/>
    </row>
    <row r="350" ht="15.75" customHeight="1">
      <c r="A350" s="217"/>
      <c r="B350" s="217"/>
      <c r="C350" s="220"/>
      <c r="D350" s="220"/>
      <c r="E350" s="220"/>
      <c r="F350" s="220"/>
      <c r="G350" s="220"/>
      <c r="H350" s="220"/>
      <c r="I350" s="220"/>
      <c r="J350" s="220"/>
      <c r="K350" s="220"/>
      <c r="L350" s="218"/>
      <c r="M350" s="218"/>
      <c r="N350" s="178"/>
      <c r="O350" s="178"/>
      <c r="P350" s="178"/>
      <c r="Q350" s="218"/>
      <c r="R350" s="218"/>
      <c r="S350" s="178"/>
      <c r="T350" s="178"/>
      <c r="U350" s="178"/>
      <c r="V350" s="178"/>
      <c r="W350" s="178"/>
      <c r="X350" s="178"/>
      <c r="Y350" s="178"/>
      <c r="Z350" s="178"/>
    </row>
    <row r="351" ht="15.75" customHeight="1">
      <c r="A351" s="217"/>
      <c r="B351" s="217"/>
      <c r="C351" s="220"/>
      <c r="D351" s="220"/>
      <c r="E351" s="220"/>
      <c r="F351" s="220"/>
      <c r="G351" s="220"/>
      <c r="H351" s="220"/>
      <c r="I351" s="220"/>
      <c r="J351" s="220"/>
      <c r="K351" s="220"/>
      <c r="L351" s="218"/>
      <c r="M351" s="218"/>
      <c r="N351" s="178"/>
      <c r="O351" s="178"/>
      <c r="P351" s="178"/>
      <c r="Q351" s="218"/>
      <c r="R351" s="218"/>
      <c r="S351" s="178"/>
      <c r="T351" s="178"/>
      <c r="U351" s="178"/>
      <c r="V351" s="178"/>
      <c r="W351" s="178"/>
      <c r="X351" s="178"/>
      <c r="Y351" s="178"/>
      <c r="Z351" s="178"/>
    </row>
    <row r="352" ht="15.75" customHeight="1">
      <c r="A352" s="217"/>
      <c r="B352" s="217"/>
      <c r="C352" s="220"/>
      <c r="D352" s="220"/>
      <c r="E352" s="220"/>
      <c r="F352" s="220"/>
      <c r="G352" s="220"/>
      <c r="H352" s="220"/>
      <c r="I352" s="220"/>
      <c r="J352" s="220"/>
      <c r="K352" s="220"/>
      <c r="L352" s="218"/>
      <c r="M352" s="218"/>
      <c r="N352" s="178"/>
      <c r="O352" s="178"/>
      <c r="P352" s="178"/>
      <c r="Q352" s="218"/>
      <c r="R352" s="218"/>
      <c r="S352" s="178"/>
      <c r="T352" s="178"/>
      <c r="U352" s="178"/>
      <c r="V352" s="178"/>
      <c r="W352" s="178"/>
      <c r="X352" s="178"/>
      <c r="Y352" s="178"/>
      <c r="Z352" s="178"/>
    </row>
    <row r="353" ht="15.75" customHeight="1">
      <c r="A353" s="217"/>
      <c r="B353" s="217"/>
      <c r="C353" s="220"/>
      <c r="D353" s="220"/>
      <c r="E353" s="220"/>
      <c r="F353" s="220"/>
      <c r="G353" s="220"/>
      <c r="H353" s="220"/>
      <c r="I353" s="220"/>
      <c r="J353" s="220"/>
      <c r="K353" s="220"/>
      <c r="L353" s="218"/>
      <c r="M353" s="218"/>
      <c r="N353" s="178"/>
      <c r="O353" s="178"/>
      <c r="P353" s="178"/>
      <c r="Q353" s="218"/>
      <c r="R353" s="218"/>
      <c r="S353" s="178"/>
      <c r="T353" s="178"/>
      <c r="U353" s="178"/>
      <c r="V353" s="178"/>
      <c r="W353" s="178"/>
      <c r="X353" s="178"/>
      <c r="Y353" s="178"/>
      <c r="Z353" s="178"/>
    </row>
    <row r="354" ht="15.75" customHeight="1">
      <c r="A354" s="217"/>
      <c r="B354" s="217"/>
      <c r="C354" s="220"/>
      <c r="D354" s="220"/>
      <c r="E354" s="220"/>
      <c r="F354" s="220"/>
      <c r="G354" s="220"/>
      <c r="H354" s="220"/>
      <c r="I354" s="220"/>
      <c r="J354" s="220"/>
      <c r="K354" s="220"/>
      <c r="L354" s="218"/>
      <c r="M354" s="218"/>
      <c r="N354" s="178"/>
      <c r="O354" s="178"/>
      <c r="P354" s="178"/>
      <c r="Q354" s="218"/>
      <c r="R354" s="218"/>
      <c r="S354" s="178"/>
      <c r="T354" s="178"/>
      <c r="U354" s="178"/>
      <c r="V354" s="178"/>
      <c r="W354" s="178"/>
      <c r="X354" s="178"/>
      <c r="Y354" s="178"/>
      <c r="Z354" s="178"/>
    </row>
    <row r="355" ht="15.75" customHeight="1">
      <c r="A355" s="217"/>
      <c r="B355" s="217"/>
      <c r="C355" s="220"/>
      <c r="D355" s="220"/>
      <c r="E355" s="220"/>
      <c r="F355" s="220"/>
      <c r="G355" s="220"/>
      <c r="H355" s="220"/>
      <c r="I355" s="220"/>
      <c r="J355" s="220"/>
      <c r="K355" s="220"/>
      <c r="L355" s="218"/>
      <c r="M355" s="218"/>
      <c r="N355" s="178"/>
      <c r="O355" s="178"/>
      <c r="P355" s="178"/>
      <c r="Q355" s="218"/>
      <c r="R355" s="218"/>
      <c r="S355" s="178"/>
      <c r="T355" s="178"/>
      <c r="U355" s="178"/>
      <c r="V355" s="178"/>
      <c r="W355" s="178"/>
      <c r="X355" s="178"/>
      <c r="Y355" s="178"/>
      <c r="Z355" s="178"/>
    </row>
    <row r="356" ht="15.75" customHeight="1">
      <c r="A356" s="217"/>
      <c r="B356" s="217"/>
      <c r="C356" s="220"/>
      <c r="D356" s="220"/>
      <c r="E356" s="220"/>
      <c r="F356" s="220"/>
      <c r="G356" s="220"/>
      <c r="H356" s="220"/>
      <c r="I356" s="220"/>
      <c r="J356" s="220"/>
      <c r="K356" s="220"/>
      <c r="L356" s="218"/>
      <c r="M356" s="218"/>
      <c r="N356" s="178"/>
      <c r="O356" s="178"/>
      <c r="P356" s="178"/>
      <c r="Q356" s="218"/>
      <c r="R356" s="218"/>
      <c r="S356" s="178"/>
      <c r="T356" s="178"/>
      <c r="U356" s="178"/>
      <c r="V356" s="178"/>
      <c r="W356" s="178"/>
      <c r="X356" s="178"/>
      <c r="Y356" s="178"/>
      <c r="Z356" s="178"/>
    </row>
    <row r="357" ht="15.75" customHeight="1">
      <c r="A357" s="217"/>
      <c r="B357" s="217"/>
      <c r="C357" s="220"/>
      <c r="D357" s="220"/>
      <c r="E357" s="220"/>
      <c r="F357" s="220"/>
      <c r="G357" s="220"/>
      <c r="H357" s="220"/>
      <c r="I357" s="220"/>
      <c r="J357" s="220"/>
      <c r="K357" s="220"/>
      <c r="L357" s="218"/>
      <c r="M357" s="218"/>
      <c r="N357" s="178"/>
      <c r="O357" s="178"/>
      <c r="P357" s="178"/>
      <c r="Q357" s="218"/>
      <c r="R357" s="218"/>
      <c r="S357" s="178"/>
      <c r="T357" s="178"/>
      <c r="U357" s="178"/>
      <c r="V357" s="178"/>
      <c r="W357" s="178"/>
      <c r="X357" s="178"/>
      <c r="Y357" s="178"/>
      <c r="Z357" s="178"/>
    </row>
    <row r="358" ht="15.75" customHeight="1">
      <c r="A358" s="217"/>
      <c r="B358" s="217"/>
      <c r="C358" s="220"/>
      <c r="D358" s="220"/>
      <c r="E358" s="220"/>
      <c r="F358" s="220"/>
      <c r="G358" s="220"/>
      <c r="H358" s="220"/>
      <c r="I358" s="220"/>
      <c r="J358" s="220"/>
      <c r="K358" s="220"/>
      <c r="L358" s="218"/>
      <c r="M358" s="218"/>
      <c r="N358" s="178"/>
      <c r="O358" s="178"/>
      <c r="P358" s="178"/>
      <c r="Q358" s="218"/>
      <c r="R358" s="218"/>
      <c r="S358" s="178"/>
      <c r="T358" s="178"/>
      <c r="U358" s="178"/>
      <c r="V358" s="178"/>
      <c r="W358" s="178"/>
      <c r="X358" s="178"/>
      <c r="Y358" s="178"/>
      <c r="Z358" s="178"/>
    </row>
    <row r="359" ht="15.75" customHeight="1">
      <c r="A359" s="217"/>
      <c r="B359" s="217"/>
      <c r="C359" s="220"/>
      <c r="D359" s="220"/>
      <c r="E359" s="220"/>
      <c r="F359" s="220"/>
      <c r="G359" s="220"/>
      <c r="H359" s="220"/>
      <c r="I359" s="220"/>
      <c r="J359" s="220"/>
      <c r="K359" s="220"/>
      <c r="L359" s="218"/>
      <c r="M359" s="218"/>
      <c r="N359" s="178"/>
      <c r="O359" s="178"/>
      <c r="P359" s="178"/>
      <c r="Q359" s="218"/>
      <c r="R359" s="218"/>
      <c r="S359" s="178"/>
      <c r="T359" s="178"/>
      <c r="U359" s="178"/>
      <c r="V359" s="178"/>
      <c r="W359" s="178"/>
      <c r="X359" s="178"/>
      <c r="Y359" s="178"/>
      <c r="Z359" s="178"/>
    </row>
    <row r="360" ht="15.75" customHeight="1">
      <c r="A360" s="217"/>
      <c r="B360" s="217"/>
      <c r="C360" s="220"/>
      <c r="D360" s="220"/>
      <c r="E360" s="220"/>
      <c r="F360" s="220"/>
      <c r="G360" s="220"/>
      <c r="H360" s="220"/>
      <c r="I360" s="220"/>
      <c r="J360" s="220"/>
      <c r="K360" s="220"/>
      <c r="L360" s="218"/>
      <c r="M360" s="218"/>
      <c r="N360" s="178"/>
      <c r="O360" s="178"/>
      <c r="P360" s="178"/>
      <c r="Q360" s="218"/>
      <c r="R360" s="218"/>
      <c r="S360" s="178"/>
      <c r="T360" s="178"/>
      <c r="U360" s="178"/>
      <c r="V360" s="178"/>
      <c r="W360" s="178"/>
      <c r="X360" s="178"/>
      <c r="Y360" s="178"/>
      <c r="Z360" s="178"/>
    </row>
    <row r="361" ht="15.75" customHeight="1">
      <c r="A361" s="217"/>
      <c r="B361" s="217"/>
      <c r="C361" s="220"/>
      <c r="D361" s="220"/>
      <c r="E361" s="220"/>
      <c r="F361" s="220"/>
      <c r="G361" s="220"/>
      <c r="H361" s="220"/>
      <c r="I361" s="220"/>
      <c r="J361" s="220"/>
      <c r="K361" s="220"/>
      <c r="L361" s="218"/>
      <c r="M361" s="218"/>
      <c r="N361" s="178"/>
      <c r="O361" s="178"/>
      <c r="P361" s="178"/>
      <c r="Q361" s="218"/>
      <c r="R361" s="218"/>
      <c r="S361" s="178"/>
      <c r="T361" s="178"/>
      <c r="U361" s="178"/>
      <c r="V361" s="178"/>
      <c r="W361" s="178"/>
      <c r="X361" s="178"/>
      <c r="Y361" s="178"/>
      <c r="Z361" s="178"/>
    </row>
    <row r="362" ht="15.75" customHeight="1">
      <c r="A362" s="217"/>
      <c r="B362" s="217"/>
      <c r="C362" s="220"/>
      <c r="D362" s="220"/>
      <c r="E362" s="220"/>
      <c r="F362" s="220"/>
      <c r="G362" s="220"/>
      <c r="H362" s="220"/>
      <c r="I362" s="220"/>
      <c r="J362" s="220"/>
      <c r="K362" s="220"/>
      <c r="L362" s="218"/>
      <c r="M362" s="218"/>
      <c r="N362" s="178"/>
      <c r="O362" s="178"/>
      <c r="P362" s="178"/>
      <c r="Q362" s="218"/>
      <c r="R362" s="218"/>
      <c r="S362" s="178"/>
      <c r="T362" s="178"/>
      <c r="U362" s="178"/>
      <c r="V362" s="178"/>
      <c r="W362" s="178"/>
      <c r="X362" s="178"/>
      <c r="Y362" s="178"/>
      <c r="Z362" s="178"/>
    </row>
    <row r="363" ht="15.75" customHeight="1">
      <c r="A363" s="217"/>
      <c r="B363" s="217"/>
      <c r="C363" s="220"/>
      <c r="D363" s="220"/>
      <c r="E363" s="220"/>
      <c r="F363" s="220"/>
      <c r="G363" s="220"/>
      <c r="H363" s="220"/>
      <c r="I363" s="220"/>
      <c r="J363" s="220"/>
      <c r="K363" s="220"/>
      <c r="L363" s="218"/>
      <c r="M363" s="218"/>
      <c r="N363" s="178"/>
      <c r="O363" s="178"/>
      <c r="P363" s="178"/>
      <c r="Q363" s="218"/>
      <c r="R363" s="218"/>
      <c r="S363" s="178"/>
      <c r="T363" s="178"/>
      <c r="U363" s="178"/>
      <c r="V363" s="178"/>
      <c r="W363" s="178"/>
      <c r="X363" s="178"/>
      <c r="Y363" s="178"/>
      <c r="Z363" s="178"/>
    </row>
    <row r="364" ht="15.75" customHeight="1">
      <c r="A364" s="217"/>
      <c r="B364" s="217"/>
      <c r="C364" s="220"/>
      <c r="D364" s="220"/>
      <c r="E364" s="220"/>
      <c r="F364" s="220"/>
      <c r="G364" s="220"/>
      <c r="H364" s="220"/>
      <c r="I364" s="220"/>
      <c r="J364" s="220"/>
      <c r="K364" s="220"/>
      <c r="L364" s="218"/>
      <c r="M364" s="218"/>
      <c r="N364" s="178"/>
      <c r="O364" s="178"/>
      <c r="P364" s="178"/>
      <c r="Q364" s="218"/>
      <c r="R364" s="218"/>
      <c r="S364" s="178"/>
      <c r="T364" s="178"/>
      <c r="U364" s="178"/>
      <c r="V364" s="178"/>
      <c r="W364" s="178"/>
      <c r="X364" s="178"/>
      <c r="Y364" s="178"/>
      <c r="Z364" s="178"/>
    </row>
    <row r="365" ht="15.75" customHeight="1">
      <c r="A365" s="217"/>
      <c r="B365" s="217"/>
      <c r="C365" s="220"/>
      <c r="D365" s="220"/>
      <c r="E365" s="220"/>
      <c r="F365" s="220"/>
      <c r="G365" s="220"/>
      <c r="H365" s="220"/>
      <c r="I365" s="220"/>
      <c r="J365" s="220"/>
      <c r="K365" s="220"/>
      <c r="L365" s="218"/>
      <c r="M365" s="218"/>
      <c r="N365" s="178"/>
      <c r="O365" s="178"/>
      <c r="P365" s="178"/>
      <c r="Q365" s="218"/>
      <c r="R365" s="218"/>
      <c r="S365" s="178"/>
      <c r="T365" s="178"/>
      <c r="U365" s="178"/>
      <c r="V365" s="178"/>
      <c r="W365" s="178"/>
      <c r="X365" s="178"/>
      <c r="Y365" s="178"/>
      <c r="Z365" s="178"/>
    </row>
    <row r="366" ht="15.75" customHeight="1">
      <c r="A366" s="217"/>
      <c r="B366" s="217"/>
      <c r="C366" s="220"/>
      <c r="D366" s="220"/>
      <c r="E366" s="220"/>
      <c r="F366" s="220"/>
      <c r="G366" s="220"/>
      <c r="H366" s="220"/>
      <c r="I366" s="220"/>
      <c r="J366" s="220"/>
      <c r="K366" s="220"/>
      <c r="L366" s="218"/>
      <c r="M366" s="218"/>
      <c r="N366" s="178"/>
      <c r="O366" s="178"/>
      <c r="P366" s="178"/>
      <c r="Q366" s="218"/>
      <c r="R366" s="218"/>
      <c r="S366" s="178"/>
      <c r="T366" s="178"/>
      <c r="U366" s="178"/>
      <c r="V366" s="178"/>
      <c r="W366" s="178"/>
      <c r="X366" s="178"/>
      <c r="Y366" s="178"/>
      <c r="Z366" s="178"/>
    </row>
    <row r="367" ht="15.75" customHeight="1">
      <c r="A367" s="217"/>
      <c r="B367" s="217"/>
      <c r="C367" s="220"/>
      <c r="D367" s="220"/>
      <c r="E367" s="220"/>
      <c r="F367" s="220"/>
      <c r="G367" s="220"/>
      <c r="H367" s="220"/>
      <c r="I367" s="220"/>
      <c r="J367" s="220"/>
      <c r="K367" s="220"/>
      <c r="L367" s="218"/>
      <c r="M367" s="218"/>
      <c r="N367" s="178"/>
      <c r="O367" s="178"/>
      <c r="P367" s="178"/>
      <c r="Q367" s="218"/>
      <c r="R367" s="218"/>
      <c r="S367" s="178"/>
      <c r="T367" s="178"/>
      <c r="U367" s="178"/>
      <c r="V367" s="178"/>
      <c r="W367" s="178"/>
      <c r="X367" s="178"/>
      <c r="Y367" s="178"/>
      <c r="Z367" s="178"/>
    </row>
    <row r="368" ht="15.75" customHeight="1">
      <c r="A368" s="217"/>
      <c r="B368" s="217"/>
      <c r="C368" s="220"/>
      <c r="D368" s="220"/>
      <c r="E368" s="220"/>
      <c r="F368" s="220"/>
      <c r="G368" s="220"/>
      <c r="H368" s="220"/>
      <c r="I368" s="220"/>
      <c r="J368" s="220"/>
      <c r="K368" s="220"/>
      <c r="L368" s="218"/>
      <c r="M368" s="218"/>
      <c r="N368" s="178"/>
      <c r="O368" s="178"/>
      <c r="P368" s="178"/>
      <c r="Q368" s="218"/>
      <c r="R368" s="218"/>
      <c r="S368" s="178"/>
      <c r="T368" s="178"/>
      <c r="U368" s="178"/>
      <c r="V368" s="178"/>
      <c r="W368" s="178"/>
      <c r="X368" s="178"/>
      <c r="Y368" s="178"/>
      <c r="Z368" s="178"/>
    </row>
    <row r="369" ht="15.75" customHeight="1">
      <c r="A369" s="217"/>
      <c r="B369" s="217"/>
      <c r="C369" s="220"/>
      <c r="D369" s="220"/>
      <c r="E369" s="220"/>
      <c r="F369" s="220"/>
      <c r="G369" s="220"/>
      <c r="H369" s="220"/>
      <c r="I369" s="220"/>
      <c r="J369" s="220"/>
      <c r="K369" s="220"/>
      <c r="L369" s="218"/>
      <c r="M369" s="218"/>
      <c r="N369" s="178"/>
      <c r="O369" s="178"/>
      <c r="P369" s="178"/>
      <c r="Q369" s="218"/>
      <c r="R369" s="218"/>
      <c r="S369" s="178"/>
      <c r="T369" s="178"/>
      <c r="U369" s="178"/>
      <c r="V369" s="178"/>
      <c r="W369" s="178"/>
      <c r="X369" s="178"/>
      <c r="Y369" s="178"/>
      <c r="Z369" s="178"/>
    </row>
    <row r="370" ht="15.75" customHeight="1">
      <c r="A370" s="217"/>
      <c r="B370" s="217"/>
      <c r="C370" s="220"/>
      <c r="D370" s="220"/>
      <c r="E370" s="220"/>
      <c r="F370" s="220"/>
      <c r="G370" s="220"/>
      <c r="H370" s="220"/>
      <c r="I370" s="220"/>
      <c r="J370" s="220"/>
      <c r="K370" s="220"/>
      <c r="L370" s="218"/>
      <c r="M370" s="218"/>
      <c r="N370" s="178"/>
      <c r="O370" s="178"/>
      <c r="P370" s="178"/>
      <c r="Q370" s="218"/>
      <c r="R370" s="218"/>
      <c r="S370" s="178"/>
      <c r="T370" s="178"/>
      <c r="U370" s="178"/>
      <c r="V370" s="178"/>
      <c r="W370" s="178"/>
      <c r="X370" s="178"/>
      <c r="Y370" s="178"/>
      <c r="Z370" s="178"/>
    </row>
    <row r="371" ht="15.75" customHeight="1">
      <c r="A371" s="217"/>
      <c r="B371" s="217"/>
      <c r="C371" s="220"/>
      <c r="D371" s="220"/>
      <c r="E371" s="220"/>
      <c r="F371" s="220"/>
      <c r="G371" s="220"/>
      <c r="H371" s="220"/>
      <c r="I371" s="220"/>
      <c r="J371" s="220"/>
      <c r="K371" s="220"/>
      <c r="L371" s="218"/>
      <c r="M371" s="218"/>
      <c r="N371" s="178"/>
      <c r="O371" s="178"/>
      <c r="P371" s="178"/>
      <c r="Q371" s="218"/>
      <c r="R371" s="218"/>
      <c r="S371" s="178"/>
      <c r="T371" s="178"/>
      <c r="U371" s="178"/>
      <c r="V371" s="178"/>
      <c r="W371" s="178"/>
      <c r="X371" s="178"/>
      <c r="Y371" s="178"/>
      <c r="Z371" s="178"/>
    </row>
    <row r="372" ht="15.75" customHeight="1">
      <c r="A372" s="217"/>
      <c r="B372" s="217"/>
      <c r="C372" s="220"/>
      <c r="D372" s="220"/>
      <c r="E372" s="220"/>
      <c r="F372" s="220"/>
      <c r="G372" s="220"/>
      <c r="H372" s="220"/>
      <c r="I372" s="220"/>
      <c r="J372" s="220"/>
      <c r="K372" s="220"/>
      <c r="L372" s="218"/>
      <c r="M372" s="218"/>
      <c r="N372" s="178"/>
      <c r="O372" s="178"/>
      <c r="P372" s="178"/>
      <c r="Q372" s="218"/>
      <c r="R372" s="218"/>
      <c r="S372" s="178"/>
      <c r="T372" s="178"/>
      <c r="U372" s="178"/>
      <c r="V372" s="178"/>
      <c r="W372" s="178"/>
      <c r="X372" s="178"/>
      <c r="Y372" s="178"/>
      <c r="Z372" s="178"/>
    </row>
    <row r="373" ht="15.75" customHeight="1">
      <c r="A373" s="217"/>
      <c r="B373" s="217"/>
      <c r="C373" s="220"/>
      <c r="D373" s="220"/>
      <c r="E373" s="220"/>
      <c r="F373" s="220"/>
      <c r="G373" s="220"/>
      <c r="H373" s="220"/>
      <c r="I373" s="220"/>
      <c r="J373" s="220"/>
      <c r="K373" s="220"/>
      <c r="L373" s="218"/>
      <c r="M373" s="218"/>
      <c r="N373" s="178"/>
      <c r="O373" s="178"/>
      <c r="P373" s="178"/>
      <c r="Q373" s="218"/>
      <c r="R373" s="218"/>
      <c r="S373" s="178"/>
      <c r="T373" s="178"/>
      <c r="U373" s="178"/>
      <c r="V373" s="178"/>
      <c r="W373" s="178"/>
      <c r="X373" s="178"/>
      <c r="Y373" s="178"/>
      <c r="Z373" s="178"/>
    </row>
    <row r="374" ht="15.75" customHeight="1">
      <c r="A374" s="217"/>
      <c r="B374" s="217"/>
      <c r="C374" s="220"/>
      <c r="D374" s="220"/>
      <c r="E374" s="220"/>
      <c r="F374" s="220"/>
      <c r="G374" s="220"/>
      <c r="H374" s="220"/>
      <c r="I374" s="220"/>
      <c r="J374" s="220"/>
      <c r="K374" s="220"/>
      <c r="L374" s="218"/>
      <c r="M374" s="218"/>
      <c r="N374" s="178"/>
      <c r="O374" s="178"/>
      <c r="P374" s="178"/>
      <c r="Q374" s="218"/>
      <c r="R374" s="218"/>
      <c r="S374" s="178"/>
      <c r="T374" s="178"/>
      <c r="U374" s="178"/>
      <c r="V374" s="178"/>
      <c r="W374" s="178"/>
      <c r="X374" s="178"/>
      <c r="Y374" s="178"/>
      <c r="Z374" s="178"/>
    </row>
    <row r="375" ht="15.75" customHeight="1">
      <c r="A375" s="217"/>
      <c r="B375" s="217"/>
      <c r="C375" s="220"/>
      <c r="D375" s="220"/>
      <c r="E375" s="220"/>
      <c r="F375" s="220"/>
      <c r="G375" s="220"/>
      <c r="H375" s="220"/>
      <c r="I375" s="220"/>
      <c r="J375" s="220"/>
      <c r="K375" s="220"/>
      <c r="L375" s="218"/>
      <c r="M375" s="218"/>
      <c r="N375" s="178"/>
      <c r="O375" s="178"/>
      <c r="P375" s="178"/>
      <c r="Q375" s="218"/>
      <c r="R375" s="218"/>
      <c r="S375" s="178"/>
      <c r="T375" s="178"/>
      <c r="U375" s="178"/>
      <c r="V375" s="178"/>
      <c r="W375" s="178"/>
      <c r="X375" s="178"/>
      <c r="Y375" s="178"/>
      <c r="Z375" s="178"/>
    </row>
    <row r="376" ht="15.75" customHeight="1">
      <c r="A376" s="217"/>
      <c r="B376" s="217"/>
      <c r="C376" s="220"/>
      <c r="D376" s="220"/>
      <c r="E376" s="220"/>
      <c r="F376" s="220"/>
      <c r="G376" s="220"/>
      <c r="H376" s="220"/>
      <c r="I376" s="220"/>
      <c r="J376" s="220"/>
      <c r="K376" s="220"/>
      <c r="L376" s="218"/>
      <c r="M376" s="218"/>
      <c r="N376" s="178"/>
      <c r="O376" s="178"/>
      <c r="P376" s="178"/>
      <c r="Q376" s="218"/>
      <c r="R376" s="218"/>
      <c r="S376" s="178"/>
      <c r="T376" s="178"/>
      <c r="U376" s="178"/>
      <c r="V376" s="178"/>
      <c r="W376" s="178"/>
      <c r="X376" s="178"/>
      <c r="Y376" s="178"/>
      <c r="Z376" s="178"/>
    </row>
    <row r="377" ht="15.75" customHeight="1">
      <c r="A377" s="217"/>
      <c r="B377" s="217"/>
      <c r="C377" s="220"/>
      <c r="D377" s="220"/>
      <c r="E377" s="220"/>
      <c r="F377" s="220"/>
      <c r="G377" s="220"/>
      <c r="H377" s="220"/>
      <c r="I377" s="220"/>
      <c r="J377" s="220"/>
      <c r="K377" s="220"/>
      <c r="L377" s="218"/>
      <c r="M377" s="218"/>
      <c r="N377" s="178"/>
      <c r="O377" s="178"/>
      <c r="P377" s="178"/>
      <c r="Q377" s="218"/>
      <c r="R377" s="218"/>
      <c r="S377" s="178"/>
      <c r="T377" s="178"/>
      <c r="U377" s="178"/>
      <c r="V377" s="178"/>
      <c r="W377" s="178"/>
      <c r="X377" s="178"/>
      <c r="Y377" s="178"/>
      <c r="Z377" s="178"/>
    </row>
    <row r="378" ht="15.75" customHeight="1">
      <c r="A378" s="217"/>
      <c r="B378" s="217"/>
      <c r="C378" s="220"/>
      <c r="D378" s="220"/>
      <c r="E378" s="220"/>
      <c r="F378" s="220"/>
      <c r="G378" s="220"/>
      <c r="H378" s="220"/>
      <c r="I378" s="220"/>
      <c r="J378" s="220"/>
      <c r="K378" s="220"/>
      <c r="L378" s="218"/>
      <c r="M378" s="218"/>
      <c r="N378" s="178"/>
      <c r="O378" s="178"/>
      <c r="P378" s="178"/>
      <c r="Q378" s="218"/>
      <c r="R378" s="218"/>
      <c r="S378" s="178"/>
      <c r="T378" s="178"/>
      <c r="U378" s="178"/>
      <c r="V378" s="178"/>
      <c r="W378" s="178"/>
      <c r="X378" s="178"/>
      <c r="Y378" s="178"/>
      <c r="Z378" s="178"/>
    </row>
    <row r="379" ht="15.75" customHeight="1">
      <c r="A379" s="217"/>
      <c r="B379" s="217"/>
      <c r="C379" s="220"/>
      <c r="D379" s="220"/>
      <c r="E379" s="220"/>
      <c r="F379" s="220"/>
      <c r="G379" s="220"/>
      <c r="H379" s="220"/>
      <c r="I379" s="220"/>
      <c r="J379" s="220"/>
      <c r="K379" s="220"/>
      <c r="L379" s="218"/>
      <c r="M379" s="218"/>
      <c r="N379" s="178"/>
      <c r="O379" s="178"/>
      <c r="P379" s="178"/>
      <c r="Q379" s="218"/>
      <c r="R379" s="218"/>
      <c r="S379" s="178"/>
      <c r="T379" s="178"/>
      <c r="U379" s="178"/>
      <c r="V379" s="178"/>
      <c r="W379" s="178"/>
      <c r="X379" s="178"/>
      <c r="Y379" s="178"/>
      <c r="Z379" s="178"/>
    </row>
    <row r="380" ht="15.75" customHeight="1">
      <c r="A380" s="217"/>
      <c r="B380" s="217"/>
      <c r="C380" s="220"/>
      <c r="D380" s="220"/>
      <c r="E380" s="220"/>
      <c r="F380" s="220"/>
      <c r="G380" s="220"/>
      <c r="H380" s="220"/>
      <c r="I380" s="220"/>
      <c r="J380" s="220"/>
      <c r="K380" s="220"/>
      <c r="L380" s="218"/>
      <c r="M380" s="218"/>
      <c r="N380" s="178"/>
      <c r="O380" s="178"/>
      <c r="P380" s="178"/>
      <c r="Q380" s="218"/>
      <c r="R380" s="218"/>
      <c r="S380" s="178"/>
      <c r="T380" s="178"/>
      <c r="U380" s="178"/>
      <c r="V380" s="178"/>
      <c r="W380" s="178"/>
      <c r="X380" s="178"/>
      <c r="Y380" s="178"/>
      <c r="Z380" s="178"/>
    </row>
    <row r="381" ht="15.75" customHeight="1">
      <c r="A381" s="217"/>
      <c r="B381" s="217"/>
      <c r="C381" s="220"/>
      <c r="D381" s="220"/>
      <c r="E381" s="220"/>
      <c r="F381" s="220"/>
      <c r="G381" s="220"/>
      <c r="H381" s="220"/>
      <c r="I381" s="220"/>
      <c r="J381" s="220"/>
      <c r="K381" s="220"/>
      <c r="L381" s="218"/>
      <c r="M381" s="218"/>
      <c r="N381" s="178"/>
      <c r="O381" s="178"/>
      <c r="P381" s="178"/>
      <c r="Q381" s="218"/>
      <c r="R381" s="218"/>
      <c r="S381" s="178"/>
      <c r="T381" s="178"/>
      <c r="U381" s="178"/>
      <c r="V381" s="178"/>
      <c r="W381" s="178"/>
      <c r="X381" s="178"/>
      <c r="Y381" s="178"/>
      <c r="Z381" s="178"/>
    </row>
    <row r="382" ht="15.75" customHeight="1">
      <c r="A382" s="217"/>
      <c r="B382" s="217"/>
      <c r="C382" s="220"/>
      <c r="D382" s="220"/>
      <c r="E382" s="220"/>
      <c r="F382" s="220"/>
      <c r="G382" s="220"/>
      <c r="H382" s="220"/>
      <c r="I382" s="220"/>
      <c r="J382" s="220"/>
      <c r="K382" s="220"/>
      <c r="L382" s="218"/>
      <c r="M382" s="218"/>
      <c r="N382" s="178"/>
      <c r="O382" s="178"/>
      <c r="P382" s="178"/>
      <c r="Q382" s="218"/>
      <c r="R382" s="218"/>
      <c r="S382" s="178"/>
      <c r="T382" s="178"/>
      <c r="U382" s="178"/>
      <c r="V382" s="178"/>
      <c r="W382" s="178"/>
      <c r="X382" s="178"/>
      <c r="Y382" s="178"/>
      <c r="Z382" s="178"/>
    </row>
    <row r="383" ht="15.75" customHeight="1">
      <c r="A383" s="217"/>
      <c r="B383" s="217"/>
      <c r="C383" s="220"/>
      <c r="D383" s="220"/>
      <c r="E383" s="220"/>
      <c r="F383" s="220"/>
      <c r="G383" s="220"/>
      <c r="H383" s="220"/>
      <c r="I383" s="220"/>
      <c r="J383" s="220"/>
      <c r="K383" s="220"/>
      <c r="L383" s="218"/>
      <c r="M383" s="218"/>
      <c r="N383" s="178"/>
      <c r="O383" s="178"/>
      <c r="P383" s="178"/>
      <c r="Q383" s="218"/>
      <c r="R383" s="218"/>
      <c r="S383" s="178"/>
      <c r="T383" s="178"/>
      <c r="U383" s="178"/>
      <c r="V383" s="178"/>
      <c r="W383" s="178"/>
      <c r="X383" s="178"/>
      <c r="Y383" s="178"/>
      <c r="Z383" s="178"/>
    </row>
    <row r="384" ht="15.75" customHeight="1">
      <c r="A384" s="217"/>
      <c r="B384" s="217"/>
      <c r="C384" s="220"/>
      <c r="D384" s="220"/>
      <c r="E384" s="220"/>
      <c r="F384" s="220"/>
      <c r="G384" s="220"/>
      <c r="H384" s="220"/>
      <c r="I384" s="220"/>
      <c r="J384" s="220"/>
      <c r="K384" s="220"/>
      <c r="L384" s="218"/>
      <c r="M384" s="218"/>
      <c r="N384" s="178"/>
      <c r="O384" s="178"/>
      <c r="P384" s="178"/>
      <c r="Q384" s="218"/>
      <c r="R384" s="218"/>
      <c r="S384" s="178"/>
      <c r="T384" s="178"/>
      <c r="U384" s="178"/>
      <c r="V384" s="178"/>
      <c r="W384" s="178"/>
      <c r="X384" s="178"/>
      <c r="Y384" s="178"/>
      <c r="Z384" s="178"/>
    </row>
    <row r="385" ht="15.75" customHeight="1">
      <c r="A385" s="217"/>
      <c r="B385" s="217"/>
      <c r="C385" s="220"/>
      <c r="D385" s="220"/>
      <c r="E385" s="220"/>
      <c r="F385" s="220"/>
      <c r="G385" s="220"/>
      <c r="H385" s="220"/>
      <c r="I385" s="220"/>
      <c r="J385" s="220"/>
      <c r="K385" s="220"/>
      <c r="L385" s="218"/>
      <c r="M385" s="218"/>
      <c r="N385" s="178"/>
      <c r="O385" s="178"/>
      <c r="P385" s="178"/>
      <c r="Q385" s="218"/>
      <c r="R385" s="218"/>
      <c r="S385" s="178"/>
      <c r="T385" s="178"/>
      <c r="U385" s="178"/>
      <c r="V385" s="178"/>
      <c r="W385" s="178"/>
      <c r="X385" s="178"/>
      <c r="Y385" s="178"/>
      <c r="Z385" s="178"/>
    </row>
    <row r="386" ht="15.75" customHeight="1">
      <c r="A386" s="217"/>
      <c r="B386" s="217"/>
      <c r="C386" s="220"/>
      <c r="D386" s="220"/>
      <c r="E386" s="220"/>
      <c r="F386" s="220"/>
      <c r="G386" s="220"/>
      <c r="H386" s="220"/>
      <c r="I386" s="220"/>
      <c r="J386" s="220"/>
      <c r="K386" s="220"/>
      <c r="L386" s="218"/>
      <c r="M386" s="218"/>
      <c r="N386" s="178"/>
      <c r="O386" s="178"/>
      <c r="P386" s="178"/>
      <c r="Q386" s="218"/>
      <c r="R386" s="218"/>
      <c r="S386" s="178"/>
      <c r="T386" s="178"/>
      <c r="U386" s="178"/>
      <c r="V386" s="178"/>
      <c r="W386" s="178"/>
      <c r="X386" s="178"/>
      <c r="Y386" s="178"/>
      <c r="Z386" s="178"/>
    </row>
    <row r="387" ht="15.75" customHeight="1">
      <c r="A387" s="217"/>
      <c r="B387" s="217"/>
      <c r="C387" s="220"/>
      <c r="D387" s="220"/>
      <c r="E387" s="220"/>
      <c r="F387" s="220"/>
      <c r="G387" s="220"/>
      <c r="H387" s="220"/>
      <c r="I387" s="220"/>
      <c r="J387" s="220"/>
      <c r="K387" s="220"/>
      <c r="L387" s="218"/>
      <c r="M387" s="218"/>
      <c r="N387" s="178"/>
      <c r="O387" s="178"/>
      <c r="P387" s="178"/>
      <c r="Q387" s="218"/>
      <c r="R387" s="218"/>
      <c r="S387" s="178"/>
      <c r="T387" s="178"/>
      <c r="U387" s="178"/>
      <c r="V387" s="178"/>
      <c r="W387" s="178"/>
      <c r="X387" s="178"/>
      <c r="Y387" s="178"/>
      <c r="Z387" s="178"/>
    </row>
    <row r="388" ht="15.75" customHeight="1">
      <c r="A388" s="217"/>
      <c r="B388" s="217"/>
      <c r="C388" s="220"/>
      <c r="D388" s="220"/>
      <c r="E388" s="220"/>
      <c r="F388" s="220"/>
      <c r="G388" s="220"/>
      <c r="H388" s="220"/>
      <c r="I388" s="220"/>
      <c r="J388" s="220"/>
      <c r="K388" s="220"/>
      <c r="L388" s="218"/>
      <c r="M388" s="218"/>
      <c r="N388" s="178"/>
      <c r="O388" s="178"/>
      <c r="P388" s="178"/>
      <c r="Q388" s="218"/>
      <c r="R388" s="218"/>
      <c r="S388" s="178"/>
      <c r="T388" s="178"/>
      <c r="U388" s="178"/>
      <c r="V388" s="178"/>
      <c r="W388" s="178"/>
      <c r="X388" s="178"/>
      <c r="Y388" s="178"/>
      <c r="Z388" s="178"/>
    </row>
    <row r="389" ht="15.75" customHeight="1">
      <c r="A389" s="217"/>
      <c r="B389" s="217"/>
      <c r="C389" s="220"/>
      <c r="D389" s="220"/>
      <c r="E389" s="220"/>
      <c r="F389" s="220"/>
      <c r="G389" s="220"/>
      <c r="H389" s="220"/>
      <c r="I389" s="220"/>
      <c r="J389" s="220"/>
      <c r="K389" s="220"/>
      <c r="L389" s="218"/>
      <c r="M389" s="218"/>
      <c r="N389" s="178"/>
      <c r="O389" s="178"/>
      <c r="P389" s="178"/>
      <c r="Q389" s="218"/>
      <c r="R389" s="218"/>
      <c r="S389" s="178"/>
      <c r="T389" s="178"/>
      <c r="U389" s="178"/>
      <c r="V389" s="178"/>
      <c r="W389" s="178"/>
      <c r="X389" s="178"/>
      <c r="Y389" s="178"/>
      <c r="Z389" s="178"/>
    </row>
    <row r="390" ht="15.75" customHeight="1">
      <c r="A390" s="217"/>
      <c r="B390" s="217"/>
      <c r="C390" s="220"/>
      <c r="D390" s="220"/>
      <c r="E390" s="220"/>
      <c r="F390" s="220"/>
      <c r="G390" s="220"/>
      <c r="H390" s="220"/>
      <c r="I390" s="220"/>
      <c r="J390" s="220"/>
      <c r="K390" s="220"/>
      <c r="L390" s="218"/>
      <c r="M390" s="218"/>
      <c r="N390" s="178"/>
      <c r="O390" s="178"/>
      <c r="P390" s="178"/>
      <c r="Q390" s="218"/>
      <c r="R390" s="218"/>
      <c r="S390" s="178"/>
      <c r="T390" s="178"/>
      <c r="U390" s="178"/>
      <c r="V390" s="178"/>
      <c r="W390" s="178"/>
      <c r="X390" s="178"/>
      <c r="Y390" s="178"/>
      <c r="Z390" s="178"/>
    </row>
    <row r="391" ht="15.75" customHeight="1">
      <c r="A391" s="217"/>
      <c r="B391" s="217"/>
      <c r="C391" s="220"/>
      <c r="D391" s="220"/>
      <c r="E391" s="220"/>
      <c r="F391" s="220"/>
      <c r="G391" s="220"/>
      <c r="H391" s="220"/>
      <c r="I391" s="220"/>
      <c r="J391" s="220"/>
      <c r="K391" s="220"/>
      <c r="L391" s="218"/>
      <c r="M391" s="218"/>
      <c r="N391" s="178"/>
      <c r="O391" s="178"/>
      <c r="P391" s="178"/>
      <c r="Q391" s="218"/>
      <c r="R391" s="218"/>
      <c r="S391" s="178"/>
      <c r="T391" s="178"/>
      <c r="U391" s="178"/>
      <c r="V391" s="178"/>
      <c r="W391" s="178"/>
      <c r="X391" s="178"/>
      <c r="Y391" s="178"/>
      <c r="Z391" s="178"/>
    </row>
    <row r="392" ht="15.75" customHeight="1">
      <c r="A392" s="217"/>
      <c r="B392" s="217"/>
      <c r="C392" s="220"/>
      <c r="D392" s="220"/>
      <c r="E392" s="220"/>
      <c r="F392" s="220"/>
      <c r="G392" s="220"/>
      <c r="H392" s="220"/>
      <c r="I392" s="220"/>
      <c r="J392" s="220"/>
      <c r="K392" s="220"/>
      <c r="L392" s="218"/>
      <c r="M392" s="218"/>
      <c r="N392" s="178"/>
      <c r="O392" s="178"/>
      <c r="P392" s="178"/>
      <c r="Q392" s="218"/>
      <c r="R392" s="218"/>
      <c r="S392" s="178"/>
      <c r="T392" s="178"/>
      <c r="U392" s="178"/>
      <c r="V392" s="178"/>
      <c r="W392" s="178"/>
      <c r="X392" s="178"/>
      <c r="Y392" s="178"/>
      <c r="Z392" s="178"/>
    </row>
    <row r="393" ht="15.75" customHeight="1">
      <c r="A393" s="217"/>
      <c r="B393" s="217"/>
      <c r="C393" s="220"/>
      <c r="D393" s="220"/>
      <c r="E393" s="220"/>
      <c r="F393" s="220"/>
      <c r="G393" s="220"/>
      <c r="H393" s="220"/>
      <c r="I393" s="220"/>
      <c r="J393" s="220"/>
      <c r="K393" s="220"/>
      <c r="L393" s="218"/>
      <c r="M393" s="218"/>
      <c r="N393" s="178"/>
      <c r="O393" s="178"/>
      <c r="P393" s="178"/>
      <c r="Q393" s="218"/>
      <c r="R393" s="218"/>
      <c r="S393" s="178"/>
      <c r="T393" s="178"/>
      <c r="U393" s="178"/>
      <c r="V393" s="178"/>
      <c r="W393" s="178"/>
      <c r="X393" s="178"/>
      <c r="Y393" s="178"/>
      <c r="Z393" s="178"/>
    </row>
    <row r="394" ht="15.75" customHeight="1">
      <c r="A394" s="217"/>
      <c r="B394" s="217"/>
      <c r="C394" s="220"/>
      <c r="D394" s="220"/>
      <c r="E394" s="220"/>
      <c r="F394" s="220"/>
      <c r="G394" s="220"/>
      <c r="H394" s="220"/>
      <c r="I394" s="220"/>
      <c r="J394" s="220"/>
      <c r="K394" s="220"/>
      <c r="L394" s="218"/>
      <c r="M394" s="218"/>
      <c r="N394" s="178"/>
      <c r="O394" s="178"/>
      <c r="P394" s="178"/>
      <c r="Q394" s="218"/>
      <c r="R394" s="218"/>
      <c r="S394" s="178"/>
      <c r="T394" s="178"/>
      <c r="U394" s="178"/>
      <c r="V394" s="178"/>
      <c r="W394" s="178"/>
      <c r="X394" s="178"/>
      <c r="Y394" s="178"/>
      <c r="Z394" s="178"/>
    </row>
    <row r="395" ht="15.75" customHeight="1">
      <c r="A395" s="217"/>
      <c r="B395" s="217"/>
      <c r="C395" s="220"/>
      <c r="D395" s="220"/>
      <c r="E395" s="220"/>
      <c r="F395" s="220"/>
      <c r="G395" s="220"/>
      <c r="H395" s="220"/>
      <c r="I395" s="220"/>
      <c r="J395" s="220"/>
      <c r="K395" s="220"/>
      <c r="L395" s="218"/>
      <c r="M395" s="218"/>
      <c r="N395" s="178"/>
      <c r="O395" s="178"/>
      <c r="P395" s="178"/>
      <c r="Q395" s="218"/>
      <c r="R395" s="218"/>
      <c r="S395" s="178"/>
      <c r="T395" s="178"/>
      <c r="U395" s="178"/>
      <c r="V395" s="178"/>
      <c r="W395" s="178"/>
      <c r="X395" s="178"/>
      <c r="Y395" s="178"/>
      <c r="Z395" s="178"/>
    </row>
    <row r="396" ht="15.75" customHeight="1">
      <c r="A396" s="217"/>
      <c r="B396" s="217"/>
      <c r="C396" s="220"/>
      <c r="D396" s="220"/>
      <c r="E396" s="220"/>
      <c r="F396" s="220"/>
      <c r="G396" s="220"/>
      <c r="H396" s="220"/>
      <c r="I396" s="220"/>
      <c r="J396" s="220"/>
      <c r="K396" s="220"/>
      <c r="L396" s="218"/>
      <c r="M396" s="218"/>
      <c r="N396" s="178"/>
      <c r="O396" s="178"/>
      <c r="P396" s="178"/>
      <c r="Q396" s="218"/>
      <c r="R396" s="218"/>
      <c r="S396" s="178"/>
      <c r="T396" s="178"/>
      <c r="U396" s="178"/>
      <c r="V396" s="178"/>
      <c r="W396" s="178"/>
      <c r="X396" s="178"/>
      <c r="Y396" s="178"/>
      <c r="Z396" s="178"/>
    </row>
    <row r="397" ht="15.75" customHeight="1">
      <c r="A397" s="217"/>
      <c r="B397" s="217"/>
      <c r="C397" s="220"/>
      <c r="D397" s="220"/>
      <c r="E397" s="220"/>
      <c r="F397" s="220"/>
      <c r="G397" s="220"/>
      <c r="H397" s="220"/>
      <c r="I397" s="220"/>
      <c r="J397" s="220"/>
      <c r="K397" s="220"/>
      <c r="L397" s="218"/>
      <c r="M397" s="218"/>
      <c r="N397" s="178"/>
      <c r="O397" s="178"/>
      <c r="P397" s="178"/>
      <c r="Q397" s="218"/>
      <c r="R397" s="218"/>
      <c r="S397" s="178"/>
      <c r="T397" s="178"/>
      <c r="U397" s="178"/>
      <c r="V397" s="178"/>
      <c r="W397" s="178"/>
      <c r="X397" s="178"/>
      <c r="Y397" s="178"/>
      <c r="Z397" s="178"/>
    </row>
    <row r="398" ht="15.75" customHeight="1">
      <c r="A398" s="217"/>
      <c r="B398" s="217"/>
      <c r="C398" s="220"/>
      <c r="D398" s="220"/>
      <c r="E398" s="220"/>
      <c r="F398" s="220"/>
      <c r="G398" s="220"/>
      <c r="H398" s="220"/>
      <c r="I398" s="220"/>
      <c r="J398" s="220"/>
      <c r="K398" s="220"/>
      <c r="L398" s="218"/>
      <c r="M398" s="218"/>
      <c r="N398" s="178"/>
      <c r="O398" s="178"/>
      <c r="P398" s="178"/>
      <c r="Q398" s="218"/>
      <c r="R398" s="218"/>
      <c r="S398" s="178"/>
      <c r="T398" s="178"/>
      <c r="U398" s="178"/>
      <c r="V398" s="178"/>
      <c r="W398" s="178"/>
      <c r="X398" s="178"/>
      <c r="Y398" s="178"/>
      <c r="Z398" s="178"/>
    </row>
    <row r="399" ht="15.75" customHeight="1">
      <c r="A399" s="217"/>
      <c r="B399" s="217"/>
      <c r="C399" s="220"/>
      <c r="D399" s="220"/>
      <c r="E399" s="220"/>
      <c r="F399" s="220"/>
      <c r="G399" s="220"/>
      <c r="H399" s="220"/>
      <c r="I399" s="220"/>
      <c r="J399" s="220"/>
      <c r="K399" s="220"/>
      <c r="L399" s="218"/>
      <c r="M399" s="218"/>
      <c r="N399" s="178"/>
      <c r="O399" s="178"/>
      <c r="P399" s="178"/>
      <c r="Q399" s="218"/>
      <c r="R399" s="218"/>
      <c r="S399" s="178"/>
      <c r="T399" s="178"/>
      <c r="U399" s="178"/>
      <c r="V399" s="178"/>
      <c r="W399" s="178"/>
      <c r="X399" s="178"/>
      <c r="Y399" s="178"/>
      <c r="Z399" s="178"/>
    </row>
    <row r="400" ht="15.75" customHeight="1">
      <c r="A400" s="217"/>
      <c r="B400" s="217"/>
      <c r="C400" s="220"/>
      <c r="D400" s="220"/>
      <c r="E400" s="220"/>
      <c r="F400" s="220"/>
      <c r="G400" s="220"/>
      <c r="H400" s="220"/>
      <c r="I400" s="220"/>
      <c r="J400" s="220"/>
      <c r="K400" s="220"/>
      <c r="L400" s="218"/>
      <c r="M400" s="218"/>
      <c r="N400" s="178"/>
      <c r="O400" s="178"/>
      <c r="P400" s="178"/>
      <c r="Q400" s="218"/>
      <c r="R400" s="218"/>
      <c r="S400" s="178"/>
      <c r="T400" s="178"/>
      <c r="U400" s="178"/>
      <c r="V400" s="178"/>
      <c r="W400" s="178"/>
      <c r="X400" s="178"/>
      <c r="Y400" s="178"/>
      <c r="Z400" s="178"/>
    </row>
    <row r="401" ht="15.75" customHeight="1">
      <c r="A401" s="217"/>
      <c r="B401" s="217"/>
      <c r="C401" s="220"/>
      <c r="D401" s="220"/>
      <c r="E401" s="220"/>
      <c r="F401" s="220"/>
      <c r="G401" s="220"/>
      <c r="H401" s="220"/>
      <c r="I401" s="220"/>
      <c r="J401" s="220"/>
      <c r="K401" s="220"/>
      <c r="L401" s="218"/>
      <c r="M401" s="218"/>
      <c r="N401" s="178"/>
      <c r="O401" s="178"/>
      <c r="P401" s="178"/>
      <c r="Q401" s="218"/>
      <c r="R401" s="218"/>
      <c r="S401" s="178"/>
      <c r="T401" s="178"/>
      <c r="U401" s="178"/>
      <c r="V401" s="178"/>
      <c r="W401" s="178"/>
      <c r="X401" s="178"/>
      <c r="Y401" s="178"/>
      <c r="Z401" s="178"/>
    </row>
    <row r="402" ht="15.75" customHeight="1">
      <c r="A402" s="217"/>
      <c r="B402" s="217"/>
      <c r="C402" s="220"/>
      <c r="D402" s="220"/>
      <c r="E402" s="220"/>
      <c r="F402" s="220"/>
      <c r="G402" s="220"/>
      <c r="H402" s="220"/>
      <c r="I402" s="220"/>
      <c r="J402" s="220"/>
      <c r="K402" s="220"/>
      <c r="L402" s="218"/>
      <c r="M402" s="218"/>
      <c r="N402" s="178"/>
      <c r="O402" s="178"/>
      <c r="P402" s="178"/>
      <c r="Q402" s="218"/>
      <c r="R402" s="218"/>
      <c r="S402" s="178"/>
      <c r="T402" s="178"/>
      <c r="U402" s="178"/>
      <c r="V402" s="178"/>
      <c r="W402" s="178"/>
      <c r="X402" s="178"/>
      <c r="Y402" s="178"/>
      <c r="Z402" s="178"/>
    </row>
    <row r="403" ht="15.75" customHeight="1">
      <c r="A403" s="217"/>
      <c r="B403" s="217"/>
      <c r="C403" s="220"/>
      <c r="D403" s="220"/>
      <c r="E403" s="220"/>
      <c r="F403" s="220"/>
      <c r="G403" s="220"/>
      <c r="H403" s="220"/>
      <c r="I403" s="220"/>
      <c r="J403" s="220"/>
      <c r="K403" s="220"/>
      <c r="L403" s="218"/>
      <c r="M403" s="218"/>
      <c r="N403" s="178"/>
      <c r="O403" s="178"/>
      <c r="P403" s="178"/>
      <c r="Q403" s="218"/>
      <c r="R403" s="218"/>
      <c r="S403" s="178"/>
      <c r="T403" s="178"/>
      <c r="U403" s="178"/>
      <c r="V403" s="178"/>
      <c r="W403" s="178"/>
      <c r="X403" s="178"/>
      <c r="Y403" s="178"/>
      <c r="Z403" s="178"/>
    </row>
    <row r="404" ht="15.75" customHeight="1">
      <c r="A404" s="217"/>
      <c r="B404" s="217"/>
      <c r="C404" s="220"/>
      <c r="D404" s="220"/>
      <c r="E404" s="220"/>
      <c r="F404" s="220"/>
      <c r="G404" s="220"/>
      <c r="H404" s="220"/>
      <c r="I404" s="220"/>
      <c r="J404" s="220"/>
      <c r="K404" s="220"/>
      <c r="L404" s="218"/>
      <c r="M404" s="218"/>
      <c r="N404" s="178"/>
      <c r="O404" s="178"/>
      <c r="P404" s="178"/>
      <c r="Q404" s="218"/>
      <c r="R404" s="218"/>
      <c r="S404" s="178"/>
      <c r="T404" s="178"/>
      <c r="U404" s="178"/>
      <c r="V404" s="178"/>
      <c r="W404" s="178"/>
      <c r="X404" s="178"/>
      <c r="Y404" s="178"/>
      <c r="Z404" s="178"/>
    </row>
    <row r="405" ht="15.75" customHeight="1">
      <c r="A405" s="217"/>
      <c r="B405" s="217"/>
      <c r="C405" s="220"/>
      <c r="D405" s="220"/>
      <c r="E405" s="220"/>
      <c r="F405" s="220"/>
      <c r="G405" s="220"/>
      <c r="H405" s="220"/>
      <c r="I405" s="220"/>
      <c r="J405" s="220"/>
      <c r="K405" s="220"/>
      <c r="L405" s="218"/>
      <c r="M405" s="218"/>
      <c r="N405" s="178"/>
      <c r="O405" s="178"/>
      <c r="P405" s="178"/>
      <c r="Q405" s="218"/>
      <c r="R405" s="218"/>
      <c r="S405" s="178"/>
      <c r="T405" s="178"/>
      <c r="U405" s="178"/>
      <c r="V405" s="178"/>
      <c r="W405" s="178"/>
      <c r="X405" s="178"/>
      <c r="Y405" s="178"/>
      <c r="Z405" s="178"/>
    </row>
    <row r="406" ht="15.75" customHeight="1">
      <c r="A406" s="217"/>
      <c r="B406" s="217"/>
      <c r="C406" s="220"/>
      <c r="D406" s="220"/>
      <c r="E406" s="220"/>
      <c r="F406" s="220"/>
      <c r="G406" s="220"/>
      <c r="H406" s="220"/>
      <c r="I406" s="220"/>
      <c r="J406" s="220"/>
      <c r="K406" s="220"/>
      <c r="L406" s="218"/>
      <c r="M406" s="218"/>
      <c r="N406" s="178"/>
      <c r="O406" s="178"/>
      <c r="P406" s="178"/>
      <c r="Q406" s="218"/>
      <c r="R406" s="218"/>
      <c r="S406" s="178"/>
      <c r="T406" s="178"/>
      <c r="U406" s="178"/>
      <c r="V406" s="178"/>
      <c r="W406" s="178"/>
      <c r="X406" s="178"/>
      <c r="Y406" s="178"/>
      <c r="Z406" s="178"/>
    </row>
    <row r="407" ht="15.75" customHeight="1">
      <c r="A407" s="217"/>
      <c r="B407" s="217"/>
      <c r="C407" s="220"/>
      <c r="D407" s="220"/>
      <c r="E407" s="220"/>
      <c r="F407" s="220"/>
      <c r="G407" s="220"/>
      <c r="H407" s="220"/>
      <c r="I407" s="220"/>
      <c r="J407" s="220"/>
      <c r="K407" s="220"/>
      <c r="L407" s="218"/>
      <c r="M407" s="218"/>
      <c r="N407" s="178"/>
      <c r="O407" s="178"/>
      <c r="P407" s="178"/>
      <c r="Q407" s="218"/>
      <c r="R407" s="218"/>
      <c r="S407" s="178"/>
      <c r="T407" s="178"/>
      <c r="U407" s="178"/>
      <c r="V407" s="178"/>
      <c r="W407" s="178"/>
      <c r="X407" s="178"/>
      <c r="Y407" s="178"/>
      <c r="Z407" s="178"/>
    </row>
    <row r="408" ht="15.75" customHeight="1">
      <c r="A408" s="217"/>
      <c r="B408" s="217"/>
      <c r="C408" s="220"/>
      <c r="D408" s="220"/>
      <c r="E408" s="220"/>
      <c r="F408" s="220"/>
      <c r="G408" s="220"/>
      <c r="H408" s="220"/>
      <c r="I408" s="220"/>
      <c r="J408" s="220"/>
      <c r="K408" s="220"/>
      <c r="L408" s="218"/>
      <c r="M408" s="218"/>
      <c r="N408" s="178"/>
      <c r="O408" s="178"/>
      <c r="P408" s="178"/>
      <c r="Q408" s="218"/>
      <c r="R408" s="218"/>
      <c r="S408" s="178"/>
      <c r="T408" s="178"/>
      <c r="U408" s="178"/>
      <c r="V408" s="178"/>
      <c r="W408" s="178"/>
      <c r="X408" s="178"/>
      <c r="Y408" s="178"/>
      <c r="Z408" s="178"/>
    </row>
    <row r="409" ht="15.75" customHeight="1">
      <c r="A409" s="217"/>
      <c r="B409" s="217"/>
      <c r="C409" s="220"/>
      <c r="D409" s="220"/>
      <c r="E409" s="220"/>
      <c r="F409" s="220"/>
      <c r="G409" s="220"/>
      <c r="H409" s="220"/>
      <c r="I409" s="220"/>
      <c r="J409" s="220"/>
      <c r="K409" s="220"/>
      <c r="L409" s="218"/>
      <c r="M409" s="218"/>
      <c r="N409" s="178"/>
      <c r="O409" s="178"/>
      <c r="P409" s="178"/>
      <c r="Q409" s="218"/>
      <c r="R409" s="218"/>
      <c r="S409" s="178"/>
      <c r="T409" s="178"/>
      <c r="U409" s="178"/>
      <c r="V409" s="178"/>
      <c r="W409" s="178"/>
      <c r="X409" s="178"/>
      <c r="Y409" s="178"/>
      <c r="Z409" s="178"/>
    </row>
    <row r="410" ht="15.75" customHeight="1">
      <c r="A410" s="217"/>
      <c r="B410" s="217"/>
      <c r="C410" s="220"/>
      <c r="D410" s="220"/>
      <c r="E410" s="220"/>
      <c r="F410" s="220"/>
      <c r="G410" s="220"/>
      <c r="H410" s="220"/>
      <c r="I410" s="220"/>
      <c r="J410" s="220"/>
      <c r="K410" s="220"/>
      <c r="L410" s="218"/>
      <c r="M410" s="218"/>
      <c r="N410" s="178"/>
      <c r="O410" s="178"/>
      <c r="P410" s="178"/>
      <c r="Q410" s="218"/>
      <c r="R410" s="218"/>
      <c r="S410" s="178"/>
      <c r="T410" s="178"/>
      <c r="U410" s="178"/>
      <c r="V410" s="178"/>
      <c r="W410" s="178"/>
      <c r="X410" s="178"/>
      <c r="Y410" s="178"/>
      <c r="Z410" s="178"/>
    </row>
    <row r="411" ht="15.75" customHeight="1">
      <c r="A411" s="217"/>
      <c r="B411" s="217"/>
      <c r="C411" s="220"/>
      <c r="D411" s="220"/>
      <c r="E411" s="220"/>
      <c r="F411" s="220"/>
      <c r="G411" s="220"/>
      <c r="H411" s="220"/>
      <c r="I411" s="220"/>
      <c r="J411" s="220"/>
      <c r="K411" s="220"/>
      <c r="L411" s="218"/>
      <c r="M411" s="218"/>
      <c r="N411" s="178"/>
      <c r="O411" s="178"/>
      <c r="P411" s="178"/>
      <c r="Q411" s="218"/>
      <c r="R411" s="218"/>
      <c r="S411" s="178"/>
      <c r="T411" s="178"/>
      <c r="U411" s="178"/>
      <c r="V411" s="178"/>
      <c r="W411" s="178"/>
      <c r="X411" s="178"/>
      <c r="Y411" s="178"/>
      <c r="Z411" s="178"/>
    </row>
    <row r="412" ht="15.75" customHeight="1">
      <c r="A412" s="217"/>
      <c r="B412" s="217"/>
      <c r="C412" s="220"/>
      <c r="D412" s="220"/>
      <c r="E412" s="220"/>
      <c r="F412" s="220"/>
      <c r="G412" s="220"/>
      <c r="H412" s="220"/>
      <c r="I412" s="220"/>
      <c r="J412" s="220"/>
      <c r="K412" s="220"/>
      <c r="L412" s="218"/>
      <c r="M412" s="218"/>
      <c r="N412" s="178"/>
      <c r="O412" s="178"/>
      <c r="P412" s="178"/>
      <c r="Q412" s="218"/>
      <c r="R412" s="218"/>
      <c r="S412" s="178"/>
      <c r="T412" s="178"/>
      <c r="U412" s="178"/>
      <c r="V412" s="178"/>
      <c r="W412" s="178"/>
      <c r="X412" s="178"/>
      <c r="Y412" s="178"/>
      <c r="Z412" s="178"/>
    </row>
    <row r="413" ht="15.75" customHeight="1">
      <c r="A413" s="217"/>
      <c r="B413" s="217"/>
      <c r="C413" s="220"/>
      <c r="D413" s="220"/>
      <c r="E413" s="220"/>
      <c r="F413" s="220"/>
      <c r="G413" s="220"/>
      <c r="H413" s="220"/>
      <c r="I413" s="220"/>
      <c r="J413" s="220"/>
      <c r="K413" s="220"/>
      <c r="L413" s="218"/>
      <c r="M413" s="218"/>
      <c r="N413" s="178"/>
      <c r="O413" s="178"/>
      <c r="P413" s="178"/>
      <c r="Q413" s="218"/>
      <c r="R413" s="218"/>
      <c r="S413" s="178"/>
      <c r="T413" s="178"/>
      <c r="U413" s="178"/>
      <c r="V413" s="178"/>
      <c r="W413" s="178"/>
      <c r="X413" s="178"/>
      <c r="Y413" s="178"/>
      <c r="Z413" s="178"/>
    </row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1"/>
    <hyperlink r:id="rId2" ref="C1"/>
    <hyperlink r:id="rId3" ref="D1"/>
    <hyperlink r:id="rId4" ref="E1"/>
    <hyperlink r:id="rId5" ref="N1"/>
    <hyperlink r:id="rId6" ref="O1"/>
    <hyperlink r:id="rId7" ref="B2"/>
    <hyperlink r:id="rId8" ref="C2"/>
    <hyperlink r:id="rId9" ref="D2"/>
    <hyperlink r:id="rId10" ref="E2"/>
    <hyperlink r:id="rId11" ref="F2"/>
    <hyperlink r:id="rId12" ref="N2"/>
    <hyperlink r:id="rId13" ref="O2"/>
    <hyperlink r:id="rId14" ref="B3"/>
    <hyperlink r:id="rId15" ref="C3"/>
    <hyperlink r:id="rId16" ref="D3"/>
    <hyperlink r:id="rId17" ref="E3"/>
    <hyperlink r:id="rId18" ref="F3"/>
    <hyperlink r:id="rId19" ref="G3"/>
    <hyperlink r:id="rId20" ref="N3"/>
    <hyperlink r:id="rId21" ref="O3"/>
    <hyperlink r:id="rId22" ref="B4"/>
    <hyperlink r:id="rId23" ref="C4"/>
    <hyperlink r:id="rId24" ref="D4"/>
    <hyperlink r:id="rId25" ref="F4"/>
    <hyperlink r:id="rId26" ref="B5"/>
    <hyperlink r:id="rId27" ref="C5"/>
    <hyperlink r:id="rId28" ref="D5"/>
    <hyperlink r:id="rId29" ref="E5"/>
    <hyperlink r:id="rId30" ref="F5"/>
    <hyperlink r:id="rId31" ref="G5"/>
    <hyperlink r:id="rId32" ref="H5"/>
    <hyperlink r:id="rId33" ref="I5"/>
    <hyperlink r:id="rId34" ref="J5"/>
    <hyperlink r:id="rId35" ref="K5"/>
    <hyperlink r:id="rId36" ref="L5"/>
    <hyperlink r:id="rId37" ref="N5"/>
    <hyperlink r:id="rId38" ref="O5"/>
    <hyperlink r:id="rId39" ref="P5"/>
    <hyperlink r:id="rId40" ref="Q5"/>
    <hyperlink r:id="rId41" ref="R5"/>
    <hyperlink r:id="rId42" ref="S5"/>
    <hyperlink r:id="rId43" ref="T5"/>
    <hyperlink r:id="rId44" ref="U5"/>
    <hyperlink r:id="rId45" ref="V5"/>
    <hyperlink r:id="rId46" ref="W5"/>
    <hyperlink r:id="rId47" ref="X5"/>
    <hyperlink r:id="rId48" ref="Y5"/>
    <hyperlink r:id="rId49" ref="B6"/>
    <hyperlink r:id="rId50" ref="C6"/>
    <hyperlink r:id="rId51" ref="D6"/>
    <hyperlink r:id="rId52" ref="E6"/>
    <hyperlink r:id="rId53" ref="F6"/>
    <hyperlink r:id="rId54" ref="G6"/>
    <hyperlink r:id="rId55" ref="H6"/>
    <hyperlink r:id="rId56" ref="I6"/>
    <hyperlink r:id="rId57" ref="J6"/>
    <hyperlink r:id="rId58" ref="K6"/>
    <hyperlink r:id="rId59" ref="L6"/>
    <hyperlink r:id="rId60" ref="N6"/>
    <hyperlink r:id="rId61" ref="O6"/>
    <hyperlink r:id="rId62" ref="P6"/>
    <hyperlink r:id="rId63" ref="Q6"/>
    <hyperlink r:id="rId64" ref="R6"/>
    <hyperlink r:id="rId65" ref="S6"/>
    <hyperlink r:id="rId66" ref="T6"/>
    <hyperlink r:id="rId67" ref="U6"/>
    <hyperlink r:id="rId68" ref="V6"/>
    <hyperlink r:id="rId69" ref="W6"/>
    <hyperlink r:id="rId70" ref="X6"/>
    <hyperlink r:id="rId71" ref="Y6"/>
    <hyperlink r:id="rId72" ref="C7"/>
    <hyperlink r:id="rId73" ref="D7"/>
    <hyperlink r:id="rId74" ref="E7"/>
    <hyperlink r:id="rId75" ref="F7"/>
    <hyperlink r:id="rId76" ref="G7"/>
    <hyperlink r:id="rId77" ref="H7"/>
    <hyperlink r:id="rId78" ref="I7"/>
    <hyperlink r:id="rId79" ref="J7"/>
    <hyperlink r:id="rId80" ref="K7"/>
    <hyperlink r:id="rId81" ref="L7"/>
    <hyperlink r:id="rId82" ref="N7"/>
    <hyperlink r:id="rId83" ref="O7"/>
    <hyperlink r:id="rId84" ref="P7"/>
    <hyperlink r:id="rId85" ref="Q7"/>
    <hyperlink r:id="rId86" ref="R7"/>
    <hyperlink r:id="rId87" ref="S7"/>
    <hyperlink r:id="rId88" ref="T7"/>
    <hyperlink r:id="rId89" ref="U7"/>
    <hyperlink r:id="rId90" ref="V7"/>
    <hyperlink r:id="rId91" ref="W7"/>
    <hyperlink r:id="rId92" ref="X7"/>
    <hyperlink r:id="rId93" ref="Y7"/>
    <hyperlink r:id="rId94" ref="C8"/>
    <hyperlink r:id="rId95" ref="D8"/>
    <hyperlink r:id="rId96" ref="E8"/>
    <hyperlink r:id="rId97" ref="F8"/>
    <hyperlink r:id="rId98" ref="G8"/>
    <hyperlink r:id="rId99" ref="H8"/>
    <hyperlink r:id="rId100" ref="I8"/>
    <hyperlink r:id="rId101" ref="J8"/>
    <hyperlink r:id="rId102" ref="K8"/>
    <hyperlink r:id="rId103" ref="L8"/>
    <hyperlink r:id="rId104" ref="N8"/>
    <hyperlink r:id="rId105" ref="O8"/>
    <hyperlink r:id="rId106" ref="P8"/>
    <hyperlink r:id="rId107" ref="Q8"/>
    <hyperlink r:id="rId108" ref="R8"/>
    <hyperlink r:id="rId109" ref="S8"/>
    <hyperlink r:id="rId110" ref="T8"/>
    <hyperlink r:id="rId111" ref="U8"/>
    <hyperlink r:id="rId112" ref="V8"/>
    <hyperlink r:id="rId113" ref="W8"/>
    <hyperlink r:id="rId114" ref="X8"/>
    <hyperlink r:id="rId115" ref="Y8"/>
    <hyperlink r:id="rId116" ref="C9"/>
    <hyperlink r:id="rId117" ref="D9"/>
    <hyperlink r:id="rId118" ref="E9"/>
    <hyperlink r:id="rId119" ref="F9"/>
    <hyperlink r:id="rId120" ref="G9"/>
    <hyperlink r:id="rId121" ref="H9"/>
    <hyperlink r:id="rId122" ref="I9"/>
    <hyperlink r:id="rId123" ref="J9"/>
    <hyperlink r:id="rId124" ref="K9"/>
    <hyperlink r:id="rId125" ref="L9"/>
    <hyperlink r:id="rId126" ref="N9"/>
    <hyperlink r:id="rId127" ref="O9"/>
    <hyperlink r:id="rId128" ref="P9"/>
    <hyperlink r:id="rId129" ref="Q9"/>
    <hyperlink r:id="rId130" ref="R9"/>
    <hyperlink r:id="rId131" ref="S9"/>
    <hyperlink r:id="rId132" ref="T9"/>
    <hyperlink r:id="rId133" ref="U9"/>
    <hyperlink r:id="rId134" ref="V9"/>
    <hyperlink r:id="rId135" ref="W9"/>
    <hyperlink r:id="rId136" ref="X9"/>
    <hyperlink r:id="rId137" ref="Y9"/>
    <hyperlink r:id="rId138" ref="C10"/>
    <hyperlink r:id="rId139" ref="D10"/>
    <hyperlink r:id="rId140" ref="E10"/>
    <hyperlink r:id="rId141" ref="F10"/>
    <hyperlink r:id="rId142" ref="G10"/>
    <hyperlink r:id="rId143" ref="H10"/>
    <hyperlink r:id="rId144" ref="I10"/>
    <hyperlink r:id="rId145" ref="J10"/>
    <hyperlink r:id="rId146" ref="K10"/>
    <hyperlink r:id="rId147" ref="L10"/>
    <hyperlink r:id="rId148" ref="N10"/>
    <hyperlink r:id="rId149" ref="O10"/>
    <hyperlink r:id="rId150" ref="P10"/>
    <hyperlink r:id="rId151" ref="Q10"/>
    <hyperlink r:id="rId152" ref="R10"/>
    <hyperlink r:id="rId153" ref="S10"/>
    <hyperlink r:id="rId154" ref="T10"/>
    <hyperlink r:id="rId155" ref="U10"/>
    <hyperlink r:id="rId156" ref="V10"/>
    <hyperlink r:id="rId157" ref="W10"/>
    <hyperlink r:id="rId158" ref="X10"/>
    <hyperlink r:id="rId159" ref="Y10"/>
    <hyperlink r:id="rId160" ref="C11"/>
    <hyperlink r:id="rId161" ref="D11"/>
    <hyperlink r:id="rId162" ref="E11"/>
    <hyperlink r:id="rId163" ref="F11"/>
    <hyperlink r:id="rId164" ref="G11"/>
    <hyperlink r:id="rId165" ref="H11"/>
    <hyperlink r:id="rId166" ref="I11"/>
    <hyperlink r:id="rId167" ref="J11"/>
    <hyperlink r:id="rId168" ref="K11"/>
    <hyperlink r:id="rId169" ref="L11"/>
    <hyperlink r:id="rId170" ref="N11"/>
    <hyperlink r:id="rId171" ref="O11"/>
    <hyperlink r:id="rId172" ref="P11"/>
    <hyperlink r:id="rId173" ref="Q11"/>
    <hyperlink r:id="rId174" ref="R11"/>
    <hyperlink r:id="rId175" ref="S11"/>
    <hyperlink r:id="rId176" ref="T11"/>
    <hyperlink r:id="rId177" ref="U11"/>
    <hyperlink r:id="rId178" ref="V11"/>
    <hyperlink r:id="rId179" ref="W11"/>
    <hyperlink r:id="rId180" ref="X11"/>
    <hyperlink r:id="rId181" ref="Y11"/>
    <hyperlink r:id="rId182" ref="C12"/>
    <hyperlink r:id="rId183" ref="D12"/>
    <hyperlink r:id="rId184" ref="E12"/>
    <hyperlink r:id="rId185" ref="F12"/>
    <hyperlink r:id="rId186" ref="G12"/>
    <hyperlink r:id="rId187" ref="H12"/>
    <hyperlink r:id="rId188" ref="I12"/>
    <hyperlink r:id="rId189" ref="J12"/>
    <hyperlink r:id="rId190" ref="K12"/>
    <hyperlink r:id="rId191" ref="L12"/>
    <hyperlink r:id="rId192" ref="N12"/>
    <hyperlink r:id="rId193" ref="O12"/>
    <hyperlink r:id="rId194" ref="P12"/>
    <hyperlink r:id="rId195" ref="Q12"/>
    <hyperlink r:id="rId196" ref="R12"/>
    <hyperlink r:id="rId197" ref="S12"/>
    <hyperlink r:id="rId198" ref="T12"/>
    <hyperlink r:id="rId199" ref="U12"/>
    <hyperlink r:id="rId200" ref="V12"/>
    <hyperlink r:id="rId201" ref="W12"/>
    <hyperlink r:id="rId202" ref="X12"/>
    <hyperlink r:id="rId203" ref="Y12"/>
    <hyperlink r:id="rId204" ref="C13"/>
    <hyperlink r:id="rId205" ref="D13"/>
    <hyperlink r:id="rId206" ref="E13"/>
    <hyperlink r:id="rId207" ref="F13"/>
    <hyperlink r:id="rId208" ref="G13"/>
    <hyperlink r:id="rId209" ref="H13"/>
    <hyperlink r:id="rId210" ref="I13"/>
    <hyperlink r:id="rId211" ref="J13"/>
    <hyperlink r:id="rId212" ref="K13"/>
    <hyperlink r:id="rId213" ref="L13"/>
    <hyperlink r:id="rId214" ref="N13"/>
    <hyperlink r:id="rId215" ref="O13"/>
    <hyperlink r:id="rId216" ref="P13"/>
    <hyperlink r:id="rId217" ref="Q13"/>
    <hyperlink r:id="rId218" ref="R13"/>
    <hyperlink r:id="rId219" ref="S13"/>
    <hyperlink r:id="rId220" ref="T13"/>
    <hyperlink r:id="rId221" ref="U13"/>
    <hyperlink r:id="rId222" ref="V13"/>
    <hyperlink r:id="rId223" ref="W13"/>
    <hyperlink r:id="rId224" ref="X13"/>
    <hyperlink r:id="rId225" ref="Y13"/>
    <hyperlink r:id="rId226" ref="C14"/>
    <hyperlink r:id="rId227" ref="D14"/>
    <hyperlink r:id="rId228" ref="E14"/>
    <hyperlink r:id="rId229" ref="F14"/>
    <hyperlink r:id="rId230" ref="G14"/>
    <hyperlink r:id="rId231" ref="H14"/>
    <hyperlink r:id="rId232" ref="I14"/>
    <hyperlink r:id="rId233" ref="J14"/>
    <hyperlink r:id="rId234" ref="K14"/>
    <hyperlink r:id="rId235" ref="L14"/>
    <hyperlink r:id="rId236" ref="N14"/>
    <hyperlink r:id="rId237" ref="O14"/>
    <hyperlink r:id="rId238" ref="P14"/>
    <hyperlink r:id="rId239" ref="Q14"/>
    <hyperlink r:id="rId240" ref="R14"/>
    <hyperlink r:id="rId241" ref="S14"/>
    <hyperlink r:id="rId242" ref="T14"/>
    <hyperlink r:id="rId243" ref="U14"/>
    <hyperlink r:id="rId244" ref="V14"/>
    <hyperlink r:id="rId245" ref="W14"/>
    <hyperlink r:id="rId246" ref="X14"/>
    <hyperlink r:id="rId247" ref="Y14"/>
    <hyperlink r:id="rId248" ref="C15"/>
    <hyperlink r:id="rId249" ref="D15"/>
    <hyperlink r:id="rId250" ref="E15"/>
    <hyperlink r:id="rId251" ref="F15"/>
    <hyperlink r:id="rId252" ref="G15"/>
    <hyperlink r:id="rId253" ref="H15"/>
    <hyperlink r:id="rId254" ref="I15"/>
    <hyperlink r:id="rId255" ref="J15"/>
    <hyperlink r:id="rId256" ref="K15"/>
    <hyperlink r:id="rId257" ref="L15"/>
    <hyperlink r:id="rId258" ref="N15"/>
    <hyperlink r:id="rId259" ref="O15"/>
    <hyperlink r:id="rId260" ref="P15"/>
    <hyperlink r:id="rId261" ref="Q15"/>
    <hyperlink r:id="rId262" ref="R15"/>
    <hyperlink r:id="rId263" ref="S15"/>
    <hyperlink r:id="rId264" ref="T15"/>
    <hyperlink r:id="rId265" ref="U15"/>
    <hyperlink r:id="rId266" ref="V15"/>
    <hyperlink r:id="rId267" ref="W15"/>
    <hyperlink r:id="rId268" ref="X15"/>
    <hyperlink r:id="rId269" ref="Y15"/>
    <hyperlink r:id="rId270" ref="C16"/>
    <hyperlink r:id="rId271" ref="D16"/>
    <hyperlink r:id="rId272" ref="E16"/>
    <hyperlink r:id="rId273" ref="F16"/>
    <hyperlink r:id="rId274" ref="G16"/>
    <hyperlink r:id="rId275" ref="H16"/>
    <hyperlink r:id="rId276" ref="I16"/>
    <hyperlink r:id="rId277" ref="J16"/>
    <hyperlink r:id="rId278" ref="K16"/>
    <hyperlink r:id="rId279" ref="L16"/>
    <hyperlink r:id="rId280" ref="N16"/>
    <hyperlink r:id="rId281" ref="O16"/>
    <hyperlink r:id="rId282" ref="P16"/>
    <hyperlink r:id="rId283" ref="Q16"/>
    <hyperlink r:id="rId284" ref="R16"/>
    <hyperlink r:id="rId285" ref="S16"/>
    <hyperlink r:id="rId286" ref="T16"/>
    <hyperlink r:id="rId287" ref="U16"/>
    <hyperlink r:id="rId288" ref="V16"/>
    <hyperlink r:id="rId289" ref="W16"/>
    <hyperlink r:id="rId290" ref="X16"/>
    <hyperlink r:id="rId291" ref="Y16"/>
    <hyperlink r:id="rId292" ref="C17"/>
    <hyperlink r:id="rId293" ref="D17"/>
    <hyperlink r:id="rId294" ref="E17"/>
    <hyperlink r:id="rId295" ref="F17"/>
    <hyperlink r:id="rId296" ref="G17"/>
    <hyperlink r:id="rId297" ref="H17"/>
    <hyperlink r:id="rId298" ref="I17"/>
    <hyperlink r:id="rId299" ref="J17"/>
    <hyperlink r:id="rId300" ref="K17"/>
    <hyperlink r:id="rId301" ref="L17"/>
    <hyperlink r:id="rId302" ref="N17"/>
    <hyperlink r:id="rId303" ref="O17"/>
    <hyperlink r:id="rId304" ref="P17"/>
    <hyperlink r:id="rId305" ref="Q17"/>
    <hyperlink r:id="rId306" ref="R17"/>
    <hyperlink r:id="rId307" ref="S17"/>
    <hyperlink r:id="rId308" ref="T17"/>
    <hyperlink r:id="rId309" ref="U17"/>
    <hyperlink r:id="rId310" ref="V17"/>
    <hyperlink r:id="rId311" ref="W17"/>
    <hyperlink r:id="rId312" ref="X17"/>
    <hyperlink r:id="rId313" ref="Y17"/>
    <hyperlink r:id="rId314" ref="C18"/>
    <hyperlink r:id="rId315" ref="D18"/>
    <hyperlink r:id="rId316" ref="E18"/>
    <hyperlink r:id="rId317" ref="F18"/>
    <hyperlink r:id="rId318" ref="G18"/>
    <hyperlink r:id="rId319" ref="H18"/>
    <hyperlink r:id="rId320" ref="I18"/>
    <hyperlink r:id="rId321" ref="J18"/>
    <hyperlink r:id="rId322" ref="K18"/>
    <hyperlink r:id="rId323" ref="L18"/>
    <hyperlink r:id="rId324" ref="N18"/>
    <hyperlink r:id="rId325" ref="O18"/>
    <hyperlink r:id="rId326" ref="P18"/>
    <hyperlink r:id="rId327" ref="Q18"/>
    <hyperlink r:id="rId328" ref="R18"/>
    <hyperlink r:id="rId329" ref="S18"/>
    <hyperlink r:id="rId330" ref="T18"/>
    <hyperlink r:id="rId331" ref="U18"/>
    <hyperlink r:id="rId332" ref="V18"/>
    <hyperlink r:id="rId333" ref="W18"/>
    <hyperlink r:id="rId334" ref="X18"/>
    <hyperlink r:id="rId335" ref="Y18"/>
    <hyperlink r:id="rId336" ref="C19"/>
    <hyperlink r:id="rId337" ref="D19"/>
    <hyperlink r:id="rId338" ref="E19"/>
    <hyperlink r:id="rId339" ref="F19"/>
    <hyperlink r:id="rId340" ref="G19"/>
    <hyperlink r:id="rId341" ref="H19"/>
    <hyperlink r:id="rId342" ref="I19"/>
    <hyperlink r:id="rId343" ref="J19"/>
    <hyperlink r:id="rId344" ref="K19"/>
    <hyperlink r:id="rId345" ref="L19"/>
    <hyperlink r:id="rId346" ref="N19"/>
    <hyperlink r:id="rId347" ref="O19"/>
    <hyperlink r:id="rId348" ref="P19"/>
    <hyperlink r:id="rId349" ref="Q19"/>
    <hyperlink r:id="rId350" ref="R19"/>
    <hyperlink r:id="rId351" ref="S19"/>
    <hyperlink r:id="rId352" ref="T19"/>
    <hyperlink r:id="rId353" ref="U19"/>
    <hyperlink r:id="rId354" ref="V19"/>
    <hyperlink r:id="rId355" ref="W19"/>
    <hyperlink r:id="rId356" ref="X19"/>
    <hyperlink r:id="rId357" ref="Y19"/>
    <hyperlink r:id="rId358" ref="N20"/>
    <hyperlink r:id="rId359" ref="O20"/>
    <hyperlink r:id="rId360" ref="P20"/>
    <hyperlink r:id="rId361" ref="C21"/>
    <hyperlink r:id="rId362" ref="D21"/>
    <hyperlink r:id="rId363" ref="E21"/>
    <hyperlink r:id="rId364" ref="F21"/>
    <hyperlink r:id="rId365" ref="G21"/>
    <hyperlink r:id="rId366" ref="H21"/>
    <hyperlink r:id="rId367" ref="I21"/>
    <hyperlink r:id="rId368" ref="J21"/>
    <hyperlink r:id="rId369" ref="K21"/>
    <hyperlink r:id="rId370" ref="L21"/>
    <hyperlink r:id="rId371" ref="N21"/>
    <hyperlink r:id="rId372" ref="O21"/>
    <hyperlink r:id="rId373" ref="P21"/>
    <hyperlink r:id="rId374" ref="Q21"/>
    <hyperlink r:id="rId375" ref="R21"/>
    <hyperlink r:id="rId376" ref="S21"/>
    <hyperlink r:id="rId377" ref="T21"/>
    <hyperlink r:id="rId378" ref="U21"/>
    <hyperlink r:id="rId379" ref="V21"/>
    <hyperlink r:id="rId380" ref="W21"/>
    <hyperlink r:id="rId381" ref="X21"/>
    <hyperlink r:id="rId382" ref="Y21"/>
    <hyperlink r:id="rId383" ref="C22"/>
    <hyperlink r:id="rId384" ref="D22"/>
    <hyperlink r:id="rId385" ref="E22"/>
    <hyperlink r:id="rId386" ref="F22"/>
    <hyperlink r:id="rId387" ref="G22"/>
    <hyperlink r:id="rId388" ref="H22"/>
    <hyperlink r:id="rId389" ref="I22"/>
    <hyperlink r:id="rId390" ref="J22"/>
    <hyperlink r:id="rId391" ref="K22"/>
    <hyperlink r:id="rId392" ref="L22"/>
    <hyperlink r:id="rId393" ref="N22"/>
    <hyperlink r:id="rId394" ref="O22"/>
    <hyperlink r:id="rId395" ref="P22"/>
    <hyperlink r:id="rId396" ref="Q22"/>
    <hyperlink r:id="rId397" ref="R22"/>
    <hyperlink r:id="rId398" ref="S22"/>
    <hyperlink r:id="rId399" ref="T22"/>
    <hyperlink r:id="rId400" ref="U22"/>
    <hyperlink r:id="rId401" ref="V22"/>
    <hyperlink r:id="rId402" ref="W22"/>
    <hyperlink r:id="rId403" ref="X22"/>
    <hyperlink r:id="rId404" ref="Y22"/>
    <hyperlink r:id="rId405" ref="C23"/>
    <hyperlink r:id="rId406" ref="D23"/>
    <hyperlink r:id="rId407" ref="E23"/>
    <hyperlink r:id="rId408" ref="F23"/>
    <hyperlink r:id="rId409" ref="G23"/>
    <hyperlink r:id="rId410" ref="H23"/>
    <hyperlink r:id="rId411" ref="I23"/>
    <hyperlink r:id="rId412" ref="J23"/>
    <hyperlink r:id="rId413" ref="K23"/>
    <hyperlink r:id="rId414" ref="L23"/>
    <hyperlink r:id="rId415" ref="N23"/>
    <hyperlink r:id="rId416" ref="O23"/>
    <hyperlink r:id="rId417" ref="P23"/>
    <hyperlink r:id="rId418" ref="Q23"/>
    <hyperlink r:id="rId419" ref="R23"/>
    <hyperlink r:id="rId420" ref="S23"/>
    <hyperlink r:id="rId421" ref="T23"/>
    <hyperlink r:id="rId422" ref="U23"/>
    <hyperlink r:id="rId423" ref="V23"/>
    <hyperlink r:id="rId424" ref="W23"/>
    <hyperlink r:id="rId425" ref="X23"/>
    <hyperlink r:id="rId426" ref="Y23"/>
    <hyperlink r:id="rId427" ref="C24"/>
    <hyperlink r:id="rId428" ref="D24"/>
    <hyperlink r:id="rId429" ref="E24"/>
    <hyperlink r:id="rId430" ref="F24"/>
    <hyperlink r:id="rId431" ref="G24"/>
    <hyperlink r:id="rId432" ref="H24"/>
    <hyperlink r:id="rId433" ref="I24"/>
    <hyperlink r:id="rId434" ref="J24"/>
    <hyperlink r:id="rId435" ref="K24"/>
    <hyperlink r:id="rId436" ref="L24"/>
    <hyperlink r:id="rId437" ref="N24"/>
    <hyperlink r:id="rId438" ref="O24"/>
    <hyperlink r:id="rId439" ref="P24"/>
    <hyperlink r:id="rId440" ref="Q24"/>
    <hyperlink r:id="rId441" ref="R24"/>
    <hyperlink r:id="rId442" ref="S24"/>
    <hyperlink r:id="rId443" ref="T24"/>
    <hyperlink r:id="rId444" ref="U24"/>
    <hyperlink r:id="rId445" ref="V24"/>
    <hyperlink r:id="rId446" ref="W24"/>
    <hyperlink r:id="rId447" ref="X24"/>
    <hyperlink r:id="rId448" ref="Y24"/>
    <hyperlink r:id="rId449" ref="C25"/>
    <hyperlink r:id="rId450" ref="D25"/>
    <hyperlink r:id="rId451" ref="E25"/>
    <hyperlink r:id="rId452" ref="F25"/>
    <hyperlink r:id="rId453" ref="G25"/>
    <hyperlink r:id="rId454" ref="H25"/>
    <hyperlink r:id="rId455" ref="I25"/>
    <hyperlink r:id="rId456" ref="J25"/>
    <hyperlink r:id="rId457" ref="K25"/>
    <hyperlink r:id="rId458" ref="L25"/>
    <hyperlink r:id="rId459" ref="N25"/>
    <hyperlink r:id="rId460" ref="O25"/>
    <hyperlink r:id="rId461" ref="P25"/>
    <hyperlink r:id="rId462" ref="Q25"/>
    <hyperlink r:id="rId463" ref="R25"/>
    <hyperlink r:id="rId464" ref="S25"/>
    <hyperlink r:id="rId465" ref="T25"/>
    <hyperlink r:id="rId466" ref="U25"/>
    <hyperlink r:id="rId467" ref="V25"/>
    <hyperlink r:id="rId468" ref="W25"/>
    <hyperlink r:id="rId469" ref="X25"/>
    <hyperlink r:id="rId470" ref="Y25"/>
    <hyperlink r:id="rId471" ref="C26"/>
    <hyperlink r:id="rId472" ref="D26"/>
    <hyperlink r:id="rId473" ref="E26"/>
    <hyperlink r:id="rId474" ref="F26"/>
    <hyperlink r:id="rId475" ref="G26"/>
    <hyperlink r:id="rId476" ref="H26"/>
    <hyperlink r:id="rId477" ref="I26"/>
    <hyperlink r:id="rId478" ref="J26"/>
    <hyperlink r:id="rId479" ref="K26"/>
    <hyperlink r:id="rId480" ref="L26"/>
    <hyperlink r:id="rId481" ref="N26"/>
    <hyperlink r:id="rId482" ref="O26"/>
    <hyperlink r:id="rId483" ref="P26"/>
    <hyperlink r:id="rId484" ref="Q26"/>
    <hyperlink r:id="rId485" ref="R26"/>
    <hyperlink r:id="rId486" ref="S26"/>
    <hyperlink r:id="rId487" ref="T26"/>
    <hyperlink r:id="rId488" ref="U26"/>
    <hyperlink r:id="rId489" ref="V26"/>
    <hyperlink r:id="rId490" ref="W26"/>
    <hyperlink r:id="rId491" ref="X26"/>
    <hyperlink r:id="rId492" ref="Y26"/>
    <hyperlink r:id="rId493" ref="C27"/>
    <hyperlink r:id="rId494" ref="D27"/>
    <hyperlink r:id="rId495" ref="E27"/>
    <hyperlink r:id="rId496" ref="F27"/>
    <hyperlink r:id="rId497" ref="G27"/>
    <hyperlink r:id="rId498" ref="H27"/>
    <hyperlink r:id="rId499" ref="I27"/>
    <hyperlink r:id="rId500" ref="J27"/>
    <hyperlink r:id="rId501" ref="K27"/>
    <hyperlink r:id="rId502" ref="L27"/>
    <hyperlink r:id="rId503" ref="N27"/>
    <hyperlink r:id="rId504" ref="O27"/>
    <hyperlink r:id="rId505" ref="P27"/>
    <hyperlink r:id="rId506" ref="Q27"/>
    <hyperlink r:id="rId507" ref="R27"/>
    <hyperlink r:id="rId508" ref="S27"/>
    <hyperlink r:id="rId509" ref="T27"/>
    <hyperlink r:id="rId510" ref="U27"/>
    <hyperlink r:id="rId511" ref="V27"/>
    <hyperlink r:id="rId512" ref="W27"/>
    <hyperlink r:id="rId513" ref="X27"/>
    <hyperlink r:id="rId514" ref="Y27"/>
    <hyperlink r:id="rId515" ref="C28"/>
    <hyperlink r:id="rId516" ref="D28"/>
    <hyperlink r:id="rId517" ref="E28"/>
    <hyperlink r:id="rId518" ref="F28"/>
    <hyperlink r:id="rId519" ref="G28"/>
    <hyperlink r:id="rId520" ref="H28"/>
    <hyperlink r:id="rId521" ref="I28"/>
    <hyperlink r:id="rId522" ref="J28"/>
    <hyperlink r:id="rId523" ref="K28"/>
    <hyperlink r:id="rId524" ref="L28"/>
    <hyperlink r:id="rId525" ref="N28"/>
    <hyperlink r:id="rId526" ref="O28"/>
    <hyperlink r:id="rId527" ref="P28"/>
    <hyperlink r:id="rId528" ref="Q28"/>
    <hyperlink r:id="rId529" ref="R28"/>
    <hyperlink r:id="rId530" ref="S28"/>
    <hyperlink r:id="rId531" ref="T28"/>
    <hyperlink r:id="rId532" ref="U28"/>
    <hyperlink r:id="rId533" ref="V28"/>
    <hyperlink r:id="rId534" ref="W28"/>
    <hyperlink r:id="rId535" ref="X28"/>
    <hyperlink r:id="rId536" ref="Y28"/>
    <hyperlink r:id="rId537" ref="C29"/>
    <hyperlink r:id="rId538" ref="D29"/>
    <hyperlink r:id="rId539" ref="E29"/>
    <hyperlink r:id="rId540" ref="F29"/>
    <hyperlink r:id="rId541" ref="G29"/>
    <hyperlink r:id="rId542" ref="H29"/>
    <hyperlink r:id="rId543" ref="I29"/>
    <hyperlink r:id="rId544" ref="J29"/>
    <hyperlink r:id="rId545" ref="K29"/>
    <hyperlink r:id="rId546" ref="L29"/>
    <hyperlink r:id="rId547" ref="N29"/>
    <hyperlink r:id="rId548" ref="O29"/>
    <hyperlink r:id="rId549" ref="P29"/>
    <hyperlink r:id="rId550" ref="Q29"/>
    <hyperlink r:id="rId551" ref="R29"/>
    <hyperlink r:id="rId552" ref="S29"/>
    <hyperlink r:id="rId553" ref="T29"/>
    <hyperlink r:id="rId554" ref="U29"/>
    <hyperlink r:id="rId555" ref="V29"/>
    <hyperlink r:id="rId556" ref="W29"/>
    <hyperlink r:id="rId557" ref="X29"/>
    <hyperlink r:id="rId558" ref="Y29"/>
    <hyperlink r:id="rId559" ref="C30"/>
    <hyperlink r:id="rId560" ref="D30"/>
    <hyperlink r:id="rId561" ref="E30"/>
    <hyperlink r:id="rId562" ref="F30"/>
    <hyperlink r:id="rId563" ref="G30"/>
    <hyperlink r:id="rId564" ref="H30"/>
    <hyperlink r:id="rId565" ref="I30"/>
    <hyperlink r:id="rId566" ref="J30"/>
    <hyperlink r:id="rId567" ref="K30"/>
    <hyperlink r:id="rId568" ref="L30"/>
    <hyperlink r:id="rId569" ref="N30"/>
    <hyperlink r:id="rId570" ref="O30"/>
    <hyperlink r:id="rId571" ref="P30"/>
    <hyperlink r:id="rId572" ref="Q30"/>
    <hyperlink r:id="rId573" ref="R30"/>
    <hyperlink r:id="rId574" ref="S30"/>
    <hyperlink r:id="rId575" ref="T30"/>
    <hyperlink r:id="rId576" ref="U30"/>
    <hyperlink r:id="rId577" ref="V30"/>
    <hyperlink r:id="rId578" ref="W30"/>
    <hyperlink r:id="rId579" ref="X30"/>
    <hyperlink r:id="rId580" ref="Y30"/>
    <hyperlink r:id="rId581" ref="C31"/>
    <hyperlink r:id="rId582" ref="D31"/>
    <hyperlink r:id="rId583" ref="E31"/>
    <hyperlink r:id="rId584" ref="F31"/>
    <hyperlink r:id="rId585" ref="G31"/>
    <hyperlink r:id="rId586" ref="H31"/>
    <hyperlink r:id="rId587" ref="I31"/>
    <hyperlink r:id="rId588" ref="J31"/>
    <hyperlink r:id="rId589" ref="K31"/>
    <hyperlink r:id="rId590" ref="L31"/>
    <hyperlink r:id="rId591" ref="N31"/>
    <hyperlink r:id="rId592" ref="O31"/>
    <hyperlink r:id="rId593" ref="P31"/>
    <hyperlink r:id="rId594" ref="Q31"/>
    <hyperlink r:id="rId595" ref="R31"/>
    <hyperlink r:id="rId596" ref="S31"/>
    <hyperlink r:id="rId597" ref="T31"/>
    <hyperlink r:id="rId598" ref="U31"/>
    <hyperlink r:id="rId599" ref="V31"/>
    <hyperlink r:id="rId600" ref="W31"/>
    <hyperlink r:id="rId601" ref="X31"/>
    <hyperlink r:id="rId602" ref="Y31"/>
    <hyperlink r:id="rId603" ref="C32"/>
    <hyperlink r:id="rId604" ref="D32"/>
    <hyperlink r:id="rId605" ref="E32"/>
    <hyperlink r:id="rId606" ref="F32"/>
    <hyperlink r:id="rId607" ref="G32"/>
    <hyperlink r:id="rId608" ref="H32"/>
    <hyperlink r:id="rId609" ref="I32"/>
    <hyperlink r:id="rId610" ref="J32"/>
    <hyperlink r:id="rId611" ref="K32"/>
    <hyperlink r:id="rId612" ref="L32"/>
    <hyperlink r:id="rId613" ref="N32"/>
    <hyperlink r:id="rId614" ref="O32"/>
    <hyperlink r:id="rId615" ref="P32"/>
    <hyperlink r:id="rId616" ref="Q32"/>
    <hyperlink r:id="rId617" ref="R32"/>
    <hyperlink r:id="rId618" ref="S32"/>
    <hyperlink r:id="rId619" ref="T32"/>
    <hyperlink r:id="rId620" ref="U32"/>
    <hyperlink r:id="rId621" ref="V32"/>
    <hyperlink r:id="rId622" ref="W32"/>
    <hyperlink r:id="rId623" ref="X32"/>
    <hyperlink r:id="rId624" ref="Y32"/>
    <hyperlink r:id="rId625" ref="C33"/>
    <hyperlink r:id="rId626" ref="D33"/>
    <hyperlink r:id="rId627" ref="E33"/>
    <hyperlink r:id="rId628" ref="F33"/>
    <hyperlink r:id="rId629" ref="G33"/>
    <hyperlink r:id="rId630" ref="H33"/>
    <hyperlink r:id="rId631" ref="I33"/>
    <hyperlink r:id="rId632" ref="J33"/>
    <hyperlink r:id="rId633" ref="K33"/>
    <hyperlink r:id="rId634" ref="L33"/>
    <hyperlink r:id="rId635" ref="N33"/>
    <hyperlink r:id="rId636" ref="O33"/>
    <hyperlink r:id="rId637" ref="P33"/>
    <hyperlink r:id="rId638" ref="Q33"/>
    <hyperlink r:id="rId639" ref="R33"/>
    <hyperlink r:id="rId640" ref="S33"/>
    <hyperlink r:id="rId641" ref="T33"/>
    <hyperlink r:id="rId642" ref="U33"/>
    <hyperlink r:id="rId643" ref="V33"/>
    <hyperlink r:id="rId644" ref="W33"/>
    <hyperlink r:id="rId645" ref="X33"/>
    <hyperlink r:id="rId646" ref="Y33"/>
    <hyperlink r:id="rId647" ref="C34"/>
    <hyperlink r:id="rId648" ref="D34"/>
    <hyperlink r:id="rId649" ref="E34"/>
    <hyperlink r:id="rId650" ref="F34"/>
    <hyperlink r:id="rId651" ref="G34"/>
    <hyperlink r:id="rId652" ref="H34"/>
    <hyperlink r:id="rId653" ref="I34"/>
    <hyperlink r:id="rId654" ref="J34"/>
    <hyperlink r:id="rId655" ref="K34"/>
    <hyperlink r:id="rId656" ref="L34"/>
    <hyperlink r:id="rId657" ref="N34"/>
    <hyperlink r:id="rId658" ref="O34"/>
    <hyperlink r:id="rId659" ref="P34"/>
    <hyperlink r:id="rId660" ref="Q34"/>
    <hyperlink r:id="rId661" ref="R34"/>
    <hyperlink r:id="rId662" ref="S34"/>
    <hyperlink r:id="rId663" ref="T34"/>
    <hyperlink r:id="rId664" ref="U34"/>
    <hyperlink r:id="rId665" ref="V34"/>
    <hyperlink r:id="rId666" ref="W34"/>
    <hyperlink r:id="rId667" ref="X34"/>
    <hyperlink r:id="rId668" ref="Y34"/>
    <hyperlink r:id="rId669" ref="C35"/>
    <hyperlink r:id="rId670" ref="D35"/>
    <hyperlink r:id="rId671" ref="E35"/>
    <hyperlink r:id="rId672" ref="F35"/>
    <hyperlink r:id="rId673" ref="G35"/>
    <hyperlink r:id="rId674" ref="H35"/>
    <hyperlink r:id="rId675" ref="I35"/>
    <hyperlink r:id="rId676" ref="J35"/>
    <hyperlink r:id="rId677" ref="K35"/>
    <hyperlink r:id="rId678" ref="L35"/>
    <hyperlink r:id="rId679" ref="N35"/>
    <hyperlink r:id="rId680" ref="O35"/>
    <hyperlink r:id="rId681" ref="P35"/>
    <hyperlink r:id="rId682" ref="Q35"/>
    <hyperlink r:id="rId683" ref="R35"/>
    <hyperlink r:id="rId684" ref="S35"/>
    <hyperlink r:id="rId685" ref="T35"/>
    <hyperlink r:id="rId686" ref="U35"/>
    <hyperlink r:id="rId687" ref="V35"/>
    <hyperlink r:id="rId688" ref="W35"/>
    <hyperlink r:id="rId689" ref="X35"/>
    <hyperlink r:id="rId690" ref="Y35"/>
    <hyperlink r:id="rId691" ref="N36"/>
    <hyperlink r:id="rId692" ref="O36"/>
    <hyperlink r:id="rId693" ref="P36"/>
    <hyperlink r:id="rId694" ref="C37"/>
    <hyperlink r:id="rId695" ref="D37"/>
    <hyperlink r:id="rId696" ref="E37"/>
    <hyperlink r:id="rId697" ref="F37"/>
    <hyperlink r:id="rId698" ref="G37"/>
    <hyperlink r:id="rId699" ref="H37"/>
    <hyperlink r:id="rId700" ref="I37"/>
    <hyperlink r:id="rId701" ref="J37"/>
    <hyperlink r:id="rId702" ref="K37"/>
    <hyperlink r:id="rId703" ref="L37"/>
    <hyperlink r:id="rId704" ref="N37"/>
    <hyperlink r:id="rId705" ref="O37"/>
    <hyperlink r:id="rId706" ref="P37"/>
    <hyperlink r:id="rId707" ref="Q37"/>
    <hyperlink r:id="rId708" ref="R37"/>
    <hyperlink r:id="rId709" ref="S37"/>
    <hyperlink r:id="rId710" ref="T37"/>
    <hyperlink r:id="rId711" ref="U37"/>
    <hyperlink r:id="rId712" ref="V37"/>
    <hyperlink r:id="rId713" ref="W37"/>
    <hyperlink r:id="rId714" ref="X37"/>
    <hyperlink r:id="rId715" ref="Y37"/>
    <hyperlink r:id="rId716" ref="C38"/>
    <hyperlink r:id="rId717" ref="D38"/>
    <hyperlink r:id="rId718" ref="E38"/>
    <hyperlink r:id="rId719" ref="F38"/>
    <hyperlink r:id="rId720" ref="G38"/>
    <hyperlink r:id="rId721" ref="H38"/>
    <hyperlink r:id="rId722" ref="I38"/>
    <hyperlink r:id="rId723" ref="J38"/>
    <hyperlink r:id="rId724" ref="K38"/>
    <hyperlink r:id="rId725" ref="L38"/>
    <hyperlink r:id="rId726" ref="N38"/>
    <hyperlink r:id="rId727" ref="O38"/>
    <hyperlink r:id="rId728" ref="P38"/>
    <hyperlink r:id="rId729" ref="Q38"/>
    <hyperlink r:id="rId730" ref="R38"/>
    <hyperlink r:id="rId731" ref="S38"/>
    <hyperlink r:id="rId732" ref="T38"/>
    <hyperlink r:id="rId733" ref="U38"/>
    <hyperlink r:id="rId734" ref="V38"/>
    <hyperlink r:id="rId735" ref="W38"/>
    <hyperlink r:id="rId736" ref="X38"/>
    <hyperlink r:id="rId737" ref="Y38"/>
    <hyperlink r:id="rId738" ref="C39"/>
    <hyperlink r:id="rId739" ref="D39"/>
    <hyperlink r:id="rId740" ref="E39"/>
    <hyperlink r:id="rId741" ref="F39"/>
    <hyperlink r:id="rId742" ref="G39"/>
    <hyperlink r:id="rId743" ref="H39"/>
    <hyperlink r:id="rId744" ref="I39"/>
    <hyperlink r:id="rId745" ref="J39"/>
    <hyperlink r:id="rId746" ref="K39"/>
    <hyperlink r:id="rId747" ref="L39"/>
    <hyperlink r:id="rId748" ref="N39"/>
    <hyperlink r:id="rId749" ref="O39"/>
    <hyperlink r:id="rId750" ref="P39"/>
    <hyperlink r:id="rId751" ref="Q39"/>
    <hyperlink r:id="rId752" ref="R39"/>
    <hyperlink r:id="rId753" ref="S39"/>
    <hyperlink r:id="rId754" ref="T39"/>
    <hyperlink r:id="rId755" ref="U39"/>
    <hyperlink r:id="rId756" ref="V39"/>
    <hyperlink r:id="rId757" ref="W39"/>
    <hyperlink r:id="rId758" ref="X39"/>
    <hyperlink r:id="rId759" ref="Y39"/>
    <hyperlink r:id="rId760" ref="C40"/>
    <hyperlink r:id="rId761" ref="D40"/>
    <hyperlink r:id="rId762" ref="E40"/>
    <hyperlink r:id="rId763" ref="F40"/>
    <hyperlink r:id="rId764" ref="G40"/>
    <hyperlink r:id="rId765" ref="H40"/>
    <hyperlink r:id="rId766" ref="I40"/>
    <hyperlink r:id="rId767" ref="J40"/>
    <hyperlink r:id="rId768" ref="K40"/>
    <hyperlink r:id="rId769" ref="L40"/>
    <hyperlink r:id="rId770" ref="N40"/>
    <hyperlink r:id="rId771" ref="O40"/>
    <hyperlink r:id="rId772" ref="P40"/>
    <hyperlink r:id="rId773" ref="Q40"/>
    <hyperlink r:id="rId774" ref="R40"/>
    <hyperlink r:id="rId775" ref="S40"/>
    <hyperlink r:id="rId776" ref="T40"/>
    <hyperlink r:id="rId777" ref="U40"/>
    <hyperlink r:id="rId778" ref="V40"/>
    <hyperlink r:id="rId779" ref="W40"/>
    <hyperlink r:id="rId780" ref="X40"/>
    <hyperlink r:id="rId781" ref="Y40"/>
    <hyperlink r:id="rId782" ref="C41"/>
    <hyperlink r:id="rId783" ref="D41"/>
    <hyperlink r:id="rId784" ref="E41"/>
    <hyperlink r:id="rId785" ref="F41"/>
    <hyperlink r:id="rId786" ref="G41"/>
    <hyperlink r:id="rId787" ref="H41"/>
    <hyperlink r:id="rId788" ref="I41"/>
    <hyperlink r:id="rId789" ref="J41"/>
    <hyperlink r:id="rId790" ref="K41"/>
    <hyperlink r:id="rId791" ref="L41"/>
    <hyperlink r:id="rId792" ref="N41"/>
    <hyperlink r:id="rId793" ref="O41"/>
    <hyperlink r:id="rId794" ref="P41"/>
    <hyperlink r:id="rId795" ref="Q41"/>
    <hyperlink r:id="rId796" ref="R41"/>
    <hyperlink r:id="rId797" ref="S41"/>
    <hyperlink r:id="rId798" ref="T41"/>
    <hyperlink r:id="rId799" ref="U41"/>
    <hyperlink r:id="rId800" ref="V41"/>
    <hyperlink r:id="rId801" ref="W41"/>
    <hyperlink r:id="rId802" ref="X41"/>
    <hyperlink r:id="rId803" ref="Y41"/>
    <hyperlink r:id="rId804" ref="C42"/>
    <hyperlink r:id="rId805" ref="D42"/>
    <hyperlink r:id="rId806" ref="E42"/>
    <hyperlink r:id="rId807" ref="F42"/>
    <hyperlink r:id="rId808" ref="G42"/>
    <hyperlink r:id="rId809" ref="H42"/>
    <hyperlink r:id="rId810" ref="I42"/>
    <hyperlink r:id="rId811" ref="J42"/>
    <hyperlink r:id="rId812" ref="K42"/>
    <hyperlink r:id="rId813" ref="L42"/>
    <hyperlink r:id="rId814" ref="N42"/>
    <hyperlink r:id="rId815" ref="O42"/>
    <hyperlink r:id="rId816" ref="P42"/>
    <hyperlink r:id="rId817" ref="Q42"/>
    <hyperlink r:id="rId818" ref="R42"/>
    <hyperlink r:id="rId819" ref="S42"/>
    <hyperlink r:id="rId820" ref="T42"/>
    <hyperlink r:id="rId821" ref="U42"/>
    <hyperlink r:id="rId822" ref="V42"/>
    <hyperlink r:id="rId823" ref="W42"/>
    <hyperlink r:id="rId824" ref="X42"/>
    <hyperlink r:id="rId825" ref="Y42"/>
    <hyperlink r:id="rId826" ref="C43"/>
    <hyperlink r:id="rId827" ref="D43"/>
    <hyperlink r:id="rId828" ref="E43"/>
    <hyperlink r:id="rId829" ref="F43"/>
    <hyperlink r:id="rId830" ref="G43"/>
    <hyperlink r:id="rId831" ref="H43"/>
    <hyperlink r:id="rId832" ref="I43"/>
    <hyperlink r:id="rId833" ref="J43"/>
    <hyperlink r:id="rId834" ref="K43"/>
    <hyperlink r:id="rId835" ref="L43"/>
    <hyperlink r:id="rId836" ref="N43"/>
    <hyperlink r:id="rId837" ref="O43"/>
    <hyperlink r:id="rId838" ref="P43"/>
    <hyperlink r:id="rId839" ref="Q43"/>
    <hyperlink r:id="rId840" ref="R43"/>
    <hyperlink r:id="rId841" ref="S43"/>
    <hyperlink r:id="rId842" ref="T43"/>
    <hyperlink r:id="rId843" ref="U43"/>
    <hyperlink r:id="rId844" ref="V43"/>
    <hyperlink r:id="rId845" ref="W43"/>
    <hyperlink r:id="rId846" ref="X43"/>
    <hyperlink r:id="rId847" ref="Y43"/>
    <hyperlink r:id="rId848" ref="C44"/>
    <hyperlink r:id="rId849" ref="D44"/>
    <hyperlink r:id="rId850" ref="E44"/>
    <hyperlink r:id="rId851" ref="F44"/>
    <hyperlink r:id="rId852" ref="G44"/>
    <hyperlink r:id="rId853" ref="H44"/>
    <hyperlink r:id="rId854" ref="I44"/>
    <hyperlink r:id="rId855" ref="J44"/>
    <hyperlink r:id="rId856" ref="K44"/>
    <hyperlink r:id="rId857" ref="L44"/>
    <hyperlink r:id="rId858" ref="N44"/>
    <hyperlink r:id="rId859" ref="O44"/>
    <hyperlink r:id="rId860" ref="P44"/>
    <hyperlink r:id="rId861" ref="Q44"/>
    <hyperlink r:id="rId862" ref="R44"/>
    <hyperlink r:id="rId863" ref="S44"/>
    <hyperlink r:id="rId864" ref="T44"/>
    <hyperlink r:id="rId865" ref="U44"/>
    <hyperlink r:id="rId866" ref="V44"/>
    <hyperlink r:id="rId867" ref="W44"/>
    <hyperlink r:id="rId868" ref="X44"/>
    <hyperlink r:id="rId869" ref="Y44"/>
    <hyperlink r:id="rId870" ref="C45"/>
    <hyperlink r:id="rId871" ref="D45"/>
    <hyperlink r:id="rId872" ref="E45"/>
    <hyperlink r:id="rId873" ref="F45"/>
    <hyperlink r:id="rId874" ref="G45"/>
    <hyperlink r:id="rId875" ref="H45"/>
    <hyperlink r:id="rId876" ref="I45"/>
    <hyperlink r:id="rId877" ref="J45"/>
    <hyperlink r:id="rId878" ref="K45"/>
    <hyperlink r:id="rId879" ref="L45"/>
    <hyperlink r:id="rId880" ref="N45"/>
    <hyperlink r:id="rId881" ref="O45"/>
    <hyperlink r:id="rId882" ref="P45"/>
    <hyperlink r:id="rId883" ref="Q45"/>
    <hyperlink r:id="rId884" ref="R45"/>
    <hyperlink r:id="rId885" ref="S45"/>
    <hyperlink r:id="rId886" ref="T45"/>
    <hyperlink r:id="rId887" ref="U45"/>
    <hyperlink r:id="rId888" ref="V45"/>
    <hyperlink r:id="rId889" ref="W45"/>
    <hyperlink r:id="rId890" ref="X45"/>
    <hyperlink r:id="rId891" ref="Y45"/>
    <hyperlink r:id="rId892" ref="C46"/>
    <hyperlink r:id="rId893" ref="D46"/>
    <hyperlink r:id="rId894" ref="E46"/>
    <hyperlink r:id="rId895" ref="F46"/>
    <hyperlink r:id="rId896" ref="G46"/>
    <hyperlink r:id="rId897" ref="H46"/>
    <hyperlink r:id="rId898" ref="I46"/>
    <hyperlink r:id="rId899" ref="J46"/>
    <hyperlink r:id="rId900" ref="K46"/>
    <hyperlink r:id="rId901" ref="L46"/>
    <hyperlink r:id="rId902" ref="N46"/>
    <hyperlink r:id="rId903" ref="O46"/>
    <hyperlink r:id="rId904" ref="P46"/>
    <hyperlink r:id="rId905" ref="Q46"/>
    <hyperlink r:id="rId906" ref="R46"/>
    <hyperlink r:id="rId907" ref="S46"/>
    <hyperlink r:id="rId908" ref="T46"/>
    <hyperlink r:id="rId909" ref="U46"/>
    <hyperlink r:id="rId910" ref="V46"/>
    <hyperlink r:id="rId911" ref="W46"/>
    <hyperlink r:id="rId912" ref="X46"/>
    <hyperlink r:id="rId913" ref="Y46"/>
    <hyperlink r:id="rId914" ref="C47"/>
    <hyperlink r:id="rId915" ref="D47"/>
    <hyperlink r:id="rId916" ref="E47"/>
    <hyperlink r:id="rId917" ref="F47"/>
    <hyperlink r:id="rId918" ref="G47"/>
    <hyperlink r:id="rId919" ref="H47"/>
    <hyperlink r:id="rId920" ref="I47"/>
    <hyperlink r:id="rId921" ref="J47"/>
    <hyperlink r:id="rId922" ref="K47"/>
    <hyperlink r:id="rId923" ref="L47"/>
    <hyperlink r:id="rId924" ref="N47"/>
    <hyperlink r:id="rId925" ref="O47"/>
    <hyperlink r:id="rId926" ref="P47"/>
    <hyperlink r:id="rId927" ref="Q47"/>
    <hyperlink r:id="rId928" ref="R47"/>
    <hyperlink r:id="rId929" ref="S47"/>
    <hyperlink r:id="rId930" ref="T47"/>
    <hyperlink r:id="rId931" ref="U47"/>
    <hyperlink r:id="rId932" ref="V47"/>
    <hyperlink r:id="rId933" ref="W47"/>
    <hyperlink r:id="rId934" ref="X47"/>
    <hyperlink r:id="rId935" ref="Y47"/>
    <hyperlink r:id="rId936" ref="C48"/>
    <hyperlink r:id="rId937" ref="D48"/>
    <hyperlink r:id="rId938" ref="E48"/>
    <hyperlink r:id="rId939" ref="F48"/>
    <hyperlink r:id="rId940" ref="G48"/>
    <hyperlink r:id="rId941" ref="H48"/>
    <hyperlink r:id="rId942" ref="I48"/>
    <hyperlink r:id="rId943" ref="J48"/>
    <hyperlink r:id="rId944" ref="K48"/>
    <hyperlink r:id="rId945" ref="L48"/>
    <hyperlink r:id="rId946" ref="N48"/>
    <hyperlink r:id="rId947" ref="O48"/>
    <hyperlink r:id="rId948" ref="P48"/>
    <hyperlink r:id="rId949" ref="Q48"/>
    <hyperlink r:id="rId950" ref="R48"/>
    <hyperlink r:id="rId951" ref="S48"/>
    <hyperlink r:id="rId952" ref="T48"/>
    <hyperlink r:id="rId953" ref="U48"/>
    <hyperlink r:id="rId954" ref="V48"/>
    <hyperlink r:id="rId955" ref="W48"/>
    <hyperlink r:id="rId956" ref="X48"/>
    <hyperlink r:id="rId957" ref="Y48"/>
    <hyperlink r:id="rId958" ref="C49"/>
    <hyperlink r:id="rId959" ref="D49"/>
    <hyperlink r:id="rId960" ref="E49"/>
    <hyperlink r:id="rId961" ref="F49"/>
    <hyperlink r:id="rId962" ref="G49"/>
    <hyperlink r:id="rId963" ref="H49"/>
    <hyperlink r:id="rId964" ref="I49"/>
    <hyperlink r:id="rId965" ref="J49"/>
    <hyperlink r:id="rId966" ref="K49"/>
    <hyperlink r:id="rId967" ref="L49"/>
    <hyperlink r:id="rId968" ref="N49"/>
    <hyperlink r:id="rId969" ref="O49"/>
    <hyperlink r:id="rId970" ref="P49"/>
    <hyperlink r:id="rId971" ref="Q49"/>
    <hyperlink r:id="rId972" ref="R49"/>
    <hyperlink r:id="rId973" ref="S49"/>
    <hyperlink r:id="rId974" ref="T49"/>
    <hyperlink r:id="rId975" ref="U49"/>
    <hyperlink r:id="rId976" ref="V49"/>
    <hyperlink r:id="rId977" ref="W49"/>
    <hyperlink r:id="rId978" ref="X49"/>
    <hyperlink r:id="rId979" ref="Y49"/>
    <hyperlink r:id="rId980" ref="C50"/>
    <hyperlink r:id="rId981" ref="D50"/>
    <hyperlink r:id="rId982" ref="E50"/>
    <hyperlink r:id="rId983" ref="F50"/>
    <hyperlink r:id="rId984" ref="G50"/>
    <hyperlink r:id="rId985" ref="H50"/>
    <hyperlink r:id="rId986" ref="I50"/>
    <hyperlink r:id="rId987" ref="J50"/>
    <hyperlink r:id="rId988" ref="K50"/>
    <hyperlink r:id="rId989" ref="L50"/>
    <hyperlink r:id="rId990" ref="N50"/>
    <hyperlink r:id="rId991" ref="O50"/>
    <hyperlink r:id="rId992" ref="P50"/>
    <hyperlink r:id="rId993" ref="Q50"/>
    <hyperlink r:id="rId994" ref="R50"/>
    <hyperlink r:id="rId995" ref="S50"/>
    <hyperlink r:id="rId996" ref="T50"/>
    <hyperlink r:id="rId997" ref="U50"/>
    <hyperlink r:id="rId998" ref="V50"/>
    <hyperlink r:id="rId999" ref="W50"/>
    <hyperlink r:id="rId1000" ref="X50"/>
    <hyperlink r:id="rId1001" ref="Y50"/>
    <hyperlink r:id="rId1002" ref="C51"/>
    <hyperlink r:id="rId1003" ref="D51"/>
    <hyperlink r:id="rId1004" ref="E51"/>
    <hyperlink r:id="rId1005" ref="F51"/>
    <hyperlink r:id="rId1006" ref="G51"/>
    <hyperlink r:id="rId1007" ref="H51"/>
    <hyperlink r:id="rId1008" ref="I51"/>
    <hyperlink r:id="rId1009" ref="J51"/>
    <hyperlink r:id="rId1010" ref="K51"/>
    <hyperlink r:id="rId1011" ref="L51"/>
    <hyperlink r:id="rId1012" ref="N51"/>
    <hyperlink r:id="rId1013" ref="O51"/>
    <hyperlink r:id="rId1014" ref="P51"/>
    <hyperlink r:id="rId1015" ref="Q51"/>
    <hyperlink r:id="rId1016" ref="R51"/>
    <hyperlink r:id="rId1017" ref="S51"/>
    <hyperlink r:id="rId1018" ref="T51"/>
    <hyperlink r:id="rId1019" ref="U51"/>
    <hyperlink r:id="rId1020" ref="V51"/>
    <hyperlink r:id="rId1021" ref="W51"/>
    <hyperlink r:id="rId1022" ref="X51"/>
    <hyperlink r:id="rId1023" ref="Y51"/>
    <hyperlink r:id="rId1024" ref="N52"/>
    <hyperlink r:id="rId1025" ref="O52"/>
    <hyperlink r:id="rId1026" ref="P52"/>
    <hyperlink r:id="rId1027" ref="C53"/>
    <hyperlink r:id="rId1028" ref="D53"/>
    <hyperlink r:id="rId1029" ref="E53"/>
    <hyperlink r:id="rId1030" ref="F53"/>
    <hyperlink r:id="rId1031" ref="G53"/>
    <hyperlink r:id="rId1032" ref="H53"/>
    <hyperlink r:id="rId1033" ref="I53"/>
    <hyperlink r:id="rId1034" ref="J53"/>
    <hyperlink r:id="rId1035" ref="K53"/>
    <hyperlink r:id="rId1036" ref="L53"/>
    <hyperlink r:id="rId1037" ref="N53"/>
    <hyperlink r:id="rId1038" ref="O53"/>
    <hyperlink r:id="rId1039" ref="P53"/>
    <hyperlink r:id="rId1040" ref="Q53"/>
    <hyperlink r:id="rId1041" ref="R53"/>
    <hyperlink r:id="rId1042" ref="S53"/>
    <hyperlink r:id="rId1043" ref="T53"/>
    <hyperlink r:id="rId1044" ref="U53"/>
    <hyperlink r:id="rId1045" ref="V53"/>
    <hyperlink r:id="rId1046" ref="W53"/>
    <hyperlink r:id="rId1047" ref="X53"/>
    <hyperlink r:id="rId1048" ref="Y53"/>
    <hyperlink r:id="rId1049" ref="C54"/>
    <hyperlink r:id="rId1050" ref="D54"/>
    <hyperlink r:id="rId1051" ref="E54"/>
    <hyperlink r:id="rId1052" ref="F54"/>
    <hyperlink r:id="rId1053" ref="G54"/>
    <hyperlink r:id="rId1054" ref="H54"/>
    <hyperlink r:id="rId1055" ref="I54"/>
    <hyperlink r:id="rId1056" ref="J54"/>
    <hyperlink r:id="rId1057" ref="K54"/>
    <hyperlink r:id="rId1058" ref="L54"/>
    <hyperlink r:id="rId1059" ref="N54"/>
    <hyperlink r:id="rId1060" ref="O54"/>
    <hyperlink r:id="rId1061" ref="P54"/>
    <hyperlink r:id="rId1062" ref="Q54"/>
    <hyperlink r:id="rId1063" ref="R54"/>
    <hyperlink r:id="rId1064" ref="S54"/>
    <hyperlink r:id="rId1065" ref="T54"/>
    <hyperlink r:id="rId1066" ref="U54"/>
    <hyperlink r:id="rId1067" ref="V54"/>
    <hyperlink r:id="rId1068" ref="W54"/>
    <hyperlink r:id="rId1069" ref="X54"/>
    <hyperlink r:id="rId1070" ref="Y54"/>
    <hyperlink r:id="rId1071" ref="C55"/>
    <hyperlink r:id="rId1072" ref="D55"/>
    <hyperlink r:id="rId1073" ref="E55"/>
    <hyperlink r:id="rId1074" ref="F55"/>
    <hyperlink r:id="rId1075" ref="G55"/>
    <hyperlink r:id="rId1076" ref="H55"/>
    <hyperlink r:id="rId1077" ref="I55"/>
    <hyperlink r:id="rId1078" ref="J55"/>
    <hyperlink r:id="rId1079" ref="K55"/>
    <hyperlink r:id="rId1080" ref="L55"/>
    <hyperlink r:id="rId1081" ref="N55"/>
    <hyperlink r:id="rId1082" ref="O55"/>
    <hyperlink r:id="rId1083" ref="P55"/>
    <hyperlink r:id="rId1084" ref="Q55"/>
    <hyperlink r:id="rId1085" ref="R55"/>
    <hyperlink r:id="rId1086" ref="S55"/>
    <hyperlink r:id="rId1087" ref="T55"/>
    <hyperlink r:id="rId1088" ref="U55"/>
    <hyperlink r:id="rId1089" ref="V55"/>
    <hyperlink r:id="rId1090" ref="W55"/>
    <hyperlink r:id="rId1091" ref="X55"/>
    <hyperlink r:id="rId1092" ref="Y55"/>
    <hyperlink r:id="rId1093" ref="C56"/>
    <hyperlink r:id="rId1094" ref="D56"/>
    <hyperlink r:id="rId1095" ref="E56"/>
    <hyperlink r:id="rId1096" ref="F56"/>
    <hyperlink r:id="rId1097" ref="G56"/>
    <hyperlink r:id="rId1098" ref="H56"/>
    <hyperlink r:id="rId1099" ref="I56"/>
    <hyperlink r:id="rId1100" ref="J56"/>
    <hyperlink r:id="rId1101" ref="K56"/>
    <hyperlink r:id="rId1102" ref="L56"/>
    <hyperlink r:id="rId1103" ref="N56"/>
    <hyperlink r:id="rId1104" ref="O56"/>
    <hyperlink r:id="rId1105" ref="P56"/>
    <hyperlink r:id="rId1106" ref="Q56"/>
    <hyperlink r:id="rId1107" ref="R56"/>
    <hyperlink r:id="rId1108" ref="S56"/>
    <hyperlink r:id="rId1109" ref="T56"/>
    <hyperlink r:id="rId1110" ref="U56"/>
    <hyperlink r:id="rId1111" ref="V56"/>
    <hyperlink r:id="rId1112" ref="W56"/>
    <hyperlink r:id="rId1113" ref="X56"/>
    <hyperlink r:id="rId1114" ref="Y56"/>
    <hyperlink r:id="rId1115" ref="C57"/>
    <hyperlink r:id="rId1116" ref="D57"/>
    <hyperlink r:id="rId1117" ref="E57"/>
    <hyperlink r:id="rId1118" ref="F57"/>
    <hyperlink r:id="rId1119" ref="G57"/>
    <hyperlink r:id="rId1120" ref="H57"/>
    <hyperlink r:id="rId1121" ref="I57"/>
    <hyperlink r:id="rId1122" ref="J57"/>
    <hyperlink r:id="rId1123" ref="K57"/>
    <hyperlink r:id="rId1124" ref="L57"/>
    <hyperlink r:id="rId1125" ref="N57"/>
    <hyperlink r:id="rId1126" ref="O57"/>
    <hyperlink r:id="rId1127" ref="P57"/>
    <hyperlink r:id="rId1128" ref="Q57"/>
    <hyperlink r:id="rId1129" ref="R57"/>
    <hyperlink r:id="rId1130" ref="S57"/>
    <hyperlink r:id="rId1131" ref="T57"/>
    <hyperlink r:id="rId1132" ref="U57"/>
    <hyperlink r:id="rId1133" ref="V57"/>
    <hyperlink r:id="rId1134" ref="W57"/>
    <hyperlink r:id="rId1135" ref="X57"/>
    <hyperlink r:id="rId1136" ref="Y57"/>
    <hyperlink r:id="rId1137" ref="C58"/>
    <hyperlink r:id="rId1138" ref="D58"/>
    <hyperlink r:id="rId1139" ref="E58"/>
    <hyperlink r:id="rId1140" ref="F58"/>
    <hyperlink r:id="rId1141" ref="G58"/>
    <hyperlink r:id="rId1142" ref="H58"/>
    <hyperlink r:id="rId1143" ref="I58"/>
    <hyperlink r:id="rId1144" ref="J58"/>
    <hyperlink r:id="rId1145" ref="K58"/>
    <hyperlink r:id="rId1146" ref="L58"/>
    <hyperlink r:id="rId1147" ref="N58"/>
    <hyperlink r:id="rId1148" ref="O58"/>
    <hyperlink r:id="rId1149" ref="P58"/>
    <hyperlink r:id="rId1150" ref="Q58"/>
    <hyperlink r:id="rId1151" ref="R58"/>
    <hyperlink r:id="rId1152" ref="S58"/>
    <hyperlink r:id="rId1153" ref="T58"/>
    <hyperlink r:id="rId1154" ref="U58"/>
    <hyperlink r:id="rId1155" ref="V58"/>
    <hyperlink r:id="rId1156" ref="W58"/>
    <hyperlink r:id="rId1157" ref="X58"/>
    <hyperlink r:id="rId1158" ref="Y58"/>
    <hyperlink r:id="rId1159" ref="C59"/>
    <hyperlink r:id="rId1160" ref="D59"/>
    <hyperlink r:id="rId1161" ref="E59"/>
    <hyperlink r:id="rId1162" ref="F59"/>
    <hyperlink r:id="rId1163" ref="G59"/>
    <hyperlink r:id="rId1164" ref="H59"/>
    <hyperlink r:id="rId1165" ref="I59"/>
    <hyperlink r:id="rId1166" ref="J59"/>
    <hyperlink r:id="rId1167" ref="K59"/>
    <hyperlink r:id="rId1168" ref="L59"/>
    <hyperlink r:id="rId1169" ref="N59"/>
    <hyperlink r:id="rId1170" ref="O59"/>
    <hyperlink r:id="rId1171" ref="P59"/>
    <hyperlink r:id="rId1172" ref="Q59"/>
    <hyperlink r:id="rId1173" ref="R59"/>
    <hyperlink r:id="rId1174" ref="S59"/>
    <hyperlink r:id="rId1175" ref="T59"/>
    <hyperlink r:id="rId1176" ref="U59"/>
    <hyperlink r:id="rId1177" ref="V59"/>
    <hyperlink r:id="rId1178" ref="W59"/>
    <hyperlink r:id="rId1179" ref="X59"/>
    <hyperlink r:id="rId1180" ref="Y59"/>
    <hyperlink r:id="rId1181" ref="C60"/>
    <hyperlink r:id="rId1182" ref="D60"/>
    <hyperlink r:id="rId1183" ref="E60"/>
    <hyperlink r:id="rId1184" ref="F60"/>
    <hyperlink r:id="rId1185" ref="G60"/>
    <hyperlink r:id="rId1186" ref="H60"/>
    <hyperlink r:id="rId1187" ref="I60"/>
    <hyperlink r:id="rId1188" ref="J60"/>
    <hyperlink r:id="rId1189" ref="K60"/>
    <hyperlink r:id="rId1190" ref="L60"/>
    <hyperlink r:id="rId1191" ref="N60"/>
    <hyperlink r:id="rId1192" ref="O60"/>
    <hyperlink r:id="rId1193" ref="P60"/>
    <hyperlink r:id="rId1194" ref="Q60"/>
    <hyperlink r:id="rId1195" ref="R60"/>
    <hyperlink r:id="rId1196" ref="S60"/>
    <hyperlink r:id="rId1197" ref="T60"/>
    <hyperlink r:id="rId1198" ref="U60"/>
    <hyperlink r:id="rId1199" ref="V60"/>
    <hyperlink r:id="rId1200" ref="W60"/>
    <hyperlink r:id="rId1201" ref="X60"/>
    <hyperlink r:id="rId1202" ref="Y60"/>
    <hyperlink r:id="rId1203" ref="C61"/>
    <hyperlink r:id="rId1204" ref="D61"/>
    <hyperlink r:id="rId1205" ref="E61"/>
    <hyperlink r:id="rId1206" ref="F61"/>
    <hyperlink r:id="rId1207" ref="G61"/>
    <hyperlink r:id="rId1208" ref="H61"/>
    <hyperlink r:id="rId1209" ref="I61"/>
    <hyperlink r:id="rId1210" ref="J61"/>
    <hyperlink r:id="rId1211" ref="K61"/>
    <hyperlink r:id="rId1212" ref="L61"/>
    <hyperlink r:id="rId1213" ref="N61"/>
    <hyperlink r:id="rId1214" ref="O61"/>
    <hyperlink r:id="rId1215" ref="P61"/>
    <hyperlink r:id="rId1216" ref="Q61"/>
    <hyperlink r:id="rId1217" ref="R61"/>
    <hyperlink r:id="rId1218" ref="S61"/>
    <hyperlink r:id="rId1219" ref="T61"/>
    <hyperlink r:id="rId1220" ref="U61"/>
    <hyperlink r:id="rId1221" ref="V61"/>
    <hyperlink r:id="rId1222" ref="W61"/>
    <hyperlink r:id="rId1223" ref="X61"/>
    <hyperlink r:id="rId1224" ref="Y61"/>
    <hyperlink r:id="rId1225" ref="C62"/>
    <hyperlink r:id="rId1226" ref="D62"/>
    <hyperlink r:id="rId1227" ref="E62"/>
    <hyperlink r:id="rId1228" ref="F62"/>
    <hyperlink r:id="rId1229" ref="G62"/>
    <hyperlink r:id="rId1230" ref="H62"/>
    <hyperlink r:id="rId1231" ref="I62"/>
    <hyperlink r:id="rId1232" ref="J62"/>
    <hyperlink r:id="rId1233" ref="K62"/>
    <hyperlink r:id="rId1234" ref="L62"/>
    <hyperlink r:id="rId1235" ref="N62"/>
    <hyperlink r:id="rId1236" ref="O62"/>
    <hyperlink r:id="rId1237" ref="P62"/>
    <hyperlink r:id="rId1238" ref="Q62"/>
    <hyperlink r:id="rId1239" ref="R62"/>
    <hyperlink r:id="rId1240" ref="S62"/>
    <hyperlink r:id="rId1241" ref="T62"/>
    <hyperlink r:id="rId1242" ref="U62"/>
    <hyperlink r:id="rId1243" ref="V62"/>
    <hyperlink r:id="rId1244" ref="W62"/>
    <hyperlink r:id="rId1245" ref="X62"/>
    <hyperlink r:id="rId1246" ref="Y62"/>
    <hyperlink r:id="rId1247" ref="C63"/>
    <hyperlink r:id="rId1248" ref="D63"/>
    <hyperlink r:id="rId1249" ref="E63"/>
    <hyperlink r:id="rId1250" ref="F63"/>
    <hyperlink r:id="rId1251" ref="G63"/>
    <hyperlink r:id="rId1252" ref="H63"/>
    <hyperlink r:id="rId1253" ref="I63"/>
    <hyperlink r:id="rId1254" ref="J63"/>
    <hyperlink r:id="rId1255" ref="K63"/>
    <hyperlink r:id="rId1256" ref="L63"/>
    <hyperlink r:id="rId1257" ref="N63"/>
    <hyperlink r:id="rId1258" ref="O63"/>
    <hyperlink r:id="rId1259" ref="P63"/>
    <hyperlink r:id="rId1260" ref="Q63"/>
    <hyperlink r:id="rId1261" ref="R63"/>
    <hyperlink r:id="rId1262" ref="S63"/>
    <hyperlink r:id="rId1263" ref="T63"/>
    <hyperlink r:id="rId1264" ref="U63"/>
    <hyperlink r:id="rId1265" ref="V63"/>
    <hyperlink r:id="rId1266" ref="W63"/>
    <hyperlink r:id="rId1267" ref="X63"/>
    <hyperlink r:id="rId1268" ref="Y63"/>
    <hyperlink r:id="rId1269" ref="C64"/>
    <hyperlink r:id="rId1270" ref="D64"/>
    <hyperlink r:id="rId1271" ref="E64"/>
    <hyperlink r:id="rId1272" ref="F64"/>
    <hyperlink r:id="rId1273" ref="G64"/>
    <hyperlink r:id="rId1274" ref="H64"/>
    <hyperlink r:id="rId1275" ref="I64"/>
    <hyperlink r:id="rId1276" ref="J64"/>
    <hyperlink r:id="rId1277" ref="K64"/>
    <hyperlink r:id="rId1278" ref="L64"/>
    <hyperlink r:id="rId1279" ref="N64"/>
    <hyperlink r:id="rId1280" ref="O64"/>
    <hyperlink r:id="rId1281" ref="P64"/>
    <hyperlink r:id="rId1282" ref="Q64"/>
    <hyperlink r:id="rId1283" ref="R64"/>
    <hyperlink r:id="rId1284" ref="S64"/>
    <hyperlink r:id="rId1285" ref="T64"/>
    <hyperlink r:id="rId1286" ref="U64"/>
    <hyperlink r:id="rId1287" ref="V64"/>
    <hyperlink r:id="rId1288" ref="W64"/>
    <hyperlink r:id="rId1289" ref="X64"/>
    <hyperlink r:id="rId1290" ref="Y64"/>
    <hyperlink r:id="rId1291" ref="C65"/>
    <hyperlink r:id="rId1292" ref="D65"/>
    <hyperlink r:id="rId1293" ref="E65"/>
    <hyperlink r:id="rId1294" ref="F65"/>
    <hyperlink r:id="rId1295" ref="G65"/>
    <hyperlink r:id="rId1296" ref="H65"/>
    <hyperlink r:id="rId1297" ref="I65"/>
    <hyperlink r:id="rId1298" ref="J65"/>
    <hyperlink r:id="rId1299" ref="K65"/>
    <hyperlink r:id="rId1300" ref="L65"/>
    <hyperlink r:id="rId1301" ref="N65"/>
    <hyperlink r:id="rId1302" ref="O65"/>
    <hyperlink r:id="rId1303" ref="P65"/>
    <hyperlink r:id="rId1304" ref="Q65"/>
    <hyperlink r:id="rId1305" ref="R65"/>
    <hyperlink r:id="rId1306" ref="S65"/>
    <hyperlink r:id="rId1307" ref="T65"/>
    <hyperlink r:id="rId1308" ref="U65"/>
    <hyperlink r:id="rId1309" ref="V65"/>
    <hyperlink r:id="rId1310" ref="W65"/>
    <hyperlink r:id="rId1311" ref="X65"/>
    <hyperlink r:id="rId1312" ref="Y65"/>
    <hyperlink r:id="rId1313" ref="C66"/>
    <hyperlink r:id="rId1314" ref="D66"/>
    <hyperlink r:id="rId1315" ref="E66"/>
    <hyperlink r:id="rId1316" ref="F66"/>
    <hyperlink r:id="rId1317" ref="G66"/>
    <hyperlink r:id="rId1318" ref="H66"/>
    <hyperlink r:id="rId1319" ref="I66"/>
    <hyperlink r:id="rId1320" ref="J66"/>
    <hyperlink r:id="rId1321" ref="K66"/>
    <hyperlink r:id="rId1322" ref="L66"/>
    <hyperlink r:id="rId1323" ref="N66"/>
    <hyperlink r:id="rId1324" ref="O66"/>
    <hyperlink r:id="rId1325" ref="P66"/>
    <hyperlink r:id="rId1326" ref="Q66"/>
    <hyperlink r:id="rId1327" ref="R66"/>
    <hyperlink r:id="rId1328" ref="S66"/>
    <hyperlink r:id="rId1329" ref="T66"/>
    <hyperlink r:id="rId1330" ref="U66"/>
    <hyperlink r:id="rId1331" ref="V66"/>
    <hyperlink r:id="rId1332" ref="W66"/>
    <hyperlink r:id="rId1333" ref="X66"/>
    <hyperlink r:id="rId1334" ref="Y66"/>
    <hyperlink r:id="rId1335" ref="C67"/>
    <hyperlink r:id="rId1336" ref="D67"/>
    <hyperlink r:id="rId1337" ref="E67"/>
    <hyperlink r:id="rId1338" ref="F67"/>
    <hyperlink r:id="rId1339" ref="G67"/>
    <hyperlink r:id="rId1340" ref="H67"/>
    <hyperlink r:id="rId1341" ref="I67"/>
    <hyperlink r:id="rId1342" ref="J67"/>
    <hyperlink r:id="rId1343" ref="K67"/>
    <hyperlink r:id="rId1344" ref="L67"/>
    <hyperlink r:id="rId1345" ref="N67"/>
    <hyperlink r:id="rId1346" ref="O67"/>
    <hyperlink r:id="rId1347" ref="P67"/>
    <hyperlink r:id="rId1348" ref="Q67"/>
    <hyperlink r:id="rId1349" ref="R67"/>
    <hyperlink r:id="rId1350" ref="S67"/>
    <hyperlink r:id="rId1351" ref="T67"/>
    <hyperlink r:id="rId1352" ref="U67"/>
    <hyperlink r:id="rId1353" ref="V67"/>
    <hyperlink r:id="rId1354" ref="W67"/>
    <hyperlink r:id="rId1355" ref="X67"/>
    <hyperlink r:id="rId1356" ref="Y67"/>
    <hyperlink r:id="rId1357" ref="N68"/>
    <hyperlink r:id="rId1358" ref="O68"/>
    <hyperlink r:id="rId1359" ref="P68"/>
    <hyperlink r:id="rId1360" ref="C69"/>
    <hyperlink r:id="rId1361" ref="D69"/>
    <hyperlink r:id="rId1362" ref="E69"/>
    <hyperlink r:id="rId1363" ref="F69"/>
    <hyperlink r:id="rId1364" ref="G69"/>
    <hyperlink r:id="rId1365" ref="H69"/>
    <hyperlink r:id="rId1366" ref="I69"/>
    <hyperlink r:id="rId1367" ref="J69"/>
    <hyperlink r:id="rId1368" ref="K69"/>
    <hyperlink r:id="rId1369" ref="L69"/>
    <hyperlink r:id="rId1370" ref="N69"/>
    <hyperlink r:id="rId1371" ref="O69"/>
    <hyperlink r:id="rId1372" ref="P69"/>
    <hyperlink r:id="rId1373" ref="Q69"/>
    <hyperlink r:id="rId1374" ref="R69"/>
    <hyperlink r:id="rId1375" ref="S69"/>
    <hyperlink r:id="rId1376" ref="T69"/>
    <hyperlink r:id="rId1377" ref="U69"/>
    <hyperlink r:id="rId1378" ref="V69"/>
    <hyperlink r:id="rId1379" ref="W69"/>
    <hyperlink r:id="rId1380" ref="X69"/>
    <hyperlink r:id="rId1381" ref="Y69"/>
    <hyperlink r:id="rId1382" ref="C70"/>
    <hyperlink r:id="rId1383" ref="D70"/>
    <hyperlink r:id="rId1384" ref="E70"/>
    <hyperlink r:id="rId1385" ref="F70"/>
    <hyperlink r:id="rId1386" ref="G70"/>
    <hyperlink r:id="rId1387" ref="H70"/>
    <hyperlink r:id="rId1388" ref="I70"/>
    <hyperlink r:id="rId1389" ref="J70"/>
    <hyperlink r:id="rId1390" ref="K70"/>
    <hyperlink r:id="rId1391" ref="L70"/>
    <hyperlink r:id="rId1392" ref="N70"/>
    <hyperlink r:id="rId1393" ref="O70"/>
    <hyperlink r:id="rId1394" ref="P70"/>
    <hyperlink r:id="rId1395" ref="Q70"/>
    <hyperlink r:id="rId1396" ref="R70"/>
    <hyperlink r:id="rId1397" ref="S70"/>
    <hyperlink r:id="rId1398" ref="T70"/>
    <hyperlink r:id="rId1399" ref="U70"/>
    <hyperlink r:id="rId1400" ref="V70"/>
    <hyperlink r:id="rId1401" ref="W70"/>
    <hyperlink r:id="rId1402" ref="X70"/>
    <hyperlink r:id="rId1403" ref="Y70"/>
    <hyperlink r:id="rId1404" ref="C71"/>
    <hyperlink r:id="rId1405" ref="D71"/>
    <hyperlink r:id="rId1406" ref="E71"/>
    <hyperlink r:id="rId1407" ref="F71"/>
    <hyperlink r:id="rId1408" ref="G71"/>
    <hyperlink r:id="rId1409" ref="H71"/>
    <hyperlink r:id="rId1410" ref="I71"/>
    <hyperlink r:id="rId1411" ref="J71"/>
    <hyperlink r:id="rId1412" ref="K71"/>
    <hyperlink r:id="rId1413" ref="L71"/>
    <hyperlink r:id="rId1414" ref="N71"/>
    <hyperlink r:id="rId1415" ref="O71"/>
    <hyperlink r:id="rId1416" ref="P71"/>
    <hyperlink r:id="rId1417" ref="Q71"/>
    <hyperlink r:id="rId1418" ref="R71"/>
    <hyperlink r:id="rId1419" ref="S71"/>
    <hyperlink r:id="rId1420" ref="T71"/>
    <hyperlink r:id="rId1421" ref="U71"/>
    <hyperlink r:id="rId1422" ref="V71"/>
    <hyperlink r:id="rId1423" ref="W71"/>
    <hyperlink r:id="rId1424" ref="X71"/>
    <hyperlink r:id="rId1425" ref="Y71"/>
    <hyperlink r:id="rId1426" ref="C72"/>
    <hyperlink r:id="rId1427" ref="D72"/>
    <hyperlink r:id="rId1428" ref="E72"/>
    <hyperlink r:id="rId1429" ref="F72"/>
    <hyperlink r:id="rId1430" ref="G72"/>
    <hyperlink r:id="rId1431" ref="H72"/>
    <hyperlink r:id="rId1432" ref="I72"/>
    <hyperlink r:id="rId1433" ref="J72"/>
    <hyperlink r:id="rId1434" ref="K72"/>
    <hyperlink r:id="rId1435" ref="L72"/>
    <hyperlink r:id="rId1436" ref="N72"/>
    <hyperlink r:id="rId1437" ref="O72"/>
    <hyperlink r:id="rId1438" ref="P72"/>
    <hyperlink r:id="rId1439" ref="Q72"/>
    <hyperlink r:id="rId1440" ref="R72"/>
    <hyperlink r:id="rId1441" ref="S72"/>
    <hyperlink r:id="rId1442" ref="T72"/>
    <hyperlink r:id="rId1443" ref="U72"/>
    <hyperlink r:id="rId1444" ref="V72"/>
    <hyperlink r:id="rId1445" ref="W72"/>
    <hyperlink r:id="rId1446" ref="X72"/>
    <hyperlink r:id="rId1447" ref="Y72"/>
    <hyperlink r:id="rId1448" ref="C73"/>
    <hyperlink r:id="rId1449" ref="D73"/>
    <hyperlink r:id="rId1450" ref="E73"/>
    <hyperlink r:id="rId1451" ref="F73"/>
    <hyperlink r:id="rId1452" ref="G73"/>
    <hyperlink r:id="rId1453" ref="H73"/>
    <hyperlink r:id="rId1454" ref="I73"/>
    <hyperlink r:id="rId1455" ref="J73"/>
    <hyperlink r:id="rId1456" ref="K73"/>
    <hyperlink r:id="rId1457" ref="L73"/>
    <hyperlink r:id="rId1458" ref="N73"/>
    <hyperlink r:id="rId1459" ref="O73"/>
    <hyperlink r:id="rId1460" ref="P73"/>
    <hyperlink r:id="rId1461" ref="Q73"/>
    <hyperlink r:id="rId1462" ref="R73"/>
    <hyperlink r:id="rId1463" ref="S73"/>
    <hyperlink r:id="rId1464" ref="T73"/>
    <hyperlink r:id="rId1465" ref="U73"/>
    <hyperlink r:id="rId1466" ref="V73"/>
    <hyperlink r:id="rId1467" ref="W73"/>
    <hyperlink r:id="rId1468" ref="X73"/>
    <hyperlink r:id="rId1469" ref="Y73"/>
    <hyperlink r:id="rId1470" ref="C74"/>
    <hyperlink r:id="rId1471" ref="D74"/>
    <hyperlink r:id="rId1472" ref="E74"/>
    <hyperlink r:id="rId1473" ref="F74"/>
    <hyperlink r:id="rId1474" ref="G74"/>
    <hyperlink r:id="rId1475" ref="H74"/>
    <hyperlink r:id="rId1476" ref="I74"/>
    <hyperlink r:id="rId1477" ref="J74"/>
    <hyperlink r:id="rId1478" ref="K74"/>
    <hyperlink r:id="rId1479" ref="L74"/>
    <hyperlink r:id="rId1480" ref="N74"/>
    <hyperlink r:id="rId1481" ref="O74"/>
    <hyperlink r:id="rId1482" ref="P74"/>
    <hyperlink r:id="rId1483" ref="Q74"/>
    <hyperlink r:id="rId1484" ref="R74"/>
    <hyperlink r:id="rId1485" ref="S74"/>
    <hyperlink r:id="rId1486" ref="T74"/>
    <hyperlink r:id="rId1487" ref="U74"/>
    <hyperlink r:id="rId1488" ref="V74"/>
    <hyperlink r:id="rId1489" ref="W74"/>
    <hyperlink r:id="rId1490" ref="X74"/>
    <hyperlink r:id="rId1491" ref="Y74"/>
    <hyperlink r:id="rId1492" ref="C75"/>
    <hyperlink r:id="rId1493" ref="D75"/>
    <hyperlink r:id="rId1494" ref="E75"/>
    <hyperlink r:id="rId1495" ref="F75"/>
    <hyperlink r:id="rId1496" ref="G75"/>
    <hyperlink r:id="rId1497" ref="H75"/>
    <hyperlink r:id="rId1498" ref="I75"/>
    <hyperlink r:id="rId1499" ref="J75"/>
    <hyperlink r:id="rId1500" ref="K75"/>
    <hyperlink r:id="rId1501" ref="L75"/>
    <hyperlink r:id="rId1502" ref="N75"/>
    <hyperlink r:id="rId1503" ref="O75"/>
    <hyperlink r:id="rId1504" ref="P75"/>
    <hyperlink r:id="rId1505" ref="Q75"/>
    <hyperlink r:id="rId1506" ref="R75"/>
    <hyperlink r:id="rId1507" ref="S75"/>
    <hyperlink r:id="rId1508" ref="T75"/>
    <hyperlink r:id="rId1509" ref="U75"/>
    <hyperlink r:id="rId1510" ref="V75"/>
    <hyperlink r:id="rId1511" ref="W75"/>
    <hyperlink r:id="rId1512" ref="X75"/>
    <hyperlink r:id="rId1513" ref="Y75"/>
    <hyperlink r:id="rId1514" ref="C76"/>
    <hyperlink r:id="rId1515" ref="D76"/>
    <hyperlink r:id="rId1516" ref="E76"/>
    <hyperlink r:id="rId1517" ref="F76"/>
    <hyperlink r:id="rId1518" ref="G76"/>
    <hyperlink r:id="rId1519" ref="H76"/>
    <hyperlink r:id="rId1520" ref="I76"/>
    <hyperlink r:id="rId1521" ref="J76"/>
    <hyperlink r:id="rId1522" ref="K76"/>
    <hyperlink r:id="rId1523" ref="L76"/>
    <hyperlink r:id="rId1524" ref="N76"/>
    <hyperlink r:id="rId1525" ref="O76"/>
    <hyperlink r:id="rId1526" ref="P76"/>
    <hyperlink r:id="rId1527" ref="Q76"/>
    <hyperlink r:id="rId1528" ref="R76"/>
    <hyperlink r:id="rId1529" ref="S76"/>
    <hyperlink r:id="rId1530" ref="T76"/>
    <hyperlink r:id="rId1531" ref="U76"/>
    <hyperlink r:id="rId1532" ref="V76"/>
    <hyperlink r:id="rId1533" ref="W76"/>
    <hyperlink r:id="rId1534" ref="X76"/>
    <hyperlink r:id="rId1535" ref="Y76"/>
    <hyperlink r:id="rId1536" ref="C77"/>
    <hyperlink r:id="rId1537" ref="D77"/>
    <hyperlink r:id="rId1538" ref="E77"/>
    <hyperlink r:id="rId1539" ref="F77"/>
    <hyperlink r:id="rId1540" ref="G77"/>
    <hyperlink r:id="rId1541" ref="H77"/>
    <hyperlink r:id="rId1542" ref="I77"/>
    <hyperlink r:id="rId1543" ref="J77"/>
    <hyperlink r:id="rId1544" ref="K77"/>
    <hyperlink r:id="rId1545" ref="L77"/>
    <hyperlink r:id="rId1546" ref="N77"/>
    <hyperlink r:id="rId1547" ref="O77"/>
    <hyperlink r:id="rId1548" ref="P77"/>
    <hyperlink r:id="rId1549" ref="Q77"/>
    <hyperlink r:id="rId1550" ref="R77"/>
    <hyperlink r:id="rId1551" ref="S77"/>
    <hyperlink r:id="rId1552" ref="T77"/>
    <hyperlink r:id="rId1553" ref="U77"/>
    <hyperlink r:id="rId1554" ref="V77"/>
    <hyperlink r:id="rId1555" ref="W77"/>
    <hyperlink r:id="rId1556" ref="X77"/>
    <hyperlink r:id="rId1557" ref="Y77"/>
    <hyperlink r:id="rId1558" ref="C78"/>
    <hyperlink r:id="rId1559" ref="D78"/>
    <hyperlink r:id="rId1560" ref="E78"/>
    <hyperlink r:id="rId1561" ref="F78"/>
    <hyperlink r:id="rId1562" ref="G78"/>
    <hyperlink r:id="rId1563" ref="H78"/>
    <hyperlink r:id="rId1564" ref="I78"/>
    <hyperlink r:id="rId1565" ref="J78"/>
    <hyperlink r:id="rId1566" ref="K78"/>
    <hyperlink r:id="rId1567" ref="L78"/>
    <hyperlink r:id="rId1568" ref="N78"/>
    <hyperlink r:id="rId1569" ref="O78"/>
    <hyperlink r:id="rId1570" ref="P78"/>
    <hyperlink r:id="rId1571" ref="Q78"/>
    <hyperlink r:id="rId1572" ref="R78"/>
    <hyperlink r:id="rId1573" ref="S78"/>
    <hyperlink r:id="rId1574" ref="T78"/>
    <hyperlink r:id="rId1575" ref="U78"/>
    <hyperlink r:id="rId1576" ref="V78"/>
    <hyperlink r:id="rId1577" ref="W78"/>
    <hyperlink r:id="rId1578" ref="X78"/>
    <hyperlink r:id="rId1579" ref="Y78"/>
    <hyperlink r:id="rId1580" ref="C79"/>
    <hyperlink r:id="rId1581" ref="D79"/>
    <hyperlink r:id="rId1582" ref="E79"/>
    <hyperlink r:id="rId1583" ref="F79"/>
    <hyperlink r:id="rId1584" ref="G79"/>
    <hyperlink r:id="rId1585" ref="H79"/>
    <hyperlink r:id="rId1586" ref="I79"/>
    <hyperlink r:id="rId1587" ref="J79"/>
    <hyperlink r:id="rId1588" ref="K79"/>
    <hyperlink r:id="rId1589" ref="L79"/>
    <hyperlink r:id="rId1590" ref="N79"/>
    <hyperlink r:id="rId1591" ref="O79"/>
    <hyperlink r:id="rId1592" ref="P79"/>
    <hyperlink r:id="rId1593" ref="Q79"/>
    <hyperlink r:id="rId1594" ref="R79"/>
    <hyperlink r:id="rId1595" ref="S79"/>
    <hyperlink r:id="rId1596" ref="T79"/>
    <hyperlink r:id="rId1597" ref="U79"/>
    <hyperlink r:id="rId1598" ref="V79"/>
    <hyperlink r:id="rId1599" ref="W79"/>
    <hyperlink r:id="rId1600" ref="X79"/>
    <hyperlink r:id="rId1601" ref="Y79"/>
    <hyperlink r:id="rId1602" ref="C80"/>
    <hyperlink r:id="rId1603" ref="D80"/>
    <hyperlink r:id="rId1604" ref="E80"/>
    <hyperlink r:id="rId1605" ref="F80"/>
    <hyperlink r:id="rId1606" ref="G80"/>
    <hyperlink r:id="rId1607" ref="H80"/>
    <hyperlink r:id="rId1608" ref="I80"/>
    <hyperlink r:id="rId1609" ref="J80"/>
    <hyperlink r:id="rId1610" ref="K80"/>
    <hyperlink r:id="rId1611" ref="L80"/>
    <hyperlink r:id="rId1612" ref="N80"/>
    <hyperlink r:id="rId1613" ref="O80"/>
    <hyperlink r:id="rId1614" ref="P80"/>
    <hyperlink r:id="rId1615" ref="Q80"/>
    <hyperlink r:id="rId1616" ref="R80"/>
    <hyperlink r:id="rId1617" ref="S80"/>
    <hyperlink r:id="rId1618" ref="T80"/>
    <hyperlink r:id="rId1619" ref="U80"/>
    <hyperlink r:id="rId1620" ref="V80"/>
    <hyperlink r:id="rId1621" ref="W80"/>
    <hyperlink r:id="rId1622" ref="X80"/>
    <hyperlink r:id="rId1623" ref="Y80"/>
    <hyperlink r:id="rId1624" ref="C81"/>
    <hyperlink r:id="rId1625" ref="D81"/>
    <hyperlink r:id="rId1626" ref="E81"/>
    <hyperlink r:id="rId1627" ref="F81"/>
    <hyperlink r:id="rId1628" ref="G81"/>
    <hyperlink r:id="rId1629" ref="H81"/>
    <hyperlink r:id="rId1630" ref="I81"/>
    <hyperlink r:id="rId1631" ref="J81"/>
    <hyperlink r:id="rId1632" ref="K81"/>
    <hyperlink r:id="rId1633" ref="L81"/>
    <hyperlink r:id="rId1634" ref="N81"/>
    <hyperlink r:id="rId1635" ref="O81"/>
    <hyperlink r:id="rId1636" ref="P81"/>
    <hyperlink r:id="rId1637" ref="Q81"/>
    <hyperlink r:id="rId1638" ref="R81"/>
    <hyperlink r:id="rId1639" ref="S81"/>
    <hyperlink r:id="rId1640" ref="T81"/>
    <hyperlink r:id="rId1641" ref="U81"/>
    <hyperlink r:id="rId1642" ref="V81"/>
    <hyperlink r:id="rId1643" ref="W81"/>
    <hyperlink r:id="rId1644" ref="X81"/>
    <hyperlink r:id="rId1645" ref="Y81"/>
    <hyperlink r:id="rId1646" ref="C82"/>
    <hyperlink r:id="rId1647" ref="D82"/>
    <hyperlink r:id="rId1648" ref="E82"/>
    <hyperlink r:id="rId1649" ref="F82"/>
    <hyperlink r:id="rId1650" ref="G82"/>
    <hyperlink r:id="rId1651" ref="H82"/>
    <hyperlink r:id="rId1652" ref="I82"/>
    <hyperlink r:id="rId1653" ref="J82"/>
    <hyperlink r:id="rId1654" ref="K82"/>
    <hyperlink r:id="rId1655" ref="L82"/>
    <hyperlink r:id="rId1656" ref="N82"/>
    <hyperlink r:id="rId1657" ref="O82"/>
    <hyperlink r:id="rId1658" ref="P82"/>
    <hyperlink r:id="rId1659" ref="Q82"/>
    <hyperlink r:id="rId1660" ref="R82"/>
    <hyperlink r:id="rId1661" ref="S82"/>
    <hyperlink r:id="rId1662" ref="T82"/>
    <hyperlink r:id="rId1663" ref="U82"/>
    <hyperlink r:id="rId1664" ref="V82"/>
    <hyperlink r:id="rId1665" ref="W82"/>
    <hyperlink r:id="rId1666" ref="X82"/>
    <hyperlink r:id="rId1667" ref="Y82"/>
    <hyperlink r:id="rId1668" ref="C83"/>
    <hyperlink r:id="rId1669" ref="D83"/>
    <hyperlink r:id="rId1670" ref="E83"/>
    <hyperlink r:id="rId1671" ref="F83"/>
    <hyperlink r:id="rId1672" ref="G83"/>
    <hyperlink r:id="rId1673" ref="H83"/>
    <hyperlink r:id="rId1674" ref="I83"/>
    <hyperlink r:id="rId1675" ref="J83"/>
    <hyperlink r:id="rId1676" ref="K83"/>
    <hyperlink r:id="rId1677" ref="L83"/>
    <hyperlink r:id="rId1678" ref="N83"/>
    <hyperlink r:id="rId1679" ref="O83"/>
    <hyperlink r:id="rId1680" ref="P83"/>
    <hyperlink r:id="rId1681" ref="Q83"/>
    <hyperlink r:id="rId1682" ref="R83"/>
    <hyperlink r:id="rId1683" ref="S83"/>
    <hyperlink r:id="rId1684" ref="T83"/>
    <hyperlink r:id="rId1685" ref="U83"/>
    <hyperlink r:id="rId1686" ref="V83"/>
    <hyperlink r:id="rId1687" ref="W83"/>
    <hyperlink r:id="rId1688" ref="X83"/>
    <hyperlink r:id="rId1689" ref="Y83"/>
    <hyperlink r:id="rId1690" ref="N84"/>
    <hyperlink r:id="rId1691" ref="O84"/>
    <hyperlink r:id="rId1692" ref="P84"/>
    <hyperlink r:id="rId1693" ref="C85"/>
    <hyperlink r:id="rId1694" ref="D85"/>
    <hyperlink r:id="rId1695" ref="E85"/>
    <hyperlink r:id="rId1696" ref="F85"/>
    <hyperlink r:id="rId1697" ref="G85"/>
    <hyperlink r:id="rId1698" ref="H85"/>
    <hyperlink r:id="rId1699" ref="I85"/>
    <hyperlink r:id="rId1700" ref="J85"/>
    <hyperlink r:id="rId1701" ref="K85"/>
    <hyperlink r:id="rId1702" ref="L85"/>
    <hyperlink r:id="rId1703" ref="N85"/>
    <hyperlink r:id="rId1704" ref="O85"/>
    <hyperlink r:id="rId1705" ref="P85"/>
    <hyperlink r:id="rId1706" ref="Q85"/>
    <hyperlink r:id="rId1707" ref="R85"/>
    <hyperlink r:id="rId1708" ref="S85"/>
    <hyperlink r:id="rId1709" ref="T85"/>
    <hyperlink r:id="rId1710" ref="U85"/>
    <hyperlink r:id="rId1711" ref="V85"/>
    <hyperlink r:id="rId1712" ref="W85"/>
    <hyperlink r:id="rId1713" ref="X85"/>
    <hyperlink r:id="rId1714" ref="Y85"/>
    <hyperlink r:id="rId1715" ref="C86"/>
    <hyperlink r:id="rId1716" ref="D86"/>
    <hyperlink r:id="rId1717" ref="E86"/>
    <hyperlink r:id="rId1718" ref="F86"/>
    <hyperlink r:id="rId1719" ref="G86"/>
    <hyperlink r:id="rId1720" ref="H86"/>
    <hyperlink r:id="rId1721" ref="I86"/>
    <hyperlink r:id="rId1722" ref="J86"/>
    <hyperlink r:id="rId1723" ref="K86"/>
    <hyperlink r:id="rId1724" ref="L86"/>
    <hyperlink r:id="rId1725" ref="N86"/>
    <hyperlink r:id="rId1726" ref="O86"/>
    <hyperlink r:id="rId1727" ref="P86"/>
    <hyperlink r:id="rId1728" ref="Q86"/>
    <hyperlink r:id="rId1729" ref="R86"/>
    <hyperlink r:id="rId1730" ref="S86"/>
    <hyperlink r:id="rId1731" ref="T86"/>
    <hyperlink r:id="rId1732" ref="U86"/>
    <hyperlink r:id="rId1733" ref="V86"/>
    <hyperlink r:id="rId1734" ref="W86"/>
    <hyperlink r:id="rId1735" ref="X86"/>
    <hyperlink r:id="rId1736" ref="Y86"/>
    <hyperlink r:id="rId1737" ref="C87"/>
    <hyperlink r:id="rId1738" ref="D87"/>
    <hyperlink r:id="rId1739" ref="E87"/>
    <hyperlink r:id="rId1740" ref="F87"/>
    <hyperlink r:id="rId1741" ref="G87"/>
    <hyperlink r:id="rId1742" ref="H87"/>
    <hyperlink r:id="rId1743" ref="I87"/>
    <hyperlink r:id="rId1744" ref="J87"/>
    <hyperlink r:id="rId1745" ref="K87"/>
    <hyperlink r:id="rId1746" ref="L87"/>
    <hyperlink r:id="rId1747" ref="N87"/>
    <hyperlink r:id="rId1748" ref="O87"/>
    <hyperlink r:id="rId1749" ref="P87"/>
    <hyperlink r:id="rId1750" ref="Q87"/>
    <hyperlink r:id="rId1751" ref="R87"/>
    <hyperlink r:id="rId1752" ref="S87"/>
    <hyperlink r:id="rId1753" ref="T87"/>
    <hyperlink r:id="rId1754" ref="U87"/>
    <hyperlink r:id="rId1755" ref="V87"/>
    <hyperlink r:id="rId1756" ref="W87"/>
    <hyperlink r:id="rId1757" ref="X87"/>
    <hyperlink r:id="rId1758" ref="Y87"/>
    <hyperlink r:id="rId1759" ref="C88"/>
    <hyperlink r:id="rId1760" ref="D88"/>
    <hyperlink r:id="rId1761" ref="E88"/>
    <hyperlink r:id="rId1762" ref="F88"/>
    <hyperlink r:id="rId1763" ref="G88"/>
    <hyperlink r:id="rId1764" ref="H88"/>
    <hyperlink r:id="rId1765" ref="I88"/>
    <hyperlink r:id="rId1766" ref="J88"/>
    <hyperlink r:id="rId1767" ref="K88"/>
    <hyperlink r:id="rId1768" ref="L88"/>
    <hyperlink r:id="rId1769" ref="N88"/>
    <hyperlink r:id="rId1770" ref="O88"/>
    <hyperlink r:id="rId1771" ref="P88"/>
    <hyperlink r:id="rId1772" ref="Q88"/>
    <hyperlink r:id="rId1773" ref="R88"/>
    <hyperlink r:id="rId1774" ref="S88"/>
    <hyperlink r:id="rId1775" ref="T88"/>
    <hyperlink r:id="rId1776" ref="U88"/>
    <hyperlink r:id="rId1777" ref="V88"/>
    <hyperlink r:id="rId1778" ref="W88"/>
    <hyperlink r:id="rId1779" ref="X88"/>
    <hyperlink r:id="rId1780" ref="Y88"/>
    <hyperlink r:id="rId1781" ref="C89"/>
    <hyperlink r:id="rId1782" ref="D89"/>
    <hyperlink r:id="rId1783" ref="E89"/>
    <hyperlink r:id="rId1784" ref="F89"/>
    <hyperlink r:id="rId1785" ref="G89"/>
    <hyperlink r:id="rId1786" ref="H89"/>
    <hyperlink r:id="rId1787" ref="I89"/>
    <hyperlink r:id="rId1788" ref="J89"/>
    <hyperlink r:id="rId1789" ref="K89"/>
    <hyperlink r:id="rId1790" ref="L89"/>
    <hyperlink r:id="rId1791" ref="N89"/>
    <hyperlink r:id="rId1792" ref="O89"/>
    <hyperlink r:id="rId1793" ref="P89"/>
    <hyperlink r:id="rId1794" ref="Q89"/>
    <hyperlink r:id="rId1795" ref="R89"/>
    <hyperlink r:id="rId1796" ref="S89"/>
    <hyperlink r:id="rId1797" ref="T89"/>
    <hyperlink r:id="rId1798" ref="U89"/>
    <hyperlink r:id="rId1799" ref="V89"/>
    <hyperlink r:id="rId1800" ref="W89"/>
    <hyperlink r:id="rId1801" ref="X89"/>
    <hyperlink r:id="rId1802" ref="Y89"/>
    <hyperlink r:id="rId1803" ref="C90"/>
    <hyperlink r:id="rId1804" ref="D90"/>
    <hyperlink r:id="rId1805" ref="E90"/>
    <hyperlink r:id="rId1806" ref="F90"/>
    <hyperlink r:id="rId1807" ref="G90"/>
    <hyperlink r:id="rId1808" ref="H90"/>
    <hyperlink r:id="rId1809" ref="I90"/>
    <hyperlink r:id="rId1810" ref="J90"/>
    <hyperlink r:id="rId1811" ref="K90"/>
    <hyperlink r:id="rId1812" ref="L90"/>
    <hyperlink r:id="rId1813" ref="N90"/>
    <hyperlink r:id="rId1814" ref="O90"/>
    <hyperlink r:id="rId1815" ref="P90"/>
    <hyperlink r:id="rId1816" ref="Q90"/>
    <hyperlink r:id="rId1817" ref="R90"/>
    <hyperlink r:id="rId1818" ref="S90"/>
    <hyperlink r:id="rId1819" ref="T90"/>
    <hyperlink r:id="rId1820" ref="U90"/>
    <hyperlink r:id="rId1821" ref="V90"/>
    <hyperlink r:id="rId1822" ref="W90"/>
    <hyperlink r:id="rId1823" ref="X90"/>
    <hyperlink r:id="rId1824" ref="Y90"/>
    <hyperlink r:id="rId1825" ref="C91"/>
    <hyperlink r:id="rId1826" ref="D91"/>
    <hyperlink r:id="rId1827" ref="E91"/>
    <hyperlink r:id="rId1828" ref="F91"/>
    <hyperlink r:id="rId1829" ref="G91"/>
    <hyperlink r:id="rId1830" ref="H91"/>
    <hyperlink r:id="rId1831" ref="I91"/>
    <hyperlink r:id="rId1832" ref="J91"/>
    <hyperlink r:id="rId1833" ref="K91"/>
    <hyperlink r:id="rId1834" ref="L91"/>
    <hyperlink r:id="rId1835" ref="N91"/>
    <hyperlink r:id="rId1836" ref="O91"/>
    <hyperlink r:id="rId1837" ref="P91"/>
    <hyperlink r:id="rId1838" ref="Q91"/>
    <hyperlink r:id="rId1839" ref="R91"/>
    <hyperlink r:id="rId1840" ref="S91"/>
    <hyperlink r:id="rId1841" ref="T91"/>
    <hyperlink r:id="rId1842" ref="U91"/>
    <hyperlink r:id="rId1843" ref="V91"/>
    <hyperlink r:id="rId1844" ref="W91"/>
    <hyperlink r:id="rId1845" ref="X91"/>
    <hyperlink r:id="rId1846" ref="Y91"/>
    <hyperlink r:id="rId1847" ref="C92"/>
    <hyperlink r:id="rId1848" ref="D92"/>
    <hyperlink r:id="rId1849" ref="E92"/>
    <hyperlink r:id="rId1850" ref="F92"/>
    <hyperlink r:id="rId1851" ref="G92"/>
    <hyperlink r:id="rId1852" ref="H92"/>
    <hyperlink r:id="rId1853" ref="I92"/>
    <hyperlink r:id="rId1854" ref="J92"/>
    <hyperlink r:id="rId1855" ref="K92"/>
    <hyperlink r:id="rId1856" ref="L92"/>
    <hyperlink r:id="rId1857" ref="N92"/>
    <hyperlink r:id="rId1858" ref="O92"/>
    <hyperlink r:id="rId1859" ref="P92"/>
    <hyperlink r:id="rId1860" ref="Q92"/>
    <hyperlink r:id="rId1861" ref="R92"/>
    <hyperlink r:id="rId1862" ref="S92"/>
    <hyperlink r:id="rId1863" ref="T92"/>
    <hyperlink r:id="rId1864" ref="U92"/>
    <hyperlink r:id="rId1865" ref="V92"/>
    <hyperlink r:id="rId1866" ref="W92"/>
    <hyperlink r:id="rId1867" ref="X92"/>
    <hyperlink r:id="rId1868" ref="Y92"/>
    <hyperlink r:id="rId1869" ref="C93"/>
    <hyperlink r:id="rId1870" ref="D93"/>
    <hyperlink r:id="rId1871" ref="E93"/>
    <hyperlink r:id="rId1872" ref="F93"/>
    <hyperlink r:id="rId1873" ref="G93"/>
    <hyperlink r:id="rId1874" ref="H93"/>
    <hyperlink r:id="rId1875" ref="I93"/>
    <hyperlink r:id="rId1876" ref="J93"/>
    <hyperlink r:id="rId1877" ref="K93"/>
    <hyperlink r:id="rId1878" ref="L93"/>
    <hyperlink r:id="rId1879" ref="N93"/>
    <hyperlink r:id="rId1880" ref="O93"/>
    <hyperlink r:id="rId1881" ref="P93"/>
    <hyperlink r:id="rId1882" ref="Q93"/>
    <hyperlink r:id="rId1883" ref="R93"/>
    <hyperlink r:id="rId1884" ref="S93"/>
    <hyperlink r:id="rId1885" ref="T93"/>
    <hyperlink r:id="rId1886" ref="U93"/>
    <hyperlink r:id="rId1887" ref="V93"/>
    <hyperlink r:id="rId1888" ref="W93"/>
    <hyperlink r:id="rId1889" ref="X93"/>
    <hyperlink r:id="rId1890" ref="Y93"/>
    <hyperlink r:id="rId1891" ref="C94"/>
    <hyperlink r:id="rId1892" ref="D94"/>
    <hyperlink r:id="rId1893" ref="E94"/>
    <hyperlink r:id="rId1894" ref="F94"/>
    <hyperlink r:id="rId1895" ref="G94"/>
    <hyperlink r:id="rId1896" ref="H94"/>
    <hyperlink r:id="rId1897" ref="I94"/>
    <hyperlink r:id="rId1898" ref="J94"/>
    <hyperlink r:id="rId1899" ref="K94"/>
    <hyperlink r:id="rId1900" ref="L94"/>
    <hyperlink r:id="rId1901" ref="N94"/>
    <hyperlink r:id="rId1902" ref="O94"/>
    <hyperlink r:id="rId1903" ref="P94"/>
    <hyperlink r:id="rId1904" ref="Q94"/>
    <hyperlink r:id="rId1905" ref="R94"/>
    <hyperlink r:id="rId1906" ref="S94"/>
    <hyperlink r:id="rId1907" ref="T94"/>
    <hyperlink r:id="rId1908" ref="U94"/>
    <hyperlink r:id="rId1909" ref="V94"/>
    <hyperlink r:id="rId1910" ref="W94"/>
    <hyperlink r:id="rId1911" ref="X94"/>
    <hyperlink r:id="rId1912" ref="Y94"/>
    <hyperlink r:id="rId1913" ref="C95"/>
    <hyperlink r:id="rId1914" ref="D95"/>
    <hyperlink r:id="rId1915" ref="E95"/>
    <hyperlink r:id="rId1916" ref="F95"/>
    <hyperlink r:id="rId1917" ref="G95"/>
    <hyperlink r:id="rId1918" ref="H95"/>
    <hyperlink r:id="rId1919" ref="I95"/>
    <hyperlink r:id="rId1920" ref="J95"/>
    <hyperlink r:id="rId1921" ref="K95"/>
    <hyperlink r:id="rId1922" ref="L95"/>
    <hyperlink r:id="rId1923" ref="N95"/>
    <hyperlink r:id="rId1924" ref="O95"/>
    <hyperlink r:id="rId1925" ref="P95"/>
    <hyperlink r:id="rId1926" ref="Q95"/>
    <hyperlink r:id="rId1927" ref="R95"/>
    <hyperlink r:id="rId1928" ref="S95"/>
    <hyperlink r:id="rId1929" ref="T95"/>
    <hyperlink r:id="rId1930" ref="U95"/>
    <hyperlink r:id="rId1931" ref="V95"/>
    <hyperlink r:id="rId1932" ref="W95"/>
    <hyperlink r:id="rId1933" ref="X95"/>
    <hyperlink r:id="rId1934" ref="Y95"/>
    <hyperlink r:id="rId1935" ref="C96"/>
    <hyperlink r:id="rId1936" ref="D96"/>
    <hyperlink r:id="rId1937" ref="E96"/>
    <hyperlink r:id="rId1938" ref="F96"/>
    <hyperlink r:id="rId1939" ref="G96"/>
    <hyperlink r:id="rId1940" ref="H96"/>
    <hyperlink r:id="rId1941" ref="I96"/>
    <hyperlink r:id="rId1942" ref="J96"/>
    <hyperlink r:id="rId1943" ref="K96"/>
    <hyperlink r:id="rId1944" ref="L96"/>
    <hyperlink r:id="rId1945" ref="N96"/>
    <hyperlink r:id="rId1946" ref="O96"/>
    <hyperlink r:id="rId1947" ref="P96"/>
    <hyperlink r:id="rId1948" ref="Q96"/>
    <hyperlink r:id="rId1949" ref="R96"/>
    <hyperlink r:id="rId1950" ref="S96"/>
    <hyperlink r:id="rId1951" ref="T96"/>
    <hyperlink r:id="rId1952" ref="U96"/>
    <hyperlink r:id="rId1953" ref="V96"/>
    <hyperlink r:id="rId1954" ref="W96"/>
    <hyperlink r:id="rId1955" ref="X96"/>
    <hyperlink r:id="rId1956" ref="Y96"/>
    <hyperlink r:id="rId1957" ref="C97"/>
    <hyperlink r:id="rId1958" ref="D97"/>
    <hyperlink r:id="rId1959" ref="E97"/>
    <hyperlink r:id="rId1960" ref="F97"/>
    <hyperlink r:id="rId1961" ref="G97"/>
    <hyperlink r:id="rId1962" ref="H97"/>
    <hyperlink r:id="rId1963" ref="I97"/>
    <hyperlink r:id="rId1964" ref="J97"/>
    <hyperlink r:id="rId1965" ref="K97"/>
    <hyperlink r:id="rId1966" ref="L97"/>
    <hyperlink r:id="rId1967" ref="N97"/>
    <hyperlink r:id="rId1968" ref="O97"/>
    <hyperlink r:id="rId1969" ref="P97"/>
    <hyperlink r:id="rId1970" ref="Q97"/>
    <hyperlink r:id="rId1971" ref="R97"/>
    <hyperlink r:id="rId1972" ref="S97"/>
    <hyperlink r:id="rId1973" ref="T97"/>
    <hyperlink r:id="rId1974" ref="U97"/>
    <hyperlink r:id="rId1975" ref="V97"/>
    <hyperlink r:id="rId1976" ref="W97"/>
    <hyperlink r:id="rId1977" ref="X97"/>
    <hyperlink r:id="rId1978" ref="Y97"/>
    <hyperlink r:id="rId1979" ref="C98"/>
    <hyperlink r:id="rId1980" ref="D98"/>
    <hyperlink r:id="rId1981" ref="E98"/>
    <hyperlink r:id="rId1982" ref="F98"/>
    <hyperlink r:id="rId1983" ref="G98"/>
    <hyperlink r:id="rId1984" ref="H98"/>
    <hyperlink r:id="rId1985" ref="I98"/>
    <hyperlink r:id="rId1986" ref="J98"/>
    <hyperlink r:id="rId1987" ref="K98"/>
    <hyperlink r:id="rId1988" ref="L98"/>
    <hyperlink r:id="rId1989" ref="N98"/>
    <hyperlink r:id="rId1990" ref="O98"/>
    <hyperlink r:id="rId1991" ref="P98"/>
    <hyperlink r:id="rId1992" ref="Q98"/>
    <hyperlink r:id="rId1993" ref="R98"/>
    <hyperlink r:id="rId1994" ref="S98"/>
    <hyperlink r:id="rId1995" ref="T98"/>
    <hyperlink r:id="rId1996" ref="U98"/>
    <hyperlink r:id="rId1997" ref="V98"/>
    <hyperlink r:id="rId1998" ref="W98"/>
    <hyperlink r:id="rId1999" ref="X98"/>
    <hyperlink r:id="rId2000" ref="Y98"/>
    <hyperlink r:id="rId2001" ref="C99"/>
    <hyperlink r:id="rId2002" ref="D99"/>
    <hyperlink r:id="rId2003" ref="E99"/>
    <hyperlink r:id="rId2004" ref="F99"/>
    <hyperlink r:id="rId2005" ref="G99"/>
    <hyperlink r:id="rId2006" ref="H99"/>
    <hyperlink r:id="rId2007" ref="I99"/>
    <hyperlink r:id="rId2008" ref="J99"/>
    <hyperlink r:id="rId2009" ref="K99"/>
    <hyperlink r:id="rId2010" ref="L99"/>
    <hyperlink r:id="rId2011" ref="N99"/>
    <hyperlink r:id="rId2012" ref="O99"/>
    <hyperlink r:id="rId2013" ref="P99"/>
    <hyperlink r:id="rId2014" ref="Q99"/>
    <hyperlink r:id="rId2015" ref="R99"/>
    <hyperlink r:id="rId2016" ref="S99"/>
    <hyperlink r:id="rId2017" ref="T99"/>
    <hyperlink r:id="rId2018" ref="U99"/>
    <hyperlink r:id="rId2019" ref="V99"/>
    <hyperlink r:id="rId2020" ref="W99"/>
    <hyperlink r:id="rId2021" ref="X99"/>
    <hyperlink r:id="rId2022" ref="Y99"/>
    <hyperlink r:id="rId2023" ref="N100"/>
    <hyperlink r:id="rId2024" ref="O100"/>
    <hyperlink r:id="rId2025" ref="P100"/>
    <hyperlink r:id="rId2026" ref="C101"/>
    <hyperlink r:id="rId2027" ref="D101"/>
    <hyperlink r:id="rId2028" ref="E101"/>
    <hyperlink r:id="rId2029" ref="F101"/>
    <hyperlink r:id="rId2030" ref="G101"/>
    <hyperlink r:id="rId2031" ref="H101"/>
    <hyperlink r:id="rId2032" ref="I101"/>
    <hyperlink r:id="rId2033" ref="J101"/>
    <hyperlink r:id="rId2034" ref="K101"/>
    <hyperlink r:id="rId2035" ref="L101"/>
    <hyperlink r:id="rId2036" ref="N101"/>
    <hyperlink r:id="rId2037" ref="O101"/>
    <hyperlink r:id="rId2038" ref="P101"/>
    <hyperlink r:id="rId2039" ref="Q101"/>
    <hyperlink r:id="rId2040" ref="R101"/>
    <hyperlink r:id="rId2041" ref="S101"/>
    <hyperlink r:id="rId2042" ref="T101"/>
    <hyperlink r:id="rId2043" ref="U101"/>
    <hyperlink r:id="rId2044" ref="V101"/>
    <hyperlink r:id="rId2045" ref="W101"/>
    <hyperlink r:id="rId2046" ref="X101"/>
    <hyperlink r:id="rId2047" ref="Y101"/>
    <hyperlink r:id="rId2048" ref="C102"/>
    <hyperlink r:id="rId2049" ref="D102"/>
    <hyperlink r:id="rId2050" ref="E102"/>
    <hyperlink r:id="rId2051" ref="F102"/>
    <hyperlink r:id="rId2052" ref="G102"/>
    <hyperlink r:id="rId2053" ref="H102"/>
    <hyperlink r:id="rId2054" ref="I102"/>
    <hyperlink r:id="rId2055" ref="J102"/>
    <hyperlink r:id="rId2056" ref="K102"/>
    <hyperlink r:id="rId2057" ref="L102"/>
    <hyperlink r:id="rId2058" ref="N102"/>
    <hyperlink r:id="rId2059" ref="O102"/>
    <hyperlink r:id="rId2060" ref="P102"/>
    <hyperlink r:id="rId2061" ref="Q102"/>
    <hyperlink r:id="rId2062" ref="R102"/>
    <hyperlink r:id="rId2063" ref="S102"/>
    <hyperlink r:id="rId2064" ref="T102"/>
    <hyperlink r:id="rId2065" ref="U102"/>
    <hyperlink r:id="rId2066" ref="V102"/>
    <hyperlink r:id="rId2067" ref="W102"/>
    <hyperlink r:id="rId2068" ref="X102"/>
    <hyperlink r:id="rId2069" ref="Y102"/>
    <hyperlink r:id="rId2070" ref="C103"/>
    <hyperlink r:id="rId2071" ref="D103"/>
    <hyperlink r:id="rId2072" ref="E103"/>
    <hyperlink r:id="rId2073" ref="F103"/>
    <hyperlink r:id="rId2074" ref="G103"/>
    <hyperlink r:id="rId2075" ref="H103"/>
    <hyperlink r:id="rId2076" ref="I103"/>
    <hyperlink r:id="rId2077" ref="J103"/>
    <hyperlink r:id="rId2078" ref="K103"/>
    <hyperlink r:id="rId2079" ref="L103"/>
    <hyperlink r:id="rId2080" ref="N103"/>
    <hyperlink r:id="rId2081" ref="O103"/>
    <hyperlink r:id="rId2082" ref="P103"/>
    <hyperlink r:id="rId2083" ref="Q103"/>
    <hyperlink r:id="rId2084" ref="R103"/>
    <hyperlink r:id="rId2085" ref="S103"/>
    <hyperlink r:id="rId2086" ref="T103"/>
    <hyperlink r:id="rId2087" ref="U103"/>
    <hyperlink r:id="rId2088" ref="V103"/>
    <hyperlink r:id="rId2089" ref="W103"/>
    <hyperlink r:id="rId2090" ref="X103"/>
    <hyperlink r:id="rId2091" ref="Y103"/>
    <hyperlink r:id="rId2092" ref="C104"/>
    <hyperlink r:id="rId2093" ref="D104"/>
    <hyperlink r:id="rId2094" ref="E104"/>
    <hyperlink r:id="rId2095" ref="F104"/>
    <hyperlink r:id="rId2096" ref="G104"/>
    <hyperlink r:id="rId2097" ref="H104"/>
    <hyperlink r:id="rId2098" ref="I104"/>
    <hyperlink r:id="rId2099" ref="J104"/>
    <hyperlink r:id="rId2100" ref="K104"/>
    <hyperlink r:id="rId2101" ref="L104"/>
    <hyperlink r:id="rId2102" ref="N104"/>
    <hyperlink r:id="rId2103" ref="O104"/>
    <hyperlink r:id="rId2104" ref="P104"/>
    <hyperlink r:id="rId2105" ref="Q104"/>
    <hyperlink r:id="rId2106" ref="R104"/>
    <hyperlink r:id="rId2107" ref="S104"/>
    <hyperlink r:id="rId2108" ref="T104"/>
    <hyperlink r:id="rId2109" ref="U104"/>
    <hyperlink r:id="rId2110" ref="V104"/>
    <hyperlink r:id="rId2111" ref="W104"/>
    <hyperlink r:id="rId2112" ref="X104"/>
    <hyperlink r:id="rId2113" ref="Y104"/>
    <hyperlink r:id="rId2114" ref="C105"/>
    <hyperlink r:id="rId2115" ref="D105"/>
    <hyperlink r:id="rId2116" ref="E105"/>
    <hyperlink r:id="rId2117" ref="F105"/>
    <hyperlink r:id="rId2118" ref="G105"/>
    <hyperlink r:id="rId2119" ref="H105"/>
    <hyperlink r:id="rId2120" ref="I105"/>
    <hyperlink r:id="rId2121" ref="J105"/>
    <hyperlink r:id="rId2122" ref="K105"/>
    <hyperlink r:id="rId2123" ref="L105"/>
    <hyperlink r:id="rId2124" ref="N105"/>
    <hyperlink r:id="rId2125" ref="O105"/>
    <hyperlink r:id="rId2126" ref="P105"/>
    <hyperlink r:id="rId2127" ref="Q105"/>
    <hyperlink r:id="rId2128" ref="R105"/>
    <hyperlink r:id="rId2129" ref="S105"/>
    <hyperlink r:id="rId2130" ref="T105"/>
    <hyperlink r:id="rId2131" ref="U105"/>
    <hyperlink r:id="rId2132" ref="V105"/>
    <hyperlink r:id="rId2133" ref="W105"/>
    <hyperlink r:id="rId2134" ref="X105"/>
    <hyperlink r:id="rId2135" ref="Y105"/>
    <hyperlink r:id="rId2136" ref="C106"/>
    <hyperlink r:id="rId2137" ref="D106"/>
    <hyperlink r:id="rId2138" ref="E106"/>
    <hyperlink r:id="rId2139" ref="F106"/>
    <hyperlink r:id="rId2140" ref="G106"/>
    <hyperlink r:id="rId2141" ref="H106"/>
    <hyperlink r:id="rId2142" ref="I106"/>
    <hyperlink r:id="rId2143" ref="J106"/>
    <hyperlink r:id="rId2144" ref="K106"/>
    <hyperlink r:id="rId2145" ref="L106"/>
    <hyperlink r:id="rId2146" ref="N106"/>
    <hyperlink r:id="rId2147" ref="O106"/>
    <hyperlink r:id="rId2148" ref="P106"/>
    <hyperlink r:id="rId2149" ref="Q106"/>
    <hyperlink r:id="rId2150" ref="R106"/>
    <hyperlink r:id="rId2151" ref="S106"/>
    <hyperlink r:id="rId2152" ref="T106"/>
    <hyperlink r:id="rId2153" ref="U106"/>
    <hyperlink r:id="rId2154" ref="V106"/>
    <hyperlink r:id="rId2155" ref="W106"/>
    <hyperlink r:id="rId2156" ref="X106"/>
    <hyperlink r:id="rId2157" ref="Y106"/>
    <hyperlink r:id="rId2158" ref="C107"/>
    <hyperlink r:id="rId2159" ref="D107"/>
    <hyperlink r:id="rId2160" ref="E107"/>
    <hyperlink r:id="rId2161" ref="F107"/>
    <hyperlink r:id="rId2162" ref="G107"/>
    <hyperlink r:id="rId2163" ref="H107"/>
    <hyperlink r:id="rId2164" ref="I107"/>
    <hyperlink r:id="rId2165" ref="J107"/>
    <hyperlink r:id="rId2166" ref="K107"/>
    <hyperlink r:id="rId2167" ref="L107"/>
    <hyperlink r:id="rId2168" ref="N107"/>
    <hyperlink r:id="rId2169" ref="O107"/>
    <hyperlink r:id="rId2170" ref="P107"/>
    <hyperlink r:id="rId2171" ref="Q107"/>
    <hyperlink r:id="rId2172" ref="R107"/>
    <hyperlink r:id="rId2173" ref="S107"/>
    <hyperlink r:id="rId2174" ref="T107"/>
    <hyperlink r:id="rId2175" ref="U107"/>
    <hyperlink r:id="rId2176" ref="V107"/>
    <hyperlink r:id="rId2177" ref="W107"/>
    <hyperlink r:id="rId2178" ref="X107"/>
    <hyperlink r:id="rId2179" ref="Y107"/>
    <hyperlink r:id="rId2180" ref="C108"/>
    <hyperlink r:id="rId2181" ref="D108"/>
    <hyperlink r:id="rId2182" ref="E108"/>
    <hyperlink r:id="rId2183" ref="F108"/>
    <hyperlink r:id="rId2184" ref="G108"/>
    <hyperlink r:id="rId2185" ref="H108"/>
    <hyperlink r:id="rId2186" ref="I108"/>
    <hyperlink r:id="rId2187" ref="J108"/>
    <hyperlink r:id="rId2188" ref="K108"/>
    <hyperlink r:id="rId2189" ref="L108"/>
    <hyperlink r:id="rId2190" ref="N108"/>
    <hyperlink r:id="rId2191" ref="O108"/>
    <hyperlink r:id="rId2192" ref="P108"/>
    <hyperlink r:id="rId2193" ref="Q108"/>
    <hyperlink r:id="rId2194" ref="R108"/>
    <hyperlink r:id="rId2195" ref="S108"/>
    <hyperlink r:id="rId2196" ref="T108"/>
    <hyperlink r:id="rId2197" ref="U108"/>
    <hyperlink r:id="rId2198" ref="V108"/>
    <hyperlink r:id="rId2199" ref="W108"/>
    <hyperlink r:id="rId2200" ref="X108"/>
    <hyperlink r:id="rId2201" ref="Y108"/>
    <hyperlink r:id="rId2202" ref="C109"/>
    <hyperlink r:id="rId2203" ref="D109"/>
    <hyperlink r:id="rId2204" ref="E109"/>
    <hyperlink r:id="rId2205" ref="F109"/>
    <hyperlink r:id="rId2206" ref="G109"/>
    <hyperlink r:id="rId2207" ref="H109"/>
    <hyperlink r:id="rId2208" ref="I109"/>
    <hyperlink r:id="rId2209" ref="J109"/>
    <hyperlink r:id="rId2210" ref="K109"/>
    <hyperlink r:id="rId2211" ref="L109"/>
    <hyperlink r:id="rId2212" ref="N109"/>
    <hyperlink r:id="rId2213" ref="O109"/>
    <hyperlink r:id="rId2214" ref="P109"/>
    <hyperlink r:id="rId2215" ref="Q109"/>
    <hyperlink r:id="rId2216" ref="R109"/>
    <hyperlink r:id="rId2217" ref="S109"/>
    <hyperlink r:id="rId2218" ref="T109"/>
    <hyperlink r:id="rId2219" ref="U109"/>
    <hyperlink r:id="rId2220" ref="V109"/>
    <hyperlink r:id="rId2221" ref="W109"/>
    <hyperlink r:id="rId2222" ref="X109"/>
    <hyperlink r:id="rId2223" ref="Y109"/>
    <hyperlink r:id="rId2224" ref="C110"/>
    <hyperlink r:id="rId2225" ref="D110"/>
    <hyperlink r:id="rId2226" ref="E110"/>
    <hyperlink r:id="rId2227" ref="F110"/>
    <hyperlink r:id="rId2228" ref="G110"/>
    <hyperlink r:id="rId2229" ref="H110"/>
    <hyperlink r:id="rId2230" ref="I110"/>
    <hyperlink r:id="rId2231" ref="J110"/>
    <hyperlink r:id="rId2232" ref="K110"/>
    <hyperlink r:id="rId2233" ref="L110"/>
    <hyperlink r:id="rId2234" ref="N110"/>
    <hyperlink r:id="rId2235" ref="O110"/>
    <hyperlink r:id="rId2236" ref="P110"/>
    <hyperlink r:id="rId2237" ref="Q110"/>
    <hyperlink r:id="rId2238" ref="R110"/>
    <hyperlink r:id="rId2239" ref="S110"/>
    <hyperlink r:id="rId2240" ref="T110"/>
    <hyperlink r:id="rId2241" ref="U110"/>
    <hyperlink r:id="rId2242" ref="V110"/>
    <hyperlink r:id="rId2243" ref="W110"/>
    <hyperlink r:id="rId2244" ref="X110"/>
    <hyperlink r:id="rId2245" ref="Y110"/>
    <hyperlink r:id="rId2246" ref="C111"/>
    <hyperlink r:id="rId2247" ref="D111"/>
    <hyperlink r:id="rId2248" ref="E111"/>
    <hyperlink r:id="rId2249" ref="F111"/>
    <hyperlink r:id="rId2250" ref="G111"/>
    <hyperlink r:id="rId2251" ref="H111"/>
    <hyperlink r:id="rId2252" ref="I111"/>
    <hyperlink r:id="rId2253" ref="J111"/>
    <hyperlink r:id="rId2254" ref="K111"/>
    <hyperlink r:id="rId2255" ref="L111"/>
    <hyperlink r:id="rId2256" ref="N111"/>
    <hyperlink r:id="rId2257" ref="O111"/>
    <hyperlink r:id="rId2258" ref="P111"/>
    <hyperlink r:id="rId2259" ref="Q111"/>
    <hyperlink r:id="rId2260" ref="R111"/>
    <hyperlink r:id="rId2261" ref="S111"/>
    <hyperlink r:id="rId2262" ref="T111"/>
    <hyperlink r:id="rId2263" ref="U111"/>
    <hyperlink r:id="rId2264" ref="V111"/>
    <hyperlink r:id="rId2265" ref="W111"/>
    <hyperlink r:id="rId2266" ref="X111"/>
    <hyperlink r:id="rId2267" ref="Y111"/>
    <hyperlink r:id="rId2268" ref="C112"/>
    <hyperlink r:id="rId2269" ref="D112"/>
    <hyperlink r:id="rId2270" ref="E112"/>
    <hyperlink r:id="rId2271" ref="F112"/>
    <hyperlink r:id="rId2272" ref="G112"/>
    <hyperlink r:id="rId2273" ref="H112"/>
    <hyperlink r:id="rId2274" ref="I112"/>
    <hyperlink r:id="rId2275" ref="J112"/>
    <hyperlink r:id="rId2276" ref="K112"/>
    <hyperlink r:id="rId2277" ref="L112"/>
    <hyperlink r:id="rId2278" ref="N112"/>
    <hyperlink r:id="rId2279" ref="O112"/>
    <hyperlink r:id="rId2280" ref="P112"/>
    <hyperlink r:id="rId2281" ref="Q112"/>
    <hyperlink r:id="rId2282" ref="R112"/>
    <hyperlink r:id="rId2283" ref="S112"/>
    <hyperlink r:id="rId2284" ref="T112"/>
    <hyperlink r:id="rId2285" ref="U112"/>
    <hyperlink r:id="rId2286" ref="V112"/>
    <hyperlink r:id="rId2287" ref="W112"/>
    <hyperlink r:id="rId2288" ref="X112"/>
    <hyperlink r:id="rId2289" ref="Y112"/>
    <hyperlink r:id="rId2290" ref="C113"/>
    <hyperlink r:id="rId2291" ref="D113"/>
    <hyperlink r:id="rId2292" ref="E113"/>
    <hyperlink r:id="rId2293" ref="F113"/>
    <hyperlink r:id="rId2294" ref="G113"/>
    <hyperlink r:id="rId2295" ref="H113"/>
    <hyperlink r:id="rId2296" ref="I113"/>
    <hyperlink r:id="rId2297" ref="J113"/>
    <hyperlink r:id="rId2298" ref="K113"/>
    <hyperlink r:id="rId2299" ref="L113"/>
    <hyperlink r:id="rId2300" ref="N113"/>
    <hyperlink r:id="rId2301" ref="O113"/>
    <hyperlink r:id="rId2302" ref="P113"/>
    <hyperlink r:id="rId2303" ref="Q113"/>
    <hyperlink r:id="rId2304" ref="R113"/>
    <hyperlink r:id="rId2305" ref="S113"/>
    <hyperlink r:id="rId2306" ref="T113"/>
    <hyperlink r:id="rId2307" ref="U113"/>
    <hyperlink r:id="rId2308" ref="V113"/>
    <hyperlink r:id="rId2309" ref="W113"/>
    <hyperlink r:id="rId2310" ref="X113"/>
    <hyperlink r:id="rId2311" ref="Y113"/>
    <hyperlink r:id="rId2312" ref="C114"/>
    <hyperlink r:id="rId2313" ref="D114"/>
    <hyperlink r:id="rId2314" ref="E114"/>
    <hyperlink r:id="rId2315" ref="F114"/>
    <hyperlink r:id="rId2316" ref="G114"/>
    <hyperlink r:id="rId2317" ref="H114"/>
    <hyperlink r:id="rId2318" ref="I114"/>
    <hyperlink r:id="rId2319" ref="J114"/>
    <hyperlink r:id="rId2320" ref="K114"/>
    <hyperlink r:id="rId2321" ref="L114"/>
    <hyperlink r:id="rId2322" ref="N114"/>
    <hyperlink r:id="rId2323" ref="O114"/>
    <hyperlink r:id="rId2324" ref="P114"/>
    <hyperlink r:id="rId2325" ref="Q114"/>
    <hyperlink r:id="rId2326" ref="R114"/>
    <hyperlink r:id="rId2327" ref="S114"/>
    <hyperlink r:id="rId2328" ref="T114"/>
    <hyperlink r:id="rId2329" ref="U114"/>
    <hyperlink r:id="rId2330" ref="V114"/>
    <hyperlink r:id="rId2331" ref="W114"/>
    <hyperlink r:id="rId2332" ref="X114"/>
    <hyperlink r:id="rId2333" ref="Y114"/>
    <hyperlink r:id="rId2334" ref="C115"/>
    <hyperlink r:id="rId2335" ref="D115"/>
    <hyperlink r:id="rId2336" ref="E115"/>
    <hyperlink r:id="rId2337" ref="F115"/>
    <hyperlink r:id="rId2338" ref="G115"/>
    <hyperlink r:id="rId2339" ref="H115"/>
    <hyperlink r:id="rId2340" ref="I115"/>
    <hyperlink r:id="rId2341" ref="J115"/>
    <hyperlink r:id="rId2342" ref="K115"/>
    <hyperlink r:id="rId2343" ref="L115"/>
    <hyperlink r:id="rId2344" ref="N115"/>
    <hyperlink r:id="rId2345" ref="O115"/>
    <hyperlink r:id="rId2346" ref="P115"/>
    <hyperlink r:id="rId2347" ref="Q115"/>
    <hyperlink r:id="rId2348" ref="R115"/>
    <hyperlink r:id="rId2349" ref="S115"/>
    <hyperlink r:id="rId2350" ref="T115"/>
    <hyperlink r:id="rId2351" ref="U115"/>
    <hyperlink r:id="rId2352" ref="V115"/>
    <hyperlink r:id="rId2353" ref="W115"/>
    <hyperlink r:id="rId2354" ref="X115"/>
    <hyperlink r:id="rId2355" ref="Y115"/>
    <hyperlink r:id="rId2356" ref="N116"/>
    <hyperlink r:id="rId2357" ref="O116"/>
    <hyperlink r:id="rId2358" ref="P116"/>
    <hyperlink r:id="rId2359" ref="C117"/>
    <hyperlink r:id="rId2360" ref="D117"/>
    <hyperlink r:id="rId2361" ref="E117"/>
    <hyperlink r:id="rId2362" ref="F117"/>
    <hyperlink r:id="rId2363" ref="G117"/>
    <hyperlink r:id="rId2364" ref="H117"/>
    <hyperlink r:id="rId2365" ref="I117"/>
    <hyperlink r:id="rId2366" ref="J117"/>
    <hyperlink r:id="rId2367" ref="K117"/>
    <hyperlink r:id="rId2368" ref="L117"/>
    <hyperlink r:id="rId2369" ref="N117"/>
    <hyperlink r:id="rId2370" ref="O117"/>
    <hyperlink r:id="rId2371" ref="P117"/>
    <hyperlink r:id="rId2372" ref="Q117"/>
    <hyperlink r:id="rId2373" ref="R117"/>
    <hyperlink r:id="rId2374" ref="S117"/>
    <hyperlink r:id="rId2375" ref="T117"/>
    <hyperlink r:id="rId2376" ref="U117"/>
    <hyperlink r:id="rId2377" ref="V117"/>
    <hyperlink r:id="rId2378" ref="W117"/>
    <hyperlink r:id="rId2379" ref="X117"/>
    <hyperlink r:id="rId2380" ref="Y117"/>
    <hyperlink r:id="rId2381" ref="C118"/>
    <hyperlink r:id="rId2382" ref="D118"/>
    <hyperlink r:id="rId2383" ref="E118"/>
    <hyperlink r:id="rId2384" ref="F118"/>
    <hyperlink r:id="rId2385" ref="G118"/>
    <hyperlink r:id="rId2386" ref="H118"/>
    <hyperlink r:id="rId2387" ref="I118"/>
    <hyperlink r:id="rId2388" ref="J118"/>
    <hyperlink r:id="rId2389" ref="K118"/>
    <hyperlink r:id="rId2390" ref="L118"/>
    <hyperlink r:id="rId2391" ref="N118"/>
    <hyperlink r:id="rId2392" ref="O118"/>
    <hyperlink r:id="rId2393" ref="P118"/>
    <hyperlink r:id="rId2394" ref="Q118"/>
    <hyperlink r:id="rId2395" ref="R118"/>
    <hyperlink r:id="rId2396" ref="S118"/>
    <hyperlink r:id="rId2397" ref="T118"/>
    <hyperlink r:id="rId2398" ref="U118"/>
    <hyperlink r:id="rId2399" ref="V118"/>
    <hyperlink r:id="rId2400" ref="W118"/>
    <hyperlink r:id="rId2401" ref="X118"/>
    <hyperlink r:id="rId2402" ref="Y118"/>
    <hyperlink r:id="rId2403" ref="C119"/>
    <hyperlink r:id="rId2404" ref="D119"/>
    <hyperlink r:id="rId2405" ref="E119"/>
    <hyperlink r:id="rId2406" ref="F119"/>
    <hyperlink r:id="rId2407" ref="G119"/>
    <hyperlink r:id="rId2408" ref="H119"/>
    <hyperlink r:id="rId2409" ref="I119"/>
    <hyperlink r:id="rId2410" ref="J119"/>
    <hyperlink r:id="rId2411" ref="K119"/>
    <hyperlink r:id="rId2412" ref="L119"/>
    <hyperlink r:id="rId2413" ref="N119"/>
    <hyperlink r:id="rId2414" ref="O119"/>
    <hyperlink r:id="rId2415" ref="P119"/>
    <hyperlink r:id="rId2416" ref="Q119"/>
    <hyperlink r:id="rId2417" ref="R119"/>
    <hyperlink r:id="rId2418" ref="S119"/>
    <hyperlink r:id="rId2419" ref="T119"/>
    <hyperlink r:id="rId2420" ref="U119"/>
    <hyperlink r:id="rId2421" ref="V119"/>
    <hyperlink r:id="rId2422" ref="W119"/>
    <hyperlink r:id="rId2423" ref="X119"/>
    <hyperlink r:id="rId2424" ref="Y119"/>
    <hyperlink r:id="rId2425" ref="C120"/>
    <hyperlink r:id="rId2426" ref="D120"/>
    <hyperlink r:id="rId2427" ref="E120"/>
    <hyperlink r:id="rId2428" ref="F120"/>
    <hyperlink r:id="rId2429" ref="G120"/>
    <hyperlink r:id="rId2430" ref="H120"/>
    <hyperlink r:id="rId2431" ref="I120"/>
    <hyperlink r:id="rId2432" ref="J120"/>
    <hyperlink r:id="rId2433" ref="K120"/>
    <hyperlink r:id="rId2434" ref="L120"/>
    <hyperlink r:id="rId2435" ref="N120"/>
    <hyperlink r:id="rId2436" ref="O120"/>
    <hyperlink r:id="rId2437" ref="P120"/>
    <hyperlink r:id="rId2438" ref="Q120"/>
    <hyperlink r:id="rId2439" ref="R120"/>
    <hyperlink r:id="rId2440" ref="S120"/>
    <hyperlink r:id="rId2441" ref="T120"/>
    <hyperlink r:id="rId2442" ref="U120"/>
    <hyperlink r:id="rId2443" ref="V120"/>
    <hyperlink r:id="rId2444" ref="W120"/>
    <hyperlink r:id="rId2445" ref="X120"/>
    <hyperlink r:id="rId2446" ref="Y120"/>
    <hyperlink r:id="rId2447" ref="C121"/>
    <hyperlink r:id="rId2448" ref="D121"/>
    <hyperlink r:id="rId2449" ref="E121"/>
    <hyperlink r:id="rId2450" ref="F121"/>
    <hyperlink r:id="rId2451" ref="G121"/>
    <hyperlink r:id="rId2452" ref="H121"/>
    <hyperlink r:id="rId2453" ref="I121"/>
    <hyperlink r:id="rId2454" ref="J121"/>
    <hyperlink r:id="rId2455" ref="K121"/>
    <hyperlink r:id="rId2456" ref="L121"/>
    <hyperlink r:id="rId2457" ref="N121"/>
    <hyperlink r:id="rId2458" ref="O121"/>
    <hyperlink r:id="rId2459" ref="P121"/>
    <hyperlink r:id="rId2460" ref="Q121"/>
    <hyperlink r:id="rId2461" ref="R121"/>
    <hyperlink r:id="rId2462" ref="S121"/>
    <hyperlink r:id="rId2463" ref="T121"/>
    <hyperlink r:id="rId2464" ref="U121"/>
    <hyperlink r:id="rId2465" ref="V121"/>
    <hyperlink r:id="rId2466" ref="W121"/>
    <hyperlink r:id="rId2467" ref="X121"/>
    <hyperlink r:id="rId2468" ref="Y121"/>
    <hyperlink r:id="rId2469" ref="C122"/>
    <hyperlink r:id="rId2470" ref="D122"/>
    <hyperlink r:id="rId2471" ref="E122"/>
    <hyperlink r:id="rId2472" ref="F122"/>
    <hyperlink r:id="rId2473" ref="G122"/>
    <hyperlink r:id="rId2474" ref="H122"/>
    <hyperlink r:id="rId2475" ref="I122"/>
    <hyperlink r:id="rId2476" ref="J122"/>
    <hyperlink r:id="rId2477" ref="K122"/>
    <hyperlink r:id="rId2478" ref="L122"/>
    <hyperlink r:id="rId2479" ref="N122"/>
    <hyperlink r:id="rId2480" ref="O122"/>
    <hyperlink r:id="rId2481" ref="P122"/>
    <hyperlink r:id="rId2482" ref="Q122"/>
    <hyperlink r:id="rId2483" ref="R122"/>
    <hyperlink r:id="rId2484" ref="S122"/>
    <hyperlink r:id="rId2485" ref="T122"/>
    <hyperlink r:id="rId2486" ref="U122"/>
    <hyperlink r:id="rId2487" ref="V122"/>
    <hyperlink r:id="rId2488" ref="W122"/>
    <hyperlink r:id="rId2489" ref="X122"/>
    <hyperlink r:id="rId2490" ref="Y122"/>
    <hyperlink r:id="rId2491" ref="C123"/>
    <hyperlink r:id="rId2492" ref="D123"/>
    <hyperlink r:id="rId2493" ref="E123"/>
    <hyperlink r:id="rId2494" ref="F123"/>
    <hyperlink r:id="rId2495" ref="G123"/>
    <hyperlink r:id="rId2496" ref="H123"/>
    <hyperlink r:id="rId2497" ref="I123"/>
    <hyperlink r:id="rId2498" ref="J123"/>
    <hyperlink r:id="rId2499" ref="K123"/>
    <hyperlink r:id="rId2500" ref="L123"/>
    <hyperlink r:id="rId2501" ref="N123"/>
    <hyperlink r:id="rId2502" ref="O123"/>
    <hyperlink r:id="rId2503" ref="P123"/>
    <hyperlink r:id="rId2504" ref="Q123"/>
    <hyperlink r:id="rId2505" ref="R123"/>
    <hyperlink r:id="rId2506" ref="S123"/>
    <hyperlink r:id="rId2507" ref="T123"/>
    <hyperlink r:id="rId2508" ref="U123"/>
    <hyperlink r:id="rId2509" ref="V123"/>
    <hyperlink r:id="rId2510" ref="W123"/>
    <hyperlink r:id="rId2511" ref="X123"/>
    <hyperlink r:id="rId2512" ref="Y123"/>
    <hyperlink r:id="rId2513" ref="C124"/>
    <hyperlink r:id="rId2514" ref="D124"/>
    <hyperlink r:id="rId2515" ref="E124"/>
    <hyperlink r:id="rId2516" ref="F124"/>
    <hyperlink r:id="rId2517" ref="G124"/>
    <hyperlink r:id="rId2518" ref="H124"/>
    <hyperlink r:id="rId2519" ref="I124"/>
    <hyperlink r:id="rId2520" ref="J124"/>
    <hyperlink r:id="rId2521" ref="K124"/>
    <hyperlink r:id="rId2522" ref="L124"/>
    <hyperlink r:id="rId2523" ref="N124"/>
    <hyperlink r:id="rId2524" ref="O124"/>
    <hyperlink r:id="rId2525" ref="P124"/>
    <hyperlink r:id="rId2526" ref="Q124"/>
    <hyperlink r:id="rId2527" ref="R124"/>
    <hyperlink r:id="rId2528" ref="S124"/>
    <hyperlink r:id="rId2529" ref="T124"/>
    <hyperlink r:id="rId2530" ref="U124"/>
    <hyperlink r:id="rId2531" ref="V124"/>
    <hyperlink r:id="rId2532" ref="W124"/>
    <hyperlink r:id="rId2533" ref="X124"/>
    <hyperlink r:id="rId2534" ref="Y124"/>
    <hyperlink r:id="rId2535" ref="C125"/>
    <hyperlink r:id="rId2536" ref="D125"/>
    <hyperlink r:id="rId2537" ref="E125"/>
    <hyperlink r:id="rId2538" ref="F125"/>
    <hyperlink r:id="rId2539" ref="G125"/>
    <hyperlink r:id="rId2540" ref="H125"/>
    <hyperlink r:id="rId2541" ref="I125"/>
    <hyperlink r:id="rId2542" ref="J125"/>
    <hyperlink r:id="rId2543" ref="K125"/>
    <hyperlink r:id="rId2544" ref="L125"/>
    <hyperlink r:id="rId2545" ref="N125"/>
    <hyperlink r:id="rId2546" ref="O125"/>
    <hyperlink r:id="rId2547" ref="P125"/>
    <hyperlink r:id="rId2548" ref="Q125"/>
    <hyperlink r:id="rId2549" ref="R125"/>
    <hyperlink r:id="rId2550" ref="S125"/>
    <hyperlink r:id="rId2551" ref="T125"/>
    <hyperlink r:id="rId2552" ref="U125"/>
    <hyperlink r:id="rId2553" ref="V125"/>
    <hyperlink r:id="rId2554" ref="W125"/>
    <hyperlink r:id="rId2555" ref="X125"/>
    <hyperlink r:id="rId2556" ref="Y125"/>
    <hyperlink r:id="rId2557" ref="C126"/>
    <hyperlink r:id="rId2558" ref="D126"/>
    <hyperlink r:id="rId2559" ref="E126"/>
    <hyperlink r:id="rId2560" ref="F126"/>
    <hyperlink r:id="rId2561" ref="G126"/>
    <hyperlink r:id="rId2562" ref="H126"/>
    <hyperlink r:id="rId2563" ref="I126"/>
    <hyperlink r:id="rId2564" ref="J126"/>
    <hyperlink r:id="rId2565" ref="K126"/>
    <hyperlink r:id="rId2566" ref="L126"/>
    <hyperlink r:id="rId2567" ref="N126"/>
    <hyperlink r:id="rId2568" ref="O126"/>
    <hyperlink r:id="rId2569" ref="P126"/>
    <hyperlink r:id="rId2570" ref="Q126"/>
    <hyperlink r:id="rId2571" ref="R126"/>
    <hyperlink r:id="rId2572" ref="S126"/>
    <hyperlink r:id="rId2573" ref="T126"/>
    <hyperlink r:id="rId2574" ref="U126"/>
    <hyperlink r:id="rId2575" ref="V126"/>
    <hyperlink r:id="rId2576" ref="W126"/>
    <hyperlink r:id="rId2577" ref="X126"/>
    <hyperlink r:id="rId2578" ref="Y126"/>
    <hyperlink r:id="rId2579" ref="C127"/>
    <hyperlink r:id="rId2580" ref="D127"/>
    <hyperlink r:id="rId2581" ref="E127"/>
    <hyperlink r:id="rId2582" ref="F127"/>
    <hyperlink r:id="rId2583" ref="G127"/>
    <hyperlink r:id="rId2584" ref="H127"/>
    <hyperlink r:id="rId2585" ref="I127"/>
    <hyperlink r:id="rId2586" ref="J127"/>
    <hyperlink r:id="rId2587" ref="K127"/>
    <hyperlink r:id="rId2588" ref="L127"/>
    <hyperlink r:id="rId2589" ref="N127"/>
    <hyperlink r:id="rId2590" ref="O127"/>
    <hyperlink r:id="rId2591" ref="P127"/>
    <hyperlink r:id="rId2592" ref="Q127"/>
    <hyperlink r:id="rId2593" ref="R127"/>
    <hyperlink r:id="rId2594" ref="S127"/>
    <hyperlink r:id="rId2595" ref="T127"/>
    <hyperlink r:id="rId2596" ref="U127"/>
    <hyperlink r:id="rId2597" ref="V127"/>
    <hyperlink r:id="rId2598" ref="W127"/>
    <hyperlink r:id="rId2599" ref="X127"/>
    <hyperlink r:id="rId2600" ref="Y127"/>
    <hyperlink r:id="rId2601" ref="C128"/>
    <hyperlink r:id="rId2602" ref="D128"/>
    <hyperlink r:id="rId2603" ref="E128"/>
    <hyperlink r:id="rId2604" ref="F128"/>
    <hyperlink r:id="rId2605" ref="G128"/>
    <hyperlink r:id="rId2606" ref="H128"/>
    <hyperlink r:id="rId2607" ref="I128"/>
    <hyperlink r:id="rId2608" ref="J128"/>
    <hyperlink r:id="rId2609" ref="K128"/>
    <hyperlink r:id="rId2610" ref="L128"/>
    <hyperlink r:id="rId2611" ref="N128"/>
    <hyperlink r:id="rId2612" ref="O128"/>
    <hyperlink r:id="rId2613" ref="P128"/>
    <hyperlink r:id="rId2614" ref="Q128"/>
    <hyperlink r:id="rId2615" ref="R128"/>
    <hyperlink r:id="rId2616" ref="S128"/>
    <hyperlink r:id="rId2617" ref="T128"/>
    <hyperlink r:id="rId2618" ref="U128"/>
    <hyperlink r:id="rId2619" ref="V128"/>
    <hyperlink r:id="rId2620" ref="W128"/>
    <hyperlink r:id="rId2621" ref="X128"/>
    <hyperlink r:id="rId2622" ref="Y128"/>
    <hyperlink r:id="rId2623" ref="C129"/>
    <hyperlink r:id="rId2624" ref="D129"/>
    <hyperlink r:id="rId2625" ref="E129"/>
    <hyperlink r:id="rId2626" ref="F129"/>
    <hyperlink r:id="rId2627" ref="G129"/>
    <hyperlink r:id="rId2628" ref="H129"/>
    <hyperlink r:id="rId2629" ref="I129"/>
    <hyperlink r:id="rId2630" ref="J129"/>
    <hyperlink r:id="rId2631" ref="K129"/>
    <hyperlink r:id="rId2632" ref="L129"/>
    <hyperlink r:id="rId2633" ref="N129"/>
    <hyperlink r:id="rId2634" ref="O129"/>
    <hyperlink r:id="rId2635" ref="P129"/>
    <hyperlink r:id="rId2636" ref="Q129"/>
    <hyperlink r:id="rId2637" ref="R129"/>
    <hyperlink r:id="rId2638" ref="S129"/>
    <hyperlink r:id="rId2639" ref="T129"/>
    <hyperlink r:id="rId2640" ref="U129"/>
    <hyperlink r:id="rId2641" ref="V129"/>
    <hyperlink r:id="rId2642" ref="W129"/>
    <hyperlink r:id="rId2643" ref="X129"/>
    <hyperlink r:id="rId2644" ref="Y129"/>
    <hyperlink r:id="rId2645" ref="C130"/>
    <hyperlink r:id="rId2646" ref="D130"/>
    <hyperlink r:id="rId2647" ref="E130"/>
    <hyperlink r:id="rId2648" ref="F130"/>
    <hyperlink r:id="rId2649" ref="G130"/>
    <hyperlink r:id="rId2650" ref="H130"/>
    <hyperlink r:id="rId2651" ref="I130"/>
    <hyperlink r:id="rId2652" ref="J130"/>
    <hyperlink r:id="rId2653" ref="K130"/>
    <hyperlink r:id="rId2654" ref="L130"/>
    <hyperlink r:id="rId2655" ref="N130"/>
    <hyperlink r:id="rId2656" ref="O130"/>
    <hyperlink r:id="rId2657" ref="P130"/>
    <hyperlink r:id="rId2658" ref="Q130"/>
    <hyperlink r:id="rId2659" ref="R130"/>
    <hyperlink r:id="rId2660" ref="S130"/>
    <hyperlink r:id="rId2661" ref="T130"/>
    <hyperlink r:id="rId2662" ref="U130"/>
    <hyperlink r:id="rId2663" ref="V130"/>
    <hyperlink r:id="rId2664" ref="W130"/>
    <hyperlink r:id="rId2665" ref="X130"/>
    <hyperlink r:id="rId2666" ref="Y130"/>
    <hyperlink r:id="rId2667" ref="C131"/>
    <hyperlink r:id="rId2668" ref="D131"/>
    <hyperlink r:id="rId2669" ref="E131"/>
    <hyperlink r:id="rId2670" ref="F131"/>
    <hyperlink r:id="rId2671" ref="G131"/>
    <hyperlink r:id="rId2672" ref="H131"/>
    <hyperlink r:id="rId2673" ref="I131"/>
    <hyperlink r:id="rId2674" ref="J131"/>
    <hyperlink r:id="rId2675" ref="K131"/>
    <hyperlink r:id="rId2676" ref="L131"/>
    <hyperlink r:id="rId2677" ref="N131"/>
    <hyperlink r:id="rId2678" ref="O131"/>
    <hyperlink r:id="rId2679" ref="P131"/>
    <hyperlink r:id="rId2680" ref="Q131"/>
    <hyperlink r:id="rId2681" ref="R131"/>
    <hyperlink r:id="rId2682" ref="S131"/>
    <hyperlink r:id="rId2683" ref="T131"/>
    <hyperlink r:id="rId2684" ref="U131"/>
    <hyperlink r:id="rId2685" ref="V131"/>
    <hyperlink r:id="rId2686" ref="W131"/>
    <hyperlink r:id="rId2687" ref="X131"/>
    <hyperlink r:id="rId2688" ref="Y131"/>
    <hyperlink r:id="rId2689" ref="N132"/>
    <hyperlink r:id="rId2690" ref="O132"/>
    <hyperlink r:id="rId2691" ref="P132"/>
    <hyperlink r:id="rId2693" ref="B7"/>
    <hyperlink r:id="rId2694" ref="B8"/>
    <hyperlink r:id="rId2695" ref="B9"/>
    <hyperlink r:id="rId2696" ref="B10"/>
    <hyperlink r:id="rId2697" ref="B11"/>
    <hyperlink r:id="rId2698" ref="B12"/>
    <hyperlink r:id="rId2699" ref="B13"/>
    <hyperlink r:id="rId2700" ref="B14"/>
    <hyperlink r:id="rId2701" ref="B15"/>
    <hyperlink r:id="rId2702" ref="B16"/>
    <hyperlink r:id="rId2703" ref="B17"/>
    <hyperlink r:id="rId2704" ref="B18"/>
    <hyperlink r:id="rId2705" ref="B19"/>
    <hyperlink r:id="rId2706" ref="B20"/>
    <hyperlink r:id="rId2707" ref="B21"/>
    <hyperlink r:id="rId2708" ref="B22"/>
    <hyperlink r:id="rId2709" ref="B23"/>
    <hyperlink r:id="rId2710" ref="B24"/>
    <hyperlink r:id="rId2711" ref="B25"/>
    <hyperlink r:id="rId2712" ref="B26"/>
    <hyperlink r:id="rId2713" ref="B27"/>
    <hyperlink r:id="rId2714" ref="B28"/>
    <hyperlink r:id="rId2715" ref="B29"/>
    <hyperlink r:id="rId2716" ref="B30"/>
    <hyperlink r:id="rId2717" ref="B31"/>
    <hyperlink r:id="rId2718" ref="B32"/>
    <hyperlink r:id="rId2719" ref="B33"/>
    <hyperlink r:id="rId2720" ref="B34"/>
    <hyperlink r:id="rId2721" ref="B35"/>
    <hyperlink r:id="rId2722" ref="B36"/>
    <hyperlink r:id="rId2723" ref="B37"/>
    <hyperlink r:id="rId2724" ref="B38"/>
    <hyperlink r:id="rId2725" ref="B39"/>
    <hyperlink r:id="rId2726" ref="B40"/>
    <hyperlink r:id="rId2727" ref="B41"/>
    <hyperlink r:id="rId2728" ref="B42"/>
    <hyperlink r:id="rId2729" ref="B43"/>
    <hyperlink r:id="rId2730" ref="B44"/>
    <hyperlink r:id="rId2731" ref="B45"/>
    <hyperlink r:id="rId2732" ref="B46"/>
    <hyperlink r:id="rId2733" ref="B47"/>
    <hyperlink r:id="rId2734" ref="B48"/>
    <hyperlink r:id="rId2735" ref="B49"/>
    <hyperlink r:id="rId2736" ref="B50"/>
    <hyperlink r:id="rId2737" ref="B51"/>
    <hyperlink r:id="rId2738" ref="B52"/>
    <hyperlink r:id="rId2739" ref="B53"/>
    <hyperlink r:id="rId2740" ref="B54"/>
    <hyperlink r:id="rId2741" ref="B55"/>
    <hyperlink r:id="rId2742" ref="B56"/>
    <hyperlink r:id="rId2743" ref="B57"/>
    <hyperlink r:id="rId2744" ref="B58"/>
    <hyperlink r:id="rId2745" ref="B59"/>
    <hyperlink r:id="rId2746" ref="B60"/>
    <hyperlink r:id="rId2747" ref="B61"/>
    <hyperlink r:id="rId2748" ref="B62"/>
    <hyperlink r:id="rId2749" ref="B63"/>
    <hyperlink r:id="rId2750" ref="B64"/>
    <hyperlink r:id="rId2751" ref="B65"/>
    <hyperlink r:id="rId2752" ref="B66"/>
    <hyperlink r:id="rId2753" ref="B67"/>
    <hyperlink r:id="rId2754" ref="B68"/>
    <hyperlink r:id="rId2755" ref="B69"/>
    <hyperlink r:id="rId2756" ref="B70"/>
    <hyperlink r:id="rId2757" ref="B71"/>
    <hyperlink r:id="rId2758" ref="B72"/>
    <hyperlink r:id="rId2759" ref="B73"/>
    <hyperlink r:id="rId2760" ref="B74"/>
    <hyperlink r:id="rId2761" ref="B75"/>
    <hyperlink r:id="rId2762" ref="B76"/>
    <hyperlink r:id="rId2763" ref="B77"/>
    <hyperlink r:id="rId2764" ref="B78"/>
    <hyperlink r:id="rId2765" ref="B79"/>
    <hyperlink r:id="rId2766" ref="B80"/>
    <hyperlink r:id="rId2767" ref="B81"/>
    <hyperlink r:id="rId2768" ref="B82"/>
    <hyperlink r:id="rId2769" ref="B83"/>
    <hyperlink r:id="rId2770" ref="B84"/>
    <hyperlink r:id="rId2771" ref="B85"/>
    <hyperlink r:id="rId2772" ref="B86"/>
    <hyperlink r:id="rId2773" ref="B87"/>
    <hyperlink r:id="rId2774" ref="B88"/>
    <hyperlink r:id="rId2775" ref="B89"/>
    <hyperlink r:id="rId2776" ref="B90"/>
    <hyperlink r:id="rId2777" ref="B91"/>
    <hyperlink r:id="rId2778" ref="B92"/>
    <hyperlink r:id="rId2779" ref="B93"/>
    <hyperlink r:id="rId2780" ref="B94"/>
    <hyperlink r:id="rId2781" ref="B95"/>
    <hyperlink r:id="rId2782" ref="B96"/>
    <hyperlink r:id="rId2783" ref="B97"/>
    <hyperlink r:id="rId2784" ref="B98"/>
    <hyperlink r:id="rId2785" ref="B99"/>
    <hyperlink r:id="rId2786" ref="B100"/>
    <hyperlink r:id="rId2787" ref="B101"/>
    <hyperlink r:id="rId2788" ref="B102"/>
    <hyperlink r:id="rId2789" ref="B103"/>
    <hyperlink r:id="rId2790" ref="B104"/>
    <hyperlink r:id="rId2791" ref="B105"/>
    <hyperlink r:id="rId2792" ref="B106"/>
    <hyperlink r:id="rId2793" ref="B107"/>
    <hyperlink r:id="rId2794" ref="B108"/>
    <hyperlink r:id="rId2795" ref="B109"/>
    <hyperlink r:id="rId2796" ref="B110"/>
    <hyperlink r:id="rId2797" ref="B111"/>
    <hyperlink r:id="rId2798" ref="B112"/>
    <hyperlink r:id="rId2799" ref="B113"/>
    <hyperlink r:id="rId2800" ref="B114"/>
    <hyperlink r:id="rId2801" ref="B115"/>
    <hyperlink r:id="rId2802" ref="B116"/>
    <hyperlink r:id="rId2803" ref="B117"/>
    <hyperlink r:id="rId2804" ref="B118"/>
    <hyperlink r:id="rId2805" ref="B119"/>
    <hyperlink r:id="rId2806" ref="B120"/>
    <hyperlink r:id="rId2807" ref="B121"/>
    <hyperlink r:id="rId2808" ref="B122"/>
    <hyperlink r:id="rId2809" ref="B123"/>
    <hyperlink r:id="rId2810" ref="B124"/>
    <hyperlink r:id="rId2811" ref="B125"/>
    <hyperlink r:id="rId2812" ref="B126"/>
    <hyperlink r:id="rId2813" ref="B127"/>
    <hyperlink r:id="rId2814" ref="B128"/>
    <hyperlink r:id="rId2815" ref="B129"/>
    <hyperlink r:id="rId2816" ref="B130"/>
    <hyperlink r:id="rId2817" ref="B131"/>
    <hyperlink r:id="rId2818" ref="B132"/>
    <hyperlink r:id="rId2819" ref="G4"/>
  </hyperlinks>
  <printOptions/>
  <pageMargins bottom="1.0" footer="0.0" header="0.0" left="0.75" right="0.75" top="1.0"/>
  <pageSetup orientation="landscape"/>
  <drawing r:id="rId269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1.63"/>
    <col customWidth="1" min="3" max="3" width="2.0"/>
    <col customWidth="1" min="4" max="4" width="11.63"/>
    <col customWidth="1" min="5" max="5" width="1.63"/>
    <col customWidth="1" min="6" max="6" width="11.63"/>
    <col customWidth="1" min="7" max="7" width="1.63"/>
    <col customWidth="1" min="8" max="8" width="11.63"/>
    <col customWidth="1" min="9" max="9" width="1.63"/>
    <col customWidth="1" min="10" max="10" width="11.63"/>
    <col customWidth="1" min="11" max="11" width="1.63"/>
    <col customWidth="1" min="12" max="12" width="11.63"/>
    <col customWidth="1" min="13" max="13" width="1.63"/>
    <col customWidth="1" min="14" max="14" width="11.63"/>
    <col customWidth="1" min="15" max="15" width="1.63"/>
    <col customWidth="1" min="16" max="16" width="11.63"/>
    <col customWidth="1" min="17" max="17" width="1.63"/>
    <col customWidth="1" min="18" max="18" width="11.63"/>
    <col customWidth="1" min="19" max="19" width="1.38"/>
  </cols>
  <sheetData>
    <row r="1" ht="21.75" customHeight="1">
      <c r="A1" s="40"/>
      <c r="B1" s="41" t="s">
        <v>23</v>
      </c>
      <c r="S1" s="42"/>
    </row>
    <row r="2">
      <c r="A2" s="40"/>
      <c r="B2" s="40"/>
      <c r="C2" s="40"/>
      <c r="D2" s="40"/>
      <c r="E2" s="40"/>
      <c r="F2" s="40"/>
      <c r="G2" s="40"/>
      <c r="H2" s="40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</row>
    <row r="3" ht="42.75" customHeight="1">
      <c r="A3" s="40"/>
      <c r="B3" s="47" t="s">
        <v>24</v>
      </c>
      <c r="C3" s="40"/>
      <c r="D3" s="47" t="s">
        <v>26</v>
      </c>
      <c r="E3" s="42"/>
      <c r="F3" s="47" t="s">
        <v>28</v>
      </c>
      <c r="G3" s="42"/>
      <c r="H3" s="57" t="s">
        <v>30</v>
      </c>
      <c r="I3" s="40"/>
      <c r="J3" s="57" t="s">
        <v>32</v>
      </c>
      <c r="K3" s="42"/>
      <c r="L3" s="47" t="s">
        <v>36</v>
      </c>
      <c r="M3" s="68"/>
      <c r="N3" s="47" t="s">
        <v>39</v>
      </c>
      <c r="O3" s="40"/>
      <c r="P3" s="57" t="s">
        <v>41</v>
      </c>
      <c r="Q3" s="40"/>
      <c r="R3" s="47" t="s">
        <v>43</v>
      </c>
      <c r="S3" s="42"/>
    </row>
    <row r="4">
      <c r="A4" s="40"/>
      <c r="B4" s="40"/>
      <c r="C4" s="40"/>
      <c r="D4" s="40"/>
      <c r="E4" s="40"/>
      <c r="F4" s="40"/>
      <c r="G4" s="40"/>
      <c r="H4" s="40"/>
      <c r="I4" s="42"/>
      <c r="J4" s="42"/>
      <c r="K4" s="42"/>
      <c r="L4" s="40"/>
      <c r="M4" s="40"/>
      <c r="N4" s="40"/>
      <c r="O4" s="40"/>
      <c r="P4" s="40"/>
      <c r="Q4" s="42"/>
      <c r="R4" s="42"/>
      <c r="S4" s="42"/>
    </row>
    <row r="5" ht="42.75" customHeight="1">
      <c r="A5" s="40"/>
      <c r="B5" s="47" t="s">
        <v>44</v>
      </c>
      <c r="C5" s="40"/>
      <c r="D5" s="57" t="s">
        <v>45</v>
      </c>
      <c r="E5" s="40"/>
      <c r="F5" s="57" t="s">
        <v>46</v>
      </c>
      <c r="G5" s="40"/>
      <c r="H5" s="57" t="s">
        <v>47</v>
      </c>
      <c r="I5" s="42"/>
      <c r="J5" s="80"/>
      <c r="K5" s="82"/>
      <c r="L5" s="83"/>
      <c r="M5" s="40"/>
      <c r="N5" s="83"/>
      <c r="O5" s="40"/>
      <c r="P5" s="83"/>
      <c r="Q5" s="42"/>
      <c r="R5" s="84"/>
      <c r="S5" s="42"/>
    </row>
    <row r="6">
      <c r="A6" s="40"/>
      <c r="B6" s="40"/>
      <c r="C6" s="40"/>
      <c r="D6" s="40"/>
      <c r="E6" s="40"/>
      <c r="F6" s="40"/>
      <c r="G6" s="40"/>
      <c r="H6" s="40"/>
      <c r="I6" s="42"/>
      <c r="J6" s="42"/>
      <c r="K6" s="42"/>
      <c r="L6" s="40"/>
      <c r="M6" s="40"/>
      <c r="N6" s="40"/>
      <c r="O6" s="40"/>
      <c r="P6" s="40"/>
      <c r="Q6" s="42"/>
      <c r="R6" s="42"/>
      <c r="S6" s="42"/>
    </row>
    <row r="7" ht="42.75" customHeight="1">
      <c r="A7" s="40"/>
      <c r="B7" s="83"/>
      <c r="C7" s="40"/>
      <c r="D7" s="83"/>
      <c r="E7" s="40"/>
      <c r="F7" s="83"/>
      <c r="G7" s="40"/>
      <c r="H7" s="83"/>
      <c r="I7" s="42"/>
      <c r="J7" s="84"/>
      <c r="K7" s="82"/>
      <c r="L7" s="83"/>
      <c r="M7" s="40"/>
      <c r="N7" s="83"/>
      <c r="O7" s="40"/>
      <c r="P7" s="83"/>
      <c r="Q7" s="42"/>
      <c r="R7" s="84"/>
      <c r="S7" s="42"/>
    </row>
    <row r="8">
      <c r="A8" s="40"/>
      <c r="B8" s="40"/>
      <c r="C8" s="40"/>
      <c r="D8" s="40"/>
      <c r="E8" s="40"/>
      <c r="F8" s="40"/>
      <c r="G8" s="40"/>
      <c r="H8" s="40"/>
      <c r="I8" s="42"/>
      <c r="J8" s="42"/>
      <c r="K8" s="42"/>
      <c r="L8" s="40"/>
      <c r="M8" s="40"/>
      <c r="N8" s="40"/>
      <c r="O8" s="40"/>
      <c r="P8" s="40"/>
      <c r="Q8" s="42"/>
      <c r="R8" s="42"/>
      <c r="S8" s="42"/>
    </row>
    <row r="9" ht="21.75" customHeight="1">
      <c r="A9" s="40"/>
      <c r="B9" s="41" t="s">
        <v>51</v>
      </c>
      <c r="S9" s="42"/>
    </row>
    <row r="10">
      <c r="A10" s="40"/>
      <c r="B10" s="40"/>
      <c r="C10" s="40"/>
      <c r="D10" s="40"/>
      <c r="E10" s="40"/>
      <c r="F10" s="40"/>
      <c r="G10" s="40"/>
      <c r="H10" s="40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</row>
    <row r="11" ht="42.75" customHeight="1">
      <c r="A11" s="40"/>
      <c r="B11" s="88" t="s">
        <v>53</v>
      </c>
      <c r="C11" s="40"/>
      <c r="D11" s="88" t="s">
        <v>54</v>
      </c>
      <c r="E11" s="42"/>
      <c r="F11" s="57" t="s">
        <v>56</v>
      </c>
      <c r="G11" s="40"/>
      <c r="H11" s="57" t="s">
        <v>57</v>
      </c>
      <c r="I11" s="42"/>
      <c r="J11" s="57" t="s">
        <v>58</v>
      </c>
      <c r="K11" s="68"/>
      <c r="L11" s="47" t="s">
        <v>59</v>
      </c>
      <c r="M11" s="40"/>
      <c r="N11" s="47" t="s">
        <v>60</v>
      </c>
      <c r="O11" s="40"/>
      <c r="P11" s="47" t="s">
        <v>61</v>
      </c>
      <c r="Q11" s="40"/>
      <c r="R11" s="47" t="s">
        <v>62</v>
      </c>
      <c r="S11" s="42"/>
    </row>
    <row r="12">
      <c r="A12" s="40"/>
      <c r="B12" s="40"/>
      <c r="C12" s="40"/>
      <c r="D12" s="40"/>
      <c r="E12" s="40"/>
      <c r="F12" s="40"/>
      <c r="G12" s="40"/>
      <c r="H12" s="40"/>
      <c r="I12" s="42"/>
      <c r="J12" s="42"/>
      <c r="K12" s="42"/>
      <c r="L12" s="40"/>
      <c r="M12" s="40"/>
      <c r="N12" s="40"/>
      <c r="O12" s="40"/>
      <c r="P12" s="40"/>
      <c r="Q12" s="42"/>
      <c r="R12" s="42"/>
      <c r="S12" s="42"/>
    </row>
    <row r="13" ht="42.75" customHeight="1">
      <c r="A13" s="40"/>
      <c r="B13" s="47" t="s">
        <v>63</v>
      </c>
      <c r="C13" s="40"/>
      <c r="D13" s="92" t="s">
        <v>65</v>
      </c>
      <c r="E13" s="40"/>
      <c r="F13" s="83"/>
      <c r="G13" s="40"/>
      <c r="H13" s="83"/>
      <c r="I13" s="42"/>
      <c r="J13" s="84"/>
      <c r="K13" s="82"/>
      <c r="L13" s="83"/>
      <c r="M13" s="40"/>
      <c r="N13" s="83"/>
      <c r="O13" s="40"/>
      <c r="P13" s="83"/>
      <c r="Q13" s="42"/>
      <c r="R13" s="84"/>
      <c r="S13" s="42"/>
    </row>
    <row r="14">
      <c r="A14" s="40"/>
      <c r="B14" s="40"/>
      <c r="C14" s="40"/>
      <c r="D14" s="40"/>
      <c r="E14" s="40"/>
      <c r="F14" s="40"/>
      <c r="G14" s="40"/>
      <c r="H14" s="40"/>
      <c r="I14" s="42"/>
      <c r="J14" s="42"/>
      <c r="K14" s="42"/>
      <c r="L14" s="40"/>
      <c r="M14" s="40"/>
      <c r="N14" s="40"/>
      <c r="O14" s="40"/>
      <c r="P14" s="40"/>
      <c r="Q14" s="42"/>
      <c r="R14" s="42"/>
      <c r="S14" s="42"/>
    </row>
    <row r="15" ht="42.75" customHeight="1">
      <c r="A15" s="42"/>
      <c r="B15" s="83"/>
      <c r="C15" s="40"/>
      <c r="D15" s="83"/>
      <c r="E15" s="40"/>
      <c r="F15" s="83"/>
      <c r="G15" s="40"/>
      <c r="H15" s="83"/>
      <c r="I15" s="42"/>
      <c r="J15" s="84"/>
      <c r="K15" s="82"/>
      <c r="L15" s="83"/>
      <c r="M15" s="40"/>
      <c r="N15" s="83"/>
      <c r="O15" s="40"/>
      <c r="P15" s="83"/>
      <c r="Q15" s="42"/>
      <c r="R15" s="84"/>
      <c r="S15" s="42"/>
    </row>
    <row r="16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</row>
  </sheetData>
  <mergeCells count="2">
    <mergeCell ref="B1:R1"/>
    <mergeCell ref="B9:R9"/>
  </mergeCells>
  <hyperlinks>
    <hyperlink r:id="rId1" ref="B3"/>
    <hyperlink r:id="rId2" ref="D3"/>
    <hyperlink r:id="rId3" ref="F3"/>
    <hyperlink r:id="rId4" ref="H3"/>
    <hyperlink r:id="rId5" ref="J3"/>
    <hyperlink r:id="rId6" ref="L3"/>
    <hyperlink r:id="rId7" ref="N3"/>
    <hyperlink r:id="rId8" ref="P3"/>
    <hyperlink r:id="rId9" ref="R3"/>
    <hyperlink r:id="rId10" ref="B5"/>
    <hyperlink r:id="rId11" ref="D5"/>
    <hyperlink r:id="rId12" ref="F5"/>
    <hyperlink r:id="rId13" ref="H5"/>
    <hyperlink r:id="rId14" ref="B11"/>
    <hyperlink r:id="rId15" ref="D11"/>
    <hyperlink r:id="rId16" ref="F11"/>
    <hyperlink r:id="rId17" ref="H11"/>
    <hyperlink r:id="rId18" ref="J11"/>
    <hyperlink r:id="rId19" ref="L11"/>
    <hyperlink r:id="rId20" ref="N11"/>
    <hyperlink r:id="rId21" ref="P11"/>
    <hyperlink r:id="rId22" ref="R11"/>
    <hyperlink r:id="rId23" ref="B13"/>
  </hyperlinks>
  <drawing r:id="rId2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5.13"/>
    <col customWidth="1" min="2" max="2" width="2.13"/>
    <col customWidth="1" min="3" max="3" width="32.0"/>
    <col customWidth="1" min="4" max="4" width="2.25"/>
    <col customWidth="1" min="5" max="5" width="32.63"/>
    <col customWidth="1" min="6" max="6" width="12.63"/>
  </cols>
  <sheetData>
    <row r="1" ht="15.75" customHeight="1">
      <c r="A1" s="97" t="s">
        <v>67</v>
      </c>
      <c r="B1" s="98"/>
      <c r="C1" s="98" t="s">
        <v>68</v>
      </c>
      <c r="D1" s="98"/>
      <c r="E1" s="98" t="s">
        <v>69</v>
      </c>
    </row>
    <row r="2" ht="15.75" customHeight="1">
      <c r="A2" s="99"/>
      <c r="B2" s="99"/>
      <c r="C2" s="100"/>
      <c r="D2" s="100"/>
      <c r="E2" s="100"/>
    </row>
    <row r="3" ht="15.75" customHeight="1">
      <c r="A3" s="99"/>
      <c r="B3" s="99"/>
      <c r="C3" s="100"/>
      <c r="D3" s="100"/>
      <c r="E3" s="100"/>
    </row>
    <row r="4" ht="15.75" customHeight="1">
      <c r="A4" s="99"/>
      <c r="B4" s="99"/>
      <c r="C4" s="100"/>
      <c r="D4" s="100"/>
      <c r="E4" s="100"/>
    </row>
    <row r="5" ht="15.75" customHeight="1">
      <c r="A5" s="99"/>
      <c r="B5" s="99"/>
      <c r="C5" s="100"/>
      <c r="D5" s="100"/>
      <c r="E5" s="102"/>
    </row>
    <row r="6" ht="15.75" customHeight="1">
      <c r="A6" s="99"/>
      <c r="B6" s="99"/>
      <c r="C6" s="100"/>
      <c r="D6" s="100"/>
      <c r="E6" s="102"/>
    </row>
    <row r="7" ht="15.75" customHeight="1">
      <c r="A7" s="99"/>
      <c r="B7" s="99"/>
      <c r="C7" s="100"/>
      <c r="D7" s="100"/>
      <c r="E7" s="102"/>
    </row>
    <row r="8" ht="15.75" customHeight="1">
      <c r="A8" s="99"/>
      <c r="B8" s="99"/>
      <c r="C8" s="100"/>
      <c r="D8" s="100"/>
      <c r="E8" s="102"/>
    </row>
    <row r="9" ht="15.75" customHeight="1">
      <c r="A9" s="99"/>
      <c r="B9" s="99"/>
      <c r="C9" s="100"/>
      <c r="D9" s="100"/>
      <c r="E9" s="102"/>
    </row>
    <row r="10" ht="15.75" customHeight="1">
      <c r="A10" s="102"/>
      <c r="B10" s="99"/>
      <c r="C10" s="100"/>
      <c r="D10" s="100"/>
      <c r="E10" s="102"/>
    </row>
    <row r="11" ht="15.75" customHeight="1">
      <c r="A11" s="103"/>
      <c r="B11" s="99"/>
      <c r="C11" s="100"/>
      <c r="D11" s="100"/>
      <c r="E11" s="100"/>
    </row>
    <row r="12" ht="15.75" customHeight="1">
      <c r="A12" s="99"/>
      <c r="B12" s="104"/>
      <c r="C12" s="104"/>
      <c r="D12" s="104"/>
      <c r="E12" s="104"/>
    </row>
    <row r="13" ht="15.75" customHeight="1">
      <c r="A13" s="102"/>
      <c r="B13" s="104"/>
      <c r="C13" s="104"/>
      <c r="D13" s="104"/>
      <c r="E13" s="104"/>
    </row>
    <row r="14" ht="15.75" customHeight="1">
      <c r="A14" s="97" t="s">
        <v>70</v>
      </c>
      <c r="B14" s="98"/>
      <c r="C14" s="98" t="s">
        <v>68</v>
      </c>
      <c r="D14" s="98"/>
      <c r="E14" s="98" t="s">
        <v>69</v>
      </c>
    </row>
    <row r="15" ht="15.75" customHeight="1">
      <c r="A15" s="100"/>
      <c r="B15" s="100"/>
      <c r="C15" s="100"/>
      <c r="D15" s="100"/>
      <c r="E15" s="100"/>
    </row>
    <row r="16" ht="15.75" customHeight="1">
      <c r="A16" s="100"/>
      <c r="B16" s="100"/>
      <c r="C16" s="100"/>
      <c r="D16" s="100"/>
      <c r="E16" s="100"/>
    </row>
    <row r="17" ht="15.75" customHeight="1">
      <c r="A17" s="100"/>
      <c r="B17" s="100"/>
      <c r="C17" s="100"/>
      <c r="D17" s="100"/>
      <c r="E17" s="100"/>
    </row>
    <row r="18" ht="15.75" customHeight="1">
      <c r="A18" s="100"/>
      <c r="B18" s="100"/>
      <c r="C18" s="100"/>
      <c r="D18" s="100"/>
      <c r="E18" s="100"/>
    </row>
    <row r="19" ht="15.75" customHeight="1">
      <c r="A19" s="100"/>
      <c r="B19" s="100"/>
      <c r="C19" s="100"/>
      <c r="D19" s="100"/>
      <c r="E19" s="100"/>
    </row>
    <row r="20" ht="15.75" customHeight="1">
      <c r="A20" s="100"/>
      <c r="B20" s="100"/>
      <c r="C20" s="100"/>
      <c r="D20" s="100"/>
      <c r="E20" s="100"/>
    </row>
    <row r="21" ht="15.75" customHeight="1">
      <c r="A21" s="100"/>
      <c r="B21" s="100"/>
      <c r="C21" s="100"/>
      <c r="D21" s="100"/>
      <c r="E21" s="107"/>
    </row>
    <row r="22" ht="15.75" customHeight="1">
      <c r="A22" s="100"/>
      <c r="B22" s="100"/>
      <c r="C22" s="100"/>
      <c r="D22" s="100"/>
      <c r="E22" s="107"/>
    </row>
    <row r="23" ht="15.75" customHeight="1">
      <c r="A23" s="100"/>
      <c r="B23" s="100"/>
      <c r="C23" s="100"/>
      <c r="D23" s="100"/>
      <c r="E23" s="107"/>
    </row>
    <row r="24" ht="15.75" customHeight="1">
      <c r="A24" s="99"/>
      <c r="B24" s="99"/>
      <c r="C24" s="108"/>
      <c r="D24" s="99"/>
      <c r="E24" s="102"/>
    </row>
    <row r="25" ht="15.75" customHeight="1">
      <c r="A25" s="103"/>
      <c r="B25" s="99"/>
      <c r="C25" s="108"/>
      <c r="D25" s="99"/>
      <c r="E25" s="99"/>
    </row>
    <row r="26" ht="15.75" customHeight="1">
      <c r="A26" s="99"/>
      <c r="B26" s="109"/>
      <c r="C26" s="109"/>
      <c r="D26" s="109"/>
      <c r="E26" s="109"/>
    </row>
    <row r="27" ht="15.75" customHeight="1">
      <c r="A27" s="99"/>
      <c r="B27" s="109"/>
      <c r="C27" s="110"/>
      <c r="D27" s="109"/>
      <c r="E27" s="109"/>
    </row>
    <row r="28" ht="15.75" customHeight="1">
      <c r="A28" s="99"/>
      <c r="B28" s="109"/>
      <c r="C28" s="109"/>
      <c r="D28" s="109"/>
      <c r="E28" s="109"/>
    </row>
    <row r="29" ht="15.75" customHeight="1">
      <c r="A29" s="99"/>
      <c r="B29" s="109"/>
      <c r="C29" s="109"/>
      <c r="D29" s="109"/>
      <c r="E29" s="109"/>
    </row>
    <row r="30" ht="15.75" customHeight="1">
      <c r="A30" s="112"/>
      <c r="B30" s="109"/>
      <c r="C30" s="109"/>
      <c r="D30" s="109"/>
      <c r="E30" s="109"/>
    </row>
    <row r="31" ht="15.75" customHeight="1">
      <c r="A31" s="97" t="s">
        <v>72</v>
      </c>
      <c r="B31" s="98"/>
      <c r="C31" s="98" t="s">
        <v>68</v>
      </c>
      <c r="D31" s="98"/>
      <c r="E31" s="98" t="s">
        <v>69</v>
      </c>
    </row>
    <row r="32" ht="15.75" customHeight="1">
      <c r="A32" s="100"/>
      <c r="B32" s="100"/>
      <c r="C32" s="100"/>
      <c r="D32" s="100"/>
      <c r="E32" s="100"/>
    </row>
    <row r="33" ht="15.75" customHeight="1">
      <c r="A33" s="100"/>
      <c r="B33" s="100"/>
      <c r="C33" s="100"/>
      <c r="D33" s="100"/>
      <c r="E33" s="100"/>
    </row>
    <row r="34" ht="15.75" customHeight="1">
      <c r="A34" s="100"/>
      <c r="B34" s="100"/>
      <c r="C34" s="100"/>
      <c r="D34" s="100"/>
      <c r="E34" s="102"/>
    </row>
    <row r="35" ht="15.75" customHeight="1">
      <c r="A35" s="100"/>
      <c r="B35" s="100"/>
      <c r="C35" s="100"/>
      <c r="D35" s="100"/>
      <c r="E35" s="100"/>
    </row>
    <row r="36" ht="15.75" customHeight="1">
      <c r="A36" s="100"/>
      <c r="B36" s="100"/>
      <c r="C36" s="100"/>
      <c r="D36" s="100"/>
      <c r="E36" s="100"/>
    </row>
    <row r="37" ht="15.75" customHeight="1">
      <c r="A37" s="100"/>
      <c r="B37" s="100"/>
      <c r="C37" s="100"/>
      <c r="D37" s="100"/>
      <c r="E37" s="100"/>
    </row>
    <row r="38" ht="15.75" customHeight="1">
      <c r="A38" s="100"/>
      <c r="B38" s="100"/>
      <c r="C38" s="100"/>
      <c r="D38" s="100"/>
      <c r="E38" s="100"/>
    </row>
    <row r="39" ht="15.75" customHeight="1">
      <c r="A39" s="100"/>
      <c r="B39" s="100"/>
      <c r="C39" s="100"/>
      <c r="D39" s="100"/>
      <c r="E39" s="100"/>
    </row>
    <row r="40" ht="15.75" customHeight="1">
      <c r="A40" s="112"/>
      <c r="B40" s="109"/>
      <c r="C40" s="109"/>
      <c r="D40" s="109"/>
      <c r="E40" s="109"/>
    </row>
    <row r="41" ht="15.75" customHeight="1">
      <c r="A41" s="97" t="s">
        <v>73</v>
      </c>
      <c r="B41" s="98"/>
      <c r="C41" s="98" t="s">
        <v>68</v>
      </c>
      <c r="D41" s="98"/>
      <c r="E41" s="98" t="s">
        <v>69</v>
      </c>
    </row>
    <row r="42" ht="15.75" customHeight="1">
      <c r="A42" s="115"/>
      <c r="B42" s="115"/>
      <c r="C42" s="115"/>
      <c r="D42" s="115"/>
      <c r="E42" s="115"/>
    </row>
    <row r="43" ht="15.75" customHeight="1">
      <c r="A43" s="115"/>
      <c r="B43" s="115"/>
      <c r="C43" s="115"/>
      <c r="D43" s="115"/>
      <c r="E43" s="115"/>
    </row>
    <row r="44" ht="15.75" customHeight="1">
      <c r="A44" s="115"/>
      <c r="B44" s="115"/>
      <c r="C44" s="115"/>
      <c r="D44" s="115"/>
      <c r="E44" s="115"/>
    </row>
    <row r="45" ht="15.75" customHeight="1">
      <c r="A45" s="115"/>
      <c r="B45" s="115"/>
      <c r="C45" s="115"/>
      <c r="D45" s="115"/>
      <c r="E45" s="115"/>
    </row>
    <row r="46" ht="15.75" customHeight="1">
      <c r="A46" s="115"/>
      <c r="B46" s="115"/>
      <c r="C46" s="115"/>
      <c r="D46" s="115"/>
      <c r="E46" s="115"/>
    </row>
    <row r="47" ht="15.75" customHeight="1">
      <c r="A47" s="115"/>
      <c r="B47" s="115"/>
      <c r="C47" s="115"/>
      <c r="D47" s="115"/>
      <c r="E47" s="115"/>
    </row>
    <row r="48" ht="15.75" customHeight="1">
      <c r="A48" s="115"/>
      <c r="B48" s="115"/>
      <c r="C48" s="115"/>
      <c r="D48" s="115"/>
      <c r="E48" s="115"/>
    </row>
    <row r="49" ht="15.75" customHeight="1">
      <c r="A49" s="115"/>
      <c r="B49" s="115"/>
      <c r="C49" s="115"/>
      <c r="D49" s="115"/>
      <c r="E49" s="115"/>
    </row>
    <row r="50" ht="15.75" customHeight="1">
      <c r="A50" s="115"/>
      <c r="B50" s="115"/>
      <c r="C50" s="115"/>
      <c r="D50" s="115"/>
      <c r="E50" s="115"/>
    </row>
    <row r="51" ht="15.75" customHeight="1">
      <c r="A51" s="115"/>
      <c r="B51" s="115"/>
      <c r="C51" s="115"/>
      <c r="D51" s="115"/>
      <c r="E51" s="115"/>
    </row>
    <row r="52" ht="15.75" customHeight="1">
      <c r="A52" s="115"/>
      <c r="B52" s="115"/>
      <c r="C52" s="115"/>
      <c r="D52" s="115"/>
      <c r="E52" s="115"/>
    </row>
    <row r="53" ht="15.75" customHeight="1">
      <c r="A53" s="102"/>
      <c r="B53" s="109"/>
      <c r="C53" s="102"/>
      <c r="D53" s="102"/>
      <c r="E53" s="102"/>
    </row>
    <row r="54" ht="15.75" customHeight="1">
      <c r="A54" s="97" t="s">
        <v>74</v>
      </c>
      <c r="B54" s="98"/>
      <c r="C54" s="98" t="s">
        <v>68</v>
      </c>
      <c r="D54" s="98"/>
      <c r="E54" s="98" t="s">
        <v>69</v>
      </c>
    </row>
    <row r="55" ht="15.75" customHeight="1">
      <c r="A55" s="115"/>
      <c r="B55" s="115"/>
      <c r="C55" s="115"/>
      <c r="D55" s="115"/>
      <c r="E55" s="115"/>
    </row>
    <row r="56" ht="15.75" customHeight="1">
      <c r="A56" s="115"/>
      <c r="B56" s="115"/>
      <c r="C56" s="115"/>
      <c r="D56" s="115"/>
      <c r="E56" s="115"/>
    </row>
    <row r="57" ht="15.75" customHeight="1">
      <c r="A57" s="115"/>
      <c r="B57" s="115"/>
      <c r="C57" s="115"/>
      <c r="D57" s="115"/>
      <c r="E57" s="115"/>
    </row>
    <row r="58" ht="15.75" customHeight="1">
      <c r="A58" s="115"/>
      <c r="B58" s="115"/>
      <c r="C58" s="115"/>
      <c r="D58" s="115"/>
      <c r="E58" s="115"/>
    </row>
    <row r="59" ht="15.75" customHeight="1">
      <c r="A59" s="115"/>
      <c r="B59" s="115"/>
      <c r="C59" s="115"/>
      <c r="D59" s="115"/>
      <c r="E59" s="115"/>
    </row>
    <row r="60" ht="15.75" customHeight="1">
      <c r="A60" s="115"/>
      <c r="B60" s="115"/>
      <c r="C60" s="115"/>
      <c r="D60" s="115"/>
      <c r="E60" s="115"/>
    </row>
    <row r="61" ht="15.75" customHeight="1">
      <c r="A61" s="115"/>
      <c r="B61" s="115"/>
      <c r="C61" s="115"/>
      <c r="D61" s="115"/>
      <c r="E61" s="115"/>
    </row>
    <row r="62" ht="15.75" customHeight="1">
      <c r="A62" s="115"/>
      <c r="B62" s="115"/>
      <c r="C62" s="115"/>
      <c r="D62" s="115"/>
      <c r="E62" s="115"/>
    </row>
    <row r="63" ht="15.75" customHeight="1">
      <c r="A63" s="115"/>
      <c r="B63" s="115"/>
      <c r="C63" s="115"/>
      <c r="D63" s="115"/>
      <c r="E63" s="115"/>
    </row>
    <row r="64" ht="15.75" customHeight="1">
      <c r="A64" s="116"/>
      <c r="B64" s="109"/>
      <c r="C64" s="102"/>
      <c r="D64" s="109"/>
      <c r="E64" s="109"/>
    </row>
    <row r="65" ht="15.75" customHeight="1">
      <c r="A65" s="97" t="s">
        <v>75</v>
      </c>
      <c r="B65" s="98"/>
      <c r="C65" s="98" t="s">
        <v>68</v>
      </c>
      <c r="D65" s="98"/>
      <c r="E65" s="98" t="s">
        <v>69</v>
      </c>
    </row>
    <row r="66" ht="15.75" customHeight="1">
      <c r="A66" s="115"/>
      <c r="B66" s="115"/>
      <c r="C66" s="115"/>
      <c r="D66" s="115"/>
      <c r="E66" s="115"/>
    </row>
    <row r="67" ht="15.75" customHeight="1">
      <c r="A67" s="115"/>
      <c r="B67" s="115"/>
      <c r="C67" s="115"/>
      <c r="D67" s="115"/>
      <c r="E67" s="115"/>
    </row>
    <row r="68" ht="15.75" customHeight="1">
      <c r="A68" s="115"/>
      <c r="B68" s="115"/>
      <c r="C68" s="115"/>
      <c r="D68" s="115"/>
      <c r="E68" s="102"/>
    </row>
    <row r="69" ht="15.75" customHeight="1">
      <c r="A69" s="115"/>
      <c r="B69" s="115"/>
      <c r="C69" s="115"/>
      <c r="D69" s="115"/>
      <c r="E69" s="115"/>
    </row>
    <row r="70" ht="15.75" customHeight="1">
      <c r="A70" s="115"/>
      <c r="B70" s="115"/>
      <c r="C70" s="115"/>
      <c r="D70" s="115"/>
      <c r="E70" s="115"/>
    </row>
    <row r="71" ht="15.75" customHeight="1">
      <c r="A71" s="115"/>
      <c r="B71" s="115"/>
      <c r="C71" s="115"/>
      <c r="D71" s="115"/>
      <c r="E71" s="115"/>
    </row>
    <row r="72" ht="15.75" customHeight="1">
      <c r="A72" s="115"/>
      <c r="B72" s="115"/>
      <c r="C72" s="115"/>
      <c r="D72" s="115"/>
      <c r="E72" s="115"/>
    </row>
    <row r="73" ht="15.75" customHeight="1">
      <c r="A73" s="115"/>
      <c r="B73" s="115"/>
      <c r="C73" s="102"/>
      <c r="D73" s="115"/>
      <c r="E73" s="115"/>
    </row>
    <row r="74" ht="15.75" customHeight="1">
      <c r="A74" s="97" t="s">
        <v>76</v>
      </c>
      <c r="B74" s="98"/>
      <c r="C74" s="98" t="s">
        <v>68</v>
      </c>
      <c r="D74" s="98"/>
      <c r="E74" s="98" t="s">
        <v>69</v>
      </c>
    </row>
    <row r="75" ht="15.75" customHeight="1">
      <c r="A75" s="115"/>
      <c r="B75" s="115"/>
      <c r="C75" s="115"/>
      <c r="D75" s="115"/>
      <c r="E75" s="115"/>
    </row>
    <row r="76" ht="15.75" customHeight="1">
      <c r="A76" s="115"/>
      <c r="B76" s="115"/>
      <c r="C76" s="115"/>
      <c r="D76" s="115"/>
      <c r="E76" s="115"/>
    </row>
    <row r="77" ht="15.75" customHeight="1">
      <c r="A77" s="115"/>
      <c r="B77" s="115"/>
      <c r="C77" s="115"/>
      <c r="D77" s="115"/>
      <c r="E77" s="115"/>
    </row>
    <row r="78" ht="15.75" customHeight="1">
      <c r="A78" s="115"/>
      <c r="B78" s="115"/>
      <c r="C78" s="115"/>
      <c r="D78" s="115"/>
      <c r="E78" s="115"/>
    </row>
    <row r="79" ht="15.75" customHeight="1">
      <c r="A79" s="115"/>
      <c r="B79" s="115"/>
      <c r="C79" s="115"/>
      <c r="D79" s="115"/>
      <c r="E79" s="115"/>
    </row>
    <row r="80" ht="15.75" customHeight="1">
      <c r="A80" s="115"/>
      <c r="B80" s="115"/>
      <c r="C80" s="115"/>
      <c r="D80" s="115"/>
      <c r="E80" s="115"/>
    </row>
    <row r="81" ht="15.75" customHeight="1">
      <c r="A81" s="115"/>
      <c r="B81" s="115"/>
      <c r="C81" s="115"/>
      <c r="D81" s="115"/>
      <c r="E81" s="115"/>
    </row>
    <row r="82" ht="15.75" customHeight="1">
      <c r="A82" s="115"/>
      <c r="B82" s="115"/>
      <c r="C82" s="115"/>
      <c r="D82" s="115"/>
      <c r="E82" s="115"/>
    </row>
    <row r="83" ht="15.75" customHeight="1">
      <c r="A83" s="115"/>
      <c r="B83" s="115"/>
      <c r="C83" s="115"/>
      <c r="D83" s="115"/>
      <c r="E83" s="115"/>
    </row>
    <row r="84" ht="15.75" customHeight="1">
      <c r="A84" s="102"/>
      <c r="B84" s="109"/>
      <c r="C84" s="102"/>
      <c r="D84" s="109"/>
      <c r="E84" s="109"/>
    </row>
    <row r="85" ht="15.75" customHeight="1">
      <c r="A85" s="117"/>
      <c r="B85" s="109"/>
      <c r="C85" s="109"/>
      <c r="D85" s="109"/>
      <c r="E85" s="109"/>
    </row>
    <row r="86" ht="15.75" customHeight="1">
      <c r="A86" s="118"/>
      <c r="B86" s="109"/>
      <c r="C86" s="109"/>
      <c r="D86" s="109"/>
      <c r="E86" s="109"/>
    </row>
    <row r="87" ht="15.75" customHeight="1">
      <c r="A87" s="118"/>
      <c r="B87" s="109"/>
      <c r="C87" s="109"/>
      <c r="D87" s="109"/>
      <c r="E87" s="109"/>
    </row>
    <row r="88" ht="15.75" customHeight="1">
      <c r="A88" s="118"/>
      <c r="B88" s="109"/>
      <c r="C88" s="119"/>
      <c r="D88" s="109"/>
      <c r="E88" s="109"/>
    </row>
    <row r="89" ht="15.75" customHeight="1">
      <c r="A89" s="118"/>
      <c r="B89" s="109"/>
      <c r="C89" s="109"/>
      <c r="D89" s="109"/>
      <c r="E89" s="109"/>
    </row>
    <row r="90" ht="15.75" customHeight="1">
      <c r="A90" s="118"/>
      <c r="B90" s="109"/>
      <c r="C90" s="109"/>
      <c r="D90" s="109"/>
      <c r="E90" s="109"/>
    </row>
    <row r="91" ht="15.75" customHeight="1">
      <c r="A91" s="112"/>
      <c r="B91" s="109"/>
      <c r="C91" s="109"/>
      <c r="D91" s="109"/>
      <c r="E91" s="109"/>
    </row>
    <row r="92" ht="15.75" customHeight="1">
      <c r="A92" s="97" t="s">
        <v>77</v>
      </c>
      <c r="B92" s="98"/>
      <c r="C92" s="98" t="s">
        <v>68</v>
      </c>
      <c r="D92" s="98"/>
      <c r="E92" s="98" t="s">
        <v>69</v>
      </c>
    </row>
    <row r="93" ht="15.75" customHeight="1">
      <c r="A93" s="121"/>
      <c r="B93" s="122"/>
      <c r="C93" s="121"/>
      <c r="D93" s="122"/>
      <c r="E93" s="121"/>
    </row>
    <row r="94" ht="15.75" customHeight="1">
      <c r="A94" s="121"/>
      <c r="B94" s="122"/>
      <c r="C94" s="121"/>
      <c r="D94" s="121"/>
      <c r="E94" s="121"/>
    </row>
    <row r="95" ht="15.75" customHeight="1">
      <c r="A95" s="121"/>
      <c r="B95" s="122"/>
      <c r="C95" s="121"/>
      <c r="D95" s="121"/>
      <c r="E95" s="123"/>
    </row>
    <row r="96" ht="15.75" customHeight="1">
      <c r="A96" s="121"/>
      <c r="B96" s="122"/>
      <c r="C96" s="121"/>
      <c r="D96" s="121"/>
      <c r="E96" s="121"/>
    </row>
    <row r="97" ht="15.75" customHeight="1">
      <c r="A97" s="121"/>
      <c r="B97" s="122"/>
      <c r="C97" s="121"/>
      <c r="D97" s="121"/>
      <c r="E97" s="121"/>
    </row>
    <row r="98" ht="15.75" customHeight="1">
      <c r="A98" s="121"/>
      <c r="B98" s="122"/>
      <c r="C98" s="121"/>
      <c r="D98" s="121"/>
      <c r="E98" s="121"/>
    </row>
    <row r="99" ht="15.75" customHeight="1">
      <c r="A99" s="121"/>
      <c r="B99" s="122"/>
      <c r="C99" s="121"/>
      <c r="D99" s="121"/>
      <c r="E99" s="121"/>
    </row>
    <row r="100" ht="15.75" customHeight="1">
      <c r="A100" s="121"/>
      <c r="B100" s="122"/>
      <c r="C100" s="121"/>
      <c r="D100" s="121"/>
      <c r="E100" s="121"/>
    </row>
    <row r="101" ht="15.75" customHeight="1">
      <c r="A101" s="102"/>
      <c r="B101" s="109"/>
      <c r="C101" s="124"/>
      <c r="D101" s="125"/>
      <c r="E101" s="125"/>
    </row>
    <row r="102" ht="15.75" customHeight="1">
      <c r="A102" s="126"/>
      <c r="B102" s="109"/>
      <c r="C102" s="124"/>
      <c r="D102" s="125"/>
      <c r="E102" s="125"/>
    </row>
    <row r="103" ht="15.75" customHeight="1">
      <c r="A103" s="127"/>
      <c r="B103" s="109"/>
      <c r="C103" s="124"/>
      <c r="D103" s="125"/>
      <c r="E103" s="125"/>
    </row>
    <row r="104" ht="15.75" customHeight="1">
      <c r="A104" s="127"/>
      <c r="B104" s="109"/>
      <c r="C104" s="102"/>
      <c r="D104" s="125"/>
      <c r="E104" s="125"/>
    </row>
    <row r="105" ht="15.75" customHeight="1">
      <c r="A105" s="127"/>
      <c r="B105" s="109"/>
      <c r="C105" s="110"/>
      <c r="D105" s="109"/>
      <c r="E105" s="109"/>
    </row>
    <row r="106" ht="15.75" customHeight="1">
      <c r="A106" s="127"/>
      <c r="B106" s="109"/>
      <c r="C106" s="109"/>
      <c r="D106" s="109"/>
      <c r="E106" s="109"/>
    </row>
    <row r="107" ht="15.75" customHeight="1">
      <c r="A107" s="127"/>
      <c r="B107" s="109"/>
      <c r="C107" s="128"/>
      <c r="D107" s="109"/>
      <c r="E107" s="109"/>
    </row>
    <row r="108" ht="15.75" customHeight="1">
      <c r="A108" s="102"/>
      <c r="B108" s="109"/>
      <c r="C108" s="128"/>
      <c r="D108" s="109"/>
      <c r="E108" s="109"/>
    </row>
    <row r="109" ht="15.75" customHeight="1">
      <c r="A109" s="102"/>
      <c r="B109" s="102"/>
      <c r="C109" s="102"/>
      <c r="D109" s="102"/>
      <c r="E109" s="102"/>
    </row>
    <row r="110" ht="15.75" customHeight="1">
      <c r="A110" s="102"/>
      <c r="B110" s="102"/>
      <c r="C110" s="102"/>
      <c r="D110" s="102"/>
      <c r="E110" s="102"/>
    </row>
    <row r="111" ht="15.75" customHeight="1">
      <c r="A111" s="102"/>
      <c r="B111" s="102"/>
      <c r="C111" s="102"/>
      <c r="D111" s="102"/>
      <c r="E111" s="102"/>
    </row>
    <row r="112" ht="15.75" customHeight="1">
      <c r="A112" s="102"/>
      <c r="B112" s="102"/>
      <c r="C112" s="102"/>
      <c r="D112" s="102"/>
      <c r="E112" s="102"/>
    </row>
    <row r="113" ht="15.75" customHeight="1">
      <c r="A113" s="102"/>
      <c r="B113" s="102"/>
      <c r="C113" s="102"/>
      <c r="D113" s="102"/>
      <c r="E113" s="102"/>
    </row>
    <row r="114" ht="15.75" customHeight="1">
      <c r="A114" s="102"/>
      <c r="B114" s="102"/>
      <c r="C114" s="102"/>
      <c r="D114" s="102"/>
      <c r="E114" s="102"/>
    </row>
    <row r="115" ht="15.75" customHeight="1">
      <c r="A115" s="102"/>
      <c r="B115" s="102"/>
      <c r="C115" s="102"/>
      <c r="D115" s="102"/>
      <c r="E115" s="102"/>
    </row>
    <row r="116" ht="15.75" customHeight="1">
      <c r="A116" s="102"/>
      <c r="B116" s="102"/>
      <c r="C116" s="102"/>
      <c r="D116" s="102"/>
      <c r="E116" s="102"/>
    </row>
    <row r="117" ht="15.75" customHeight="1">
      <c r="A117" s="102"/>
      <c r="B117" s="102"/>
      <c r="C117" s="102"/>
      <c r="D117" s="102"/>
      <c r="E117" s="102"/>
    </row>
    <row r="118" ht="15.75" customHeight="1">
      <c r="A118" s="102"/>
      <c r="B118" s="102"/>
      <c r="C118" s="102"/>
      <c r="D118" s="102"/>
      <c r="E118" s="102"/>
    </row>
    <row r="119" ht="15.75" customHeight="1">
      <c r="A119" s="102"/>
      <c r="B119" s="102"/>
      <c r="C119" s="102"/>
      <c r="D119" s="102"/>
      <c r="E119" s="102"/>
    </row>
    <row r="120" ht="15.75" customHeight="1">
      <c r="A120" s="102"/>
      <c r="B120" s="102"/>
      <c r="C120" s="102"/>
      <c r="D120" s="102"/>
      <c r="E120" s="102"/>
    </row>
    <row r="121" ht="15.75" customHeight="1">
      <c r="A121" s="102"/>
      <c r="B121" s="102"/>
      <c r="C121" s="102"/>
      <c r="D121" s="102"/>
      <c r="E121" s="102"/>
    </row>
    <row r="122" ht="15.75" customHeight="1">
      <c r="A122" s="102"/>
      <c r="B122" s="102"/>
      <c r="C122" s="102"/>
      <c r="D122" s="102"/>
      <c r="E122" s="102"/>
    </row>
    <row r="123" ht="15.75" customHeight="1">
      <c r="A123" s="102"/>
      <c r="B123" s="102"/>
      <c r="C123" s="102"/>
      <c r="D123" s="102"/>
      <c r="E123" s="102"/>
    </row>
    <row r="124" ht="15.75" customHeight="1">
      <c r="A124" s="102"/>
      <c r="B124" s="102"/>
      <c r="C124" s="102"/>
      <c r="D124" s="102"/>
      <c r="E124" s="102"/>
    </row>
    <row r="125" ht="15.75" customHeight="1">
      <c r="A125" s="102"/>
      <c r="B125" s="102"/>
      <c r="C125" s="102"/>
      <c r="D125" s="102"/>
      <c r="E125" s="102"/>
    </row>
    <row r="126" ht="15.75" customHeight="1">
      <c r="A126" s="102"/>
      <c r="B126" s="102"/>
      <c r="C126" s="102"/>
      <c r="D126" s="102"/>
      <c r="E126" s="102"/>
    </row>
    <row r="127" ht="15.75" customHeight="1">
      <c r="A127" s="102"/>
      <c r="B127" s="102"/>
      <c r="C127" s="102"/>
      <c r="D127" s="102"/>
      <c r="E127" s="102"/>
    </row>
    <row r="128" ht="15.75" customHeight="1">
      <c r="A128" s="102"/>
      <c r="B128" s="102"/>
      <c r="C128" s="102"/>
      <c r="D128" s="102"/>
      <c r="E128" s="102"/>
    </row>
    <row r="129" ht="15.75" customHeight="1">
      <c r="A129" s="102"/>
      <c r="B129" s="102"/>
      <c r="C129" s="102"/>
      <c r="D129" s="102"/>
      <c r="E129" s="102"/>
    </row>
    <row r="130" ht="15.75" customHeight="1">
      <c r="A130" s="102"/>
      <c r="B130" s="102"/>
      <c r="C130" s="102"/>
      <c r="D130" s="102"/>
      <c r="E130" s="102"/>
    </row>
    <row r="131" ht="15.75" customHeight="1">
      <c r="A131" s="102"/>
      <c r="B131" s="102"/>
      <c r="C131" s="102"/>
      <c r="D131" s="102"/>
      <c r="E131" s="102"/>
    </row>
    <row r="132" ht="15.75" customHeight="1">
      <c r="A132" s="102"/>
      <c r="B132" s="102"/>
      <c r="C132" s="102"/>
      <c r="D132" s="102"/>
      <c r="E132" s="102"/>
    </row>
    <row r="133" ht="15.75" customHeight="1">
      <c r="A133" s="102"/>
      <c r="B133" s="102"/>
      <c r="C133" s="102"/>
      <c r="D133" s="102"/>
      <c r="E133" s="102"/>
    </row>
    <row r="134" ht="15.75" customHeight="1">
      <c r="A134" s="102"/>
      <c r="B134" s="102"/>
      <c r="C134" s="102"/>
      <c r="D134" s="102"/>
      <c r="E134" s="102"/>
    </row>
    <row r="135" ht="15.75" customHeight="1">
      <c r="A135" s="102"/>
      <c r="B135" s="102"/>
      <c r="C135" s="102"/>
      <c r="D135" s="102"/>
      <c r="E135" s="102"/>
    </row>
    <row r="136" ht="15.75" customHeight="1">
      <c r="A136" s="102"/>
      <c r="B136" s="102"/>
      <c r="C136" s="102"/>
      <c r="D136" s="102"/>
      <c r="E136" s="102"/>
    </row>
    <row r="137" ht="15.75" customHeight="1">
      <c r="A137" s="102"/>
      <c r="B137" s="102"/>
      <c r="C137" s="102"/>
      <c r="D137" s="102"/>
      <c r="E137" s="102"/>
    </row>
    <row r="138" ht="15.75" customHeight="1">
      <c r="A138" s="102"/>
      <c r="B138" s="102"/>
      <c r="C138" s="102"/>
      <c r="D138" s="102"/>
      <c r="E138" s="102"/>
    </row>
    <row r="139" ht="15.75" customHeight="1">
      <c r="A139" s="102"/>
      <c r="B139" s="102"/>
      <c r="C139" s="102"/>
      <c r="D139" s="102"/>
      <c r="E139" s="102"/>
    </row>
    <row r="140" ht="15.75" customHeight="1">
      <c r="A140" s="102"/>
      <c r="B140" s="102"/>
      <c r="C140" s="102"/>
      <c r="D140" s="102"/>
      <c r="E140" s="102"/>
    </row>
    <row r="141" ht="15.75" customHeight="1">
      <c r="A141" s="102"/>
      <c r="B141" s="102"/>
      <c r="C141" s="102"/>
      <c r="D141" s="102"/>
      <c r="E141" s="102"/>
    </row>
    <row r="142" ht="15.75" customHeight="1">
      <c r="A142" s="102"/>
      <c r="B142" s="102"/>
      <c r="C142" s="102"/>
      <c r="D142" s="102"/>
      <c r="E142" s="102"/>
    </row>
    <row r="143" ht="15.75" customHeight="1">
      <c r="A143" s="102"/>
      <c r="B143" s="102"/>
      <c r="C143" s="102"/>
      <c r="D143" s="102"/>
      <c r="E143" s="102"/>
    </row>
    <row r="144" ht="15.75" customHeight="1">
      <c r="A144" s="102"/>
      <c r="B144" s="102"/>
      <c r="C144" s="102"/>
      <c r="D144" s="102"/>
      <c r="E144" s="102"/>
    </row>
    <row r="145" ht="15.75" customHeight="1">
      <c r="A145" s="102"/>
      <c r="B145" s="102"/>
      <c r="C145" s="102"/>
      <c r="D145" s="102"/>
      <c r="E145" s="102"/>
    </row>
    <row r="146" ht="15.75" customHeight="1">
      <c r="A146" s="102"/>
      <c r="B146" s="102"/>
      <c r="C146" s="102"/>
      <c r="D146" s="102"/>
      <c r="E146" s="102"/>
    </row>
    <row r="147" ht="15.75" customHeight="1">
      <c r="A147" s="102"/>
      <c r="B147" s="102"/>
      <c r="C147" s="102"/>
      <c r="D147" s="102"/>
      <c r="E147" s="102"/>
    </row>
    <row r="148" ht="15.75" customHeight="1">
      <c r="A148" s="102"/>
      <c r="B148" s="102"/>
      <c r="C148" s="102"/>
      <c r="D148" s="102"/>
      <c r="E148" s="102"/>
    </row>
    <row r="149" ht="15.75" customHeight="1">
      <c r="A149" s="102"/>
      <c r="B149" s="102"/>
      <c r="C149" s="102"/>
      <c r="D149" s="102"/>
      <c r="E149" s="102"/>
    </row>
    <row r="150" ht="15.75" customHeight="1">
      <c r="A150" s="102"/>
      <c r="B150" s="102"/>
      <c r="C150" s="102"/>
      <c r="D150" s="102"/>
      <c r="E150" s="102"/>
    </row>
    <row r="151" ht="15.75" customHeight="1">
      <c r="A151" s="102"/>
      <c r="B151" s="102"/>
      <c r="C151" s="102"/>
      <c r="D151" s="102"/>
      <c r="E151" s="102"/>
    </row>
    <row r="152" ht="15.75" customHeight="1">
      <c r="A152" s="102"/>
      <c r="B152" s="102"/>
      <c r="C152" s="102"/>
      <c r="D152" s="102"/>
      <c r="E152" s="102"/>
    </row>
    <row r="153" ht="15.75" customHeight="1">
      <c r="A153" s="102"/>
      <c r="B153" s="102"/>
      <c r="C153" s="102"/>
      <c r="D153" s="102"/>
      <c r="E153" s="102"/>
    </row>
    <row r="154" ht="15.75" customHeight="1">
      <c r="A154" s="102"/>
      <c r="B154" s="102"/>
      <c r="C154" s="102"/>
      <c r="D154" s="102"/>
      <c r="E154" s="102"/>
    </row>
    <row r="155" ht="15.75" customHeight="1">
      <c r="A155" s="102"/>
      <c r="B155" s="102"/>
      <c r="C155" s="102"/>
      <c r="D155" s="102"/>
      <c r="E155" s="102"/>
    </row>
    <row r="156" ht="15.75" customHeight="1">
      <c r="A156" s="102"/>
      <c r="B156" s="102"/>
      <c r="C156" s="102"/>
      <c r="D156" s="102"/>
      <c r="E156" s="102"/>
    </row>
    <row r="157" ht="15.75" customHeight="1">
      <c r="A157" s="102"/>
      <c r="B157" s="102"/>
      <c r="C157" s="102"/>
      <c r="D157" s="102"/>
      <c r="E157" s="102"/>
    </row>
    <row r="158" ht="15.75" customHeight="1">
      <c r="A158" s="102"/>
      <c r="B158" s="102"/>
      <c r="C158" s="102"/>
      <c r="D158" s="102"/>
      <c r="E158" s="102"/>
    </row>
    <row r="159" ht="15.75" customHeight="1">
      <c r="A159" s="102"/>
      <c r="B159" s="102"/>
      <c r="C159" s="102"/>
      <c r="D159" s="102"/>
      <c r="E159" s="102"/>
    </row>
    <row r="160" ht="15.75" customHeight="1">
      <c r="A160" s="102"/>
      <c r="B160" s="102"/>
      <c r="C160" s="102"/>
      <c r="D160" s="102"/>
      <c r="E160" s="102"/>
    </row>
    <row r="161" ht="15.75" customHeight="1">
      <c r="A161" s="102"/>
      <c r="B161" s="102"/>
      <c r="C161" s="102"/>
      <c r="D161" s="102"/>
      <c r="E161" s="102"/>
    </row>
    <row r="162" ht="15.75" customHeight="1">
      <c r="A162" s="102"/>
      <c r="B162" s="102"/>
      <c r="C162" s="102"/>
      <c r="D162" s="102"/>
      <c r="E162" s="102"/>
    </row>
    <row r="163" ht="15.75" customHeight="1">
      <c r="A163" s="102"/>
      <c r="B163" s="102"/>
      <c r="C163" s="102"/>
      <c r="D163" s="102"/>
      <c r="E163" s="102"/>
    </row>
    <row r="164" ht="15.75" customHeight="1">
      <c r="A164" s="102"/>
      <c r="B164" s="102"/>
      <c r="C164" s="102"/>
      <c r="D164" s="102"/>
      <c r="E164" s="102"/>
    </row>
    <row r="165" ht="15.75" customHeight="1">
      <c r="A165" s="102"/>
      <c r="B165" s="102"/>
      <c r="C165" s="102"/>
      <c r="D165" s="102"/>
      <c r="E165" s="102"/>
    </row>
    <row r="166" ht="15.75" customHeight="1">
      <c r="A166" s="102"/>
      <c r="B166" s="102"/>
      <c r="C166" s="102"/>
      <c r="D166" s="102"/>
      <c r="E166" s="102"/>
    </row>
    <row r="167" ht="15.75" customHeight="1">
      <c r="A167" s="102"/>
      <c r="B167" s="102"/>
      <c r="C167" s="102"/>
      <c r="D167" s="102"/>
      <c r="E167" s="102"/>
    </row>
    <row r="168" ht="15.75" customHeight="1">
      <c r="A168" s="102"/>
      <c r="B168" s="102"/>
      <c r="C168" s="102"/>
      <c r="D168" s="102"/>
      <c r="E168" s="102"/>
    </row>
    <row r="169" ht="15.75" customHeight="1">
      <c r="A169" s="102"/>
      <c r="B169" s="102"/>
      <c r="C169" s="102"/>
      <c r="D169" s="102"/>
      <c r="E169" s="102"/>
    </row>
    <row r="170" ht="15.75" customHeight="1">
      <c r="A170" s="102"/>
      <c r="B170" s="102"/>
      <c r="C170" s="102"/>
      <c r="D170" s="102"/>
      <c r="E170" s="102"/>
    </row>
    <row r="171" ht="15.75" customHeight="1">
      <c r="A171" s="102"/>
      <c r="B171" s="102"/>
      <c r="C171" s="102"/>
      <c r="D171" s="102"/>
      <c r="E171" s="102"/>
    </row>
    <row r="172" ht="15.75" customHeight="1">
      <c r="A172" s="102"/>
      <c r="B172" s="102"/>
      <c r="C172" s="102"/>
      <c r="D172" s="102"/>
      <c r="E172" s="102"/>
    </row>
    <row r="173" ht="15.75" customHeight="1">
      <c r="A173" s="102"/>
      <c r="B173" s="102"/>
      <c r="C173" s="102"/>
      <c r="D173" s="102"/>
      <c r="E173" s="102"/>
    </row>
    <row r="174" ht="15.75" customHeight="1">
      <c r="A174" s="102"/>
      <c r="B174" s="102"/>
      <c r="C174" s="102"/>
      <c r="D174" s="102"/>
      <c r="E174" s="102"/>
    </row>
    <row r="175" ht="15.75" customHeight="1">
      <c r="A175" s="102"/>
      <c r="B175" s="102"/>
      <c r="C175" s="102"/>
      <c r="D175" s="102"/>
      <c r="E175" s="102"/>
    </row>
    <row r="176" ht="15.75" customHeight="1">
      <c r="A176" s="102"/>
      <c r="B176" s="102"/>
      <c r="C176" s="102"/>
      <c r="D176" s="102"/>
      <c r="E176" s="102"/>
    </row>
    <row r="177" ht="15.75" customHeight="1">
      <c r="A177" s="102"/>
      <c r="B177" s="102"/>
      <c r="C177" s="102"/>
      <c r="D177" s="102"/>
      <c r="E177" s="102"/>
    </row>
    <row r="178" ht="15.75" customHeight="1">
      <c r="A178" s="102"/>
      <c r="B178" s="102"/>
      <c r="C178" s="102"/>
      <c r="D178" s="102"/>
      <c r="E178" s="102"/>
    </row>
    <row r="179" ht="15.75" customHeight="1">
      <c r="A179" s="102"/>
      <c r="B179" s="102"/>
      <c r="C179" s="102"/>
      <c r="D179" s="102"/>
      <c r="E179" s="102"/>
    </row>
    <row r="180" ht="15.75" customHeight="1">
      <c r="A180" s="102"/>
      <c r="B180" s="102"/>
      <c r="C180" s="102"/>
      <c r="D180" s="102"/>
      <c r="E180" s="102"/>
    </row>
    <row r="181" ht="15.75" customHeight="1">
      <c r="A181" s="102"/>
      <c r="B181" s="102"/>
      <c r="C181" s="102"/>
      <c r="D181" s="102"/>
      <c r="E181" s="102"/>
    </row>
    <row r="182" ht="15.75" customHeight="1">
      <c r="A182" s="102"/>
      <c r="B182" s="102"/>
      <c r="C182" s="102"/>
      <c r="D182" s="102"/>
      <c r="E182" s="102"/>
    </row>
    <row r="183" ht="15.75" customHeight="1">
      <c r="A183" s="102"/>
      <c r="B183" s="102"/>
      <c r="C183" s="102"/>
      <c r="D183" s="102"/>
      <c r="E183" s="102"/>
    </row>
    <row r="184" ht="15.75" customHeight="1">
      <c r="A184" s="102"/>
      <c r="B184" s="102"/>
      <c r="C184" s="102"/>
      <c r="D184" s="102"/>
      <c r="E184" s="102"/>
    </row>
    <row r="185" ht="15.75" customHeight="1">
      <c r="A185" s="102"/>
      <c r="B185" s="102"/>
      <c r="C185" s="102"/>
      <c r="D185" s="102"/>
      <c r="E185" s="102"/>
    </row>
    <row r="186" ht="15.75" customHeight="1">
      <c r="A186" s="102"/>
      <c r="B186" s="102"/>
      <c r="C186" s="102"/>
      <c r="D186" s="102"/>
      <c r="E186" s="102"/>
    </row>
    <row r="187" ht="15.75" customHeight="1">
      <c r="A187" s="102"/>
      <c r="B187" s="102"/>
      <c r="C187" s="102"/>
      <c r="D187" s="102"/>
      <c r="E187" s="102"/>
    </row>
    <row r="188" ht="15.75" customHeight="1">
      <c r="A188" s="102"/>
      <c r="B188" s="102"/>
      <c r="C188" s="102"/>
      <c r="D188" s="102"/>
      <c r="E188" s="102"/>
    </row>
    <row r="189" ht="15.75" customHeight="1">
      <c r="A189" s="102"/>
      <c r="B189" s="102"/>
      <c r="C189" s="102"/>
      <c r="D189" s="102"/>
      <c r="E189" s="102"/>
    </row>
    <row r="190" ht="15.75" customHeight="1">
      <c r="A190" s="102"/>
      <c r="B190" s="102"/>
      <c r="C190" s="102"/>
      <c r="D190" s="102"/>
      <c r="E190" s="102"/>
    </row>
    <row r="191" ht="15.75" customHeight="1">
      <c r="A191" s="102"/>
      <c r="B191" s="102"/>
      <c r="C191" s="102"/>
      <c r="D191" s="102"/>
      <c r="E191" s="102"/>
    </row>
    <row r="192" ht="15.75" customHeight="1">
      <c r="A192" s="102"/>
      <c r="B192" s="102"/>
      <c r="C192" s="102"/>
      <c r="D192" s="102"/>
      <c r="E192" s="102"/>
    </row>
    <row r="193" ht="15.75" customHeight="1">
      <c r="A193" s="102"/>
      <c r="B193" s="102"/>
      <c r="C193" s="102"/>
      <c r="D193" s="102"/>
      <c r="E193" s="102"/>
    </row>
    <row r="194" ht="15.75" customHeight="1">
      <c r="A194" s="102"/>
      <c r="B194" s="102"/>
      <c r="C194" s="102"/>
      <c r="D194" s="102"/>
      <c r="E194" s="102"/>
    </row>
    <row r="195" ht="15.75" customHeight="1">
      <c r="A195" s="102"/>
      <c r="B195" s="102"/>
      <c r="C195" s="102"/>
      <c r="D195" s="102"/>
      <c r="E195" s="102"/>
    </row>
    <row r="196" ht="15.75" customHeight="1">
      <c r="A196" s="102"/>
      <c r="B196" s="102"/>
      <c r="C196" s="102"/>
      <c r="D196" s="102"/>
      <c r="E196" s="102"/>
    </row>
    <row r="197" ht="15.75" customHeight="1">
      <c r="A197" s="102"/>
      <c r="B197" s="102"/>
      <c r="C197" s="102"/>
      <c r="D197" s="102"/>
      <c r="E197" s="102"/>
    </row>
    <row r="198" ht="15.75" customHeight="1">
      <c r="A198" s="102"/>
      <c r="B198" s="102"/>
      <c r="C198" s="102"/>
      <c r="D198" s="102"/>
      <c r="E198" s="102"/>
    </row>
    <row r="199" ht="15.75" customHeight="1">
      <c r="A199" s="102"/>
      <c r="B199" s="102"/>
      <c r="C199" s="102"/>
      <c r="D199" s="102"/>
      <c r="E199" s="102"/>
    </row>
    <row r="200" ht="15.75" customHeight="1">
      <c r="A200" s="102"/>
      <c r="B200" s="102"/>
      <c r="C200" s="102"/>
      <c r="D200" s="102"/>
      <c r="E200" s="102"/>
    </row>
    <row r="201" ht="15.75" customHeight="1">
      <c r="A201" s="102"/>
      <c r="B201" s="102"/>
      <c r="C201" s="102"/>
      <c r="D201" s="102"/>
      <c r="E201" s="102"/>
    </row>
    <row r="202" ht="15.75" customHeight="1">
      <c r="A202" s="102"/>
      <c r="B202" s="102"/>
      <c r="C202" s="102"/>
      <c r="D202" s="102"/>
      <c r="E202" s="102"/>
    </row>
    <row r="203" ht="15.75" customHeight="1">
      <c r="A203" s="102"/>
      <c r="B203" s="102"/>
      <c r="C203" s="102"/>
      <c r="D203" s="102"/>
      <c r="E203" s="102"/>
    </row>
    <row r="204" ht="15.75" customHeight="1">
      <c r="A204" s="102"/>
      <c r="B204" s="102"/>
      <c r="C204" s="102"/>
      <c r="D204" s="102"/>
      <c r="E204" s="102"/>
    </row>
    <row r="205" ht="15.75" customHeight="1">
      <c r="A205" s="102"/>
      <c r="B205" s="102"/>
      <c r="C205" s="102"/>
      <c r="D205" s="102"/>
      <c r="E205" s="102"/>
    </row>
    <row r="206" ht="15.75" customHeight="1">
      <c r="A206" s="102"/>
      <c r="B206" s="102"/>
      <c r="C206" s="102"/>
      <c r="D206" s="102"/>
      <c r="E206" s="102"/>
    </row>
    <row r="207" ht="15.75" customHeight="1">
      <c r="A207" s="102"/>
      <c r="B207" s="102"/>
      <c r="C207" s="102"/>
      <c r="D207" s="102"/>
      <c r="E207" s="102"/>
    </row>
    <row r="208" ht="15.75" customHeight="1">
      <c r="A208" s="102"/>
      <c r="B208" s="102"/>
      <c r="C208" s="102"/>
      <c r="D208" s="102"/>
      <c r="E208" s="102"/>
    </row>
    <row r="209" ht="15.75" customHeight="1">
      <c r="A209" s="102"/>
      <c r="B209" s="102"/>
      <c r="C209" s="102"/>
      <c r="D209" s="102"/>
      <c r="E209" s="102"/>
    </row>
    <row r="210" ht="15.75" customHeight="1">
      <c r="A210" s="102"/>
      <c r="B210" s="102"/>
      <c r="C210" s="102"/>
      <c r="D210" s="102"/>
      <c r="E210" s="102"/>
    </row>
    <row r="211" ht="15.75" customHeight="1">
      <c r="A211" s="102"/>
      <c r="B211" s="102"/>
      <c r="C211" s="102"/>
      <c r="D211" s="102"/>
      <c r="E211" s="102"/>
    </row>
    <row r="212" ht="15.75" customHeight="1">
      <c r="A212" s="102"/>
      <c r="B212" s="102"/>
      <c r="C212" s="102"/>
      <c r="D212" s="102"/>
      <c r="E212" s="102"/>
    </row>
    <row r="213" ht="15.75" customHeight="1">
      <c r="A213" s="102"/>
      <c r="B213" s="102"/>
      <c r="C213" s="102"/>
      <c r="D213" s="102"/>
      <c r="E213" s="102"/>
    </row>
    <row r="214" ht="15.75" customHeight="1">
      <c r="A214" s="102"/>
      <c r="B214" s="102"/>
      <c r="C214" s="102"/>
      <c r="D214" s="102"/>
      <c r="E214" s="102"/>
    </row>
    <row r="215" ht="15.75" customHeight="1">
      <c r="A215" s="102"/>
      <c r="B215" s="102"/>
      <c r="C215" s="102"/>
      <c r="D215" s="102"/>
      <c r="E215" s="102"/>
    </row>
    <row r="216" ht="15.75" customHeight="1">
      <c r="A216" s="102"/>
      <c r="B216" s="102"/>
      <c r="C216" s="102"/>
      <c r="D216" s="102"/>
      <c r="E216" s="102"/>
    </row>
    <row r="217" ht="15.75" customHeight="1">
      <c r="A217" s="102"/>
      <c r="B217" s="102"/>
      <c r="C217" s="102"/>
      <c r="D217" s="102"/>
      <c r="E217" s="102"/>
    </row>
    <row r="218" ht="15.75" customHeight="1">
      <c r="A218" s="102"/>
      <c r="B218" s="102"/>
      <c r="C218" s="102"/>
      <c r="D218" s="102"/>
      <c r="E218" s="102"/>
    </row>
    <row r="219" ht="15.75" customHeight="1">
      <c r="A219" s="102"/>
      <c r="B219" s="102"/>
      <c r="C219" s="102"/>
      <c r="D219" s="102"/>
      <c r="E219" s="102"/>
    </row>
    <row r="220" ht="15.75" customHeight="1">
      <c r="A220" s="102"/>
      <c r="B220" s="102"/>
      <c r="C220" s="102"/>
      <c r="D220" s="102"/>
      <c r="E220" s="102"/>
    </row>
    <row r="221" ht="15.75" customHeight="1">
      <c r="A221" s="102"/>
      <c r="B221" s="102"/>
      <c r="C221" s="102"/>
      <c r="D221" s="102"/>
      <c r="E221" s="102"/>
    </row>
    <row r="222" ht="15.75" customHeight="1">
      <c r="A222" s="102"/>
      <c r="B222" s="102"/>
      <c r="C222" s="102"/>
      <c r="D222" s="102"/>
      <c r="E222" s="102"/>
    </row>
    <row r="223" ht="15.75" customHeight="1">
      <c r="A223" s="102"/>
      <c r="B223" s="102"/>
      <c r="C223" s="102"/>
      <c r="D223" s="102"/>
      <c r="E223" s="102"/>
    </row>
    <row r="224" ht="15.75" customHeight="1">
      <c r="A224" s="102"/>
      <c r="B224" s="102"/>
      <c r="C224" s="102"/>
      <c r="D224" s="102"/>
      <c r="E224" s="102"/>
    </row>
    <row r="225" ht="15.75" customHeight="1">
      <c r="A225" s="102"/>
      <c r="B225" s="102"/>
      <c r="C225" s="102"/>
      <c r="D225" s="102"/>
      <c r="E225" s="102"/>
    </row>
    <row r="226" ht="15.75" customHeight="1">
      <c r="A226" s="102"/>
      <c r="B226" s="102"/>
      <c r="C226" s="102"/>
      <c r="D226" s="102"/>
      <c r="E226" s="102"/>
    </row>
    <row r="227" ht="15.75" customHeight="1">
      <c r="A227" s="102"/>
      <c r="B227" s="102"/>
      <c r="C227" s="102"/>
      <c r="D227" s="102"/>
      <c r="E227" s="102"/>
    </row>
    <row r="228" ht="15.75" customHeight="1">
      <c r="A228" s="102"/>
      <c r="B228" s="102"/>
      <c r="C228" s="102"/>
      <c r="D228" s="102"/>
      <c r="E228" s="102"/>
    </row>
    <row r="229" ht="15.75" customHeight="1">
      <c r="A229" s="102"/>
      <c r="B229" s="102"/>
      <c r="C229" s="102"/>
      <c r="D229" s="102"/>
      <c r="E229" s="102"/>
    </row>
    <row r="230" ht="15.75" customHeight="1">
      <c r="A230" s="102"/>
      <c r="B230" s="102"/>
      <c r="C230" s="102"/>
      <c r="D230" s="102"/>
      <c r="E230" s="102"/>
    </row>
    <row r="231" ht="15.75" customHeight="1">
      <c r="A231" s="102"/>
      <c r="B231" s="102"/>
      <c r="C231" s="102"/>
      <c r="D231" s="102"/>
      <c r="E231" s="102"/>
    </row>
    <row r="232" ht="15.75" customHeight="1">
      <c r="A232" s="102"/>
      <c r="B232" s="102"/>
      <c r="C232" s="102"/>
      <c r="D232" s="102"/>
      <c r="E232" s="102"/>
    </row>
    <row r="233" ht="15.75" customHeight="1">
      <c r="A233" s="102"/>
      <c r="B233" s="102"/>
      <c r="C233" s="102"/>
      <c r="D233" s="102"/>
      <c r="E233" s="102"/>
    </row>
    <row r="234" ht="15.75" customHeight="1">
      <c r="A234" s="102"/>
      <c r="B234" s="102"/>
      <c r="C234" s="102"/>
      <c r="D234" s="102"/>
      <c r="E234" s="102"/>
    </row>
    <row r="235" ht="15.75" customHeight="1">
      <c r="A235" s="102"/>
      <c r="B235" s="102"/>
      <c r="C235" s="102"/>
      <c r="D235" s="102"/>
      <c r="E235" s="102"/>
    </row>
    <row r="236" ht="15.75" customHeight="1">
      <c r="A236" s="102"/>
      <c r="B236" s="102"/>
      <c r="C236" s="102"/>
      <c r="D236" s="102"/>
      <c r="E236" s="102"/>
    </row>
    <row r="237" ht="15.75" customHeight="1">
      <c r="A237" s="102"/>
      <c r="B237" s="102"/>
      <c r="C237" s="102"/>
      <c r="D237" s="102"/>
      <c r="E237" s="102"/>
    </row>
    <row r="238" ht="15.75" customHeight="1">
      <c r="A238" s="102"/>
      <c r="B238" s="102"/>
      <c r="C238" s="102"/>
      <c r="D238" s="102"/>
      <c r="E238" s="102"/>
    </row>
    <row r="239" ht="15.75" customHeight="1">
      <c r="A239" s="102"/>
      <c r="B239" s="102"/>
      <c r="C239" s="102"/>
      <c r="D239" s="102"/>
      <c r="E239" s="102"/>
    </row>
    <row r="240" ht="15.75" customHeight="1">
      <c r="A240" s="102"/>
      <c r="B240" s="102"/>
      <c r="C240" s="102"/>
      <c r="D240" s="102"/>
      <c r="E240" s="102"/>
    </row>
    <row r="241" ht="15.75" customHeight="1">
      <c r="A241" s="102"/>
      <c r="B241" s="102"/>
      <c r="C241" s="102"/>
      <c r="D241" s="102"/>
      <c r="E241" s="102"/>
    </row>
    <row r="242" ht="15.75" customHeight="1">
      <c r="A242" s="102"/>
      <c r="B242" s="102"/>
      <c r="C242" s="102"/>
      <c r="D242" s="102"/>
      <c r="E242" s="102"/>
    </row>
    <row r="243" ht="15.75" customHeight="1">
      <c r="A243" s="102"/>
      <c r="B243" s="102"/>
      <c r="C243" s="102"/>
      <c r="D243" s="102"/>
      <c r="E243" s="102"/>
    </row>
    <row r="244" ht="15.75" customHeight="1">
      <c r="A244" s="102"/>
      <c r="B244" s="102"/>
      <c r="C244" s="102"/>
      <c r="D244" s="102"/>
      <c r="E244" s="102"/>
    </row>
    <row r="245" ht="15.75" customHeight="1">
      <c r="A245" s="102"/>
      <c r="B245" s="102"/>
      <c r="C245" s="102"/>
      <c r="D245" s="102"/>
      <c r="E245" s="102"/>
    </row>
    <row r="246" ht="15.75" customHeight="1">
      <c r="A246" s="102"/>
      <c r="B246" s="102"/>
      <c r="C246" s="102"/>
      <c r="D246" s="102"/>
      <c r="E246" s="102"/>
    </row>
    <row r="247" ht="15.75" customHeight="1">
      <c r="A247" s="102"/>
      <c r="B247" s="102"/>
      <c r="C247" s="102"/>
      <c r="D247" s="102"/>
      <c r="E247" s="102"/>
    </row>
    <row r="248" ht="15.75" customHeight="1">
      <c r="A248" s="102"/>
      <c r="B248" s="102"/>
      <c r="C248" s="102"/>
      <c r="D248" s="102"/>
      <c r="E248" s="102"/>
    </row>
    <row r="249" ht="15.75" customHeight="1">
      <c r="A249" s="102"/>
      <c r="B249" s="102"/>
      <c r="C249" s="102"/>
      <c r="D249" s="102"/>
      <c r="E249" s="102"/>
    </row>
    <row r="250" ht="15.75" customHeight="1">
      <c r="A250" s="102"/>
      <c r="B250" s="102"/>
      <c r="C250" s="102"/>
      <c r="D250" s="102"/>
      <c r="E250" s="102"/>
    </row>
    <row r="251" ht="15.75" customHeight="1">
      <c r="A251" s="102"/>
      <c r="B251" s="102"/>
      <c r="C251" s="102"/>
      <c r="D251" s="102"/>
      <c r="E251" s="102"/>
    </row>
    <row r="252" ht="15.75" customHeight="1">
      <c r="A252" s="102"/>
      <c r="B252" s="102"/>
      <c r="C252" s="102"/>
      <c r="D252" s="102"/>
      <c r="E252" s="102"/>
    </row>
    <row r="253" ht="15.75" customHeight="1">
      <c r="A253" s="102"/>
      <c r="B253" s="102"/>
      <c r="C253" s="102"/>
      <c r="D253" s="102"/>
      <c r="E253" s="102"/>
    </row>
    <row r="254" ht="15.75" customHeight="1">
      <c r="A254" s="102"/>
      <c r="B254" s="102"/>
      <c r="C254" s="102"/>
      <c r="D254" s="102"/>
      <c r="E254" s="102"/>
    </row>
    <row r="255" ht="15.75" customHeight="1">
      <c r="A255" s="102"/>
      <c r="B255" s="102"/>
      <c r="C255" s="102"/>
      <c r="D255" s="102"/>
      <c r="E255" s="102"/>
    </row>
    <row r="256" ht="15.75" customHeight="1">
      <c r="A256" s="102"/>
      <c r="B256" s="102"/>
      <c r="C256" s="102"/>
      <c r="D256" s="102"/>
      <c r="E256" s="102"/>
    </row>
    <row r="257" ht="15.75" customHeight="1">
      <c r="A257" s="102"/>
      <c r="B257" s="102"/>
      <c r="C257" s="102"/>
      <c r="D257" s="102"/>
      <c r="E257" s="102"/>
    </row>
    <row r="258" ht="15.75" customHeight="1">
      <c r="A258" s="102"/>
      <c r="B258" s="102"/>
      <c r="C258" s="102"/>
      <c r="D258" s="102"/>
      <c r="E258" s="102"/>
    </row>
    <row r="259" ht="15.75" customHeight="1">
      <c r="A259" s="102"/>
      <c r="B259" s="102"/>
      <c r="C259" s="102"/>
      <c r="D259" s="102"/>
      <c r="E259" s="102"/>
    </row>
    <row r="260" ht="15.75" customHeight="1">
      <c r="A260" s="102"/>
      <c r="B260" s="102"/>
      <c r="C260" s="102"/>
      <c r="D260" s="102"/>
      <c r="E260" s="102"/>
    </row>
    <row r="261" ht="15.75" customHeight="1">
      <c r="A261" s="102"/>
      <c r="B261" s="102"/>
      <c r="C261" s="102"/>
      <c r="D261" s="102"/>
      <c r="E261" s="102"/>
    </row>
    <row r="262" ht="15.75" customHeight="1">
      <c r="A262" s="102"/>
      <c r="B262" s="102"/>
      <c r="C262" s="102"/>
      <c r="D262" s="102"/>
      <c r="E262" s="102"/>
    </row>
    <row r="263" ht="15.75" customHeight="1">
      <c r="A263" s="102"/>
      <c r="B263" s="102"/>
      <c r="C263" s="102"/>
      <c r="D263" s="102"/>
      <c r="E263" s="102"/>
    </row>
    <row r="264" ht="15.75" customHeight="1">
      <c r="A264" s="102"/>
      <c r="B264" s="102"/>
      <c r="C264" s="102"/>
      <c r="D264" s="102"/>
      <c r="E264" s="102"/>
    </row>
    <row r="265" ht="15.75" customHeight="1">
      <c r="A265" s="102"/>
      <c r="B265" s="102"/>
      <c r="C265" s="102"/>
      <c r="D265" s="102"/>
      <c r="E265" s="102"/>
    </row>
    <row r="266" ht="15.75" customHeight="1">
      <c r="A266" s="102"/>
      <c r="B266" s="102"/>
      <c r="C266" s="102"/>
      <c r="D266" s="102"/>
      <c r="E266" s="102"/>
    </row>
    <row r="267" ht="15.75" customHeight="1">
      <c r="A267" s="102"/>
      <c r="B267" s="102"/>
      <c r="C267" s="102"/>
      <c r="D267" s="102"/>
      <c r="E267" s="102"/>
    </row>
    <row r="268" ht="15.75" customHeight="1">
      <c r="A268" s="102"/>
      <c r="B268" s="102"/>
      <c r="C268" s="102"/>
      <c r="D268" s="102"/>
      <c r="E268" s="102"/>
    </row>
    <row r="269" ht="15.75" customHeight="1">
      <c r="A269" s="102"/>
      <c r="B269" s="102"/>
      <c r="C269" s="102"/>
      <c r="D269" s="102"/>
      <c r="E269" s="102"/>
    </row>
    <row r="270" ht="15.75" customHeight="1">
      <c r="A270" s="102"/>
      <c r="B270" s="102"/>
      <c r="C270" s="102"/>
      <c r="D270" s="102"/>
      <c r="E270" s="102"/>
    </row>
    <row r="271" ht="15.75" customHeight="1">
      <c r="A271" s="102"/>
      <c r="B271" s="102"/>
      <c r="C271" s="102"/>
      <c r="D271" s="102"/>
      <c r="E271" s="102"/>
    </row>
    <row r="272" ht="15.75" customHeight="1">
      <c r="A272" s="102"/>
      <c r="B272" s="102"/>
      <c r="C272" s="102"/>
      <c r="D272" s="102"/>
      <c r="E272" s="102"/>
    </row>
    <row r="273" ht="15.75" customHeight="1">
      <c r="A273" s="102"/>
      <c r="B273" s="102"/>
      <c r="C273" s="102"/>
      <c r="D273" s="102"/>
      <c r="E273" s="102"/>
    </row>
    <row r="274" ht="15.75" customHeight="1">
      <c r="A274" s="102"/>
      <c r="B274" s="102"/>
      <c r="C274" s="102"/>
      <c r="D274" s="102"/>
      <c r="E274" s="102"/>
    </row>
    <row r="275" ht="15.75" customHeight="1">
      <c r="A275" s="102"/>
      <c r="B275" s="102"/>
      <c r="C275" s="102"/>
      <c r="D275" s="102"/>
      <c r="E275" s="102"/>
    </row>
    <row r="276" ht="15.75" customHeight="1">
      <c r="A276" s="102"/>
      <c r="B276" s="102"/>
      <c r="C276" s="102"/>
      <c r="D276" s="102"/>
      <c r="E276" s="102"/>
    </row>
    <row r="277" ht="15.75" customHeight="1">
      <c r="A277" s="102"/>
      <c r="B277" s="102"/>
      <c r="C277" s="102"/>
      <c r="D277" s="102"/>
      <c r="E277" s="102"/>
    </row>
    <row r="278" ht="15.75" customHeight="1">
      <c r="A278" s="102"/>
      <c r="B278" s="102"/>
      <c r="C278" s="102"/>
      <c r="D278" s="102"/>
      <c r="E278" s="102"/>
    </row>
    <row r="279" ht="15.75" customHeight="1">
      <c r="A279" s="102"/>
      <c r="B279" s="102"/>
      <c r="C279" s="102"/>
      <c r="D279" s="102"/>
      <c r="E279" s="102"/>
    </row>
    <row r="280" ht="15.75" customHeight="1">
      <c r="A280" s="102"/>
      <c r="B280" s="102"/>
      <c r="C280" s="102"/>
      <c r="D280" s="102"/>
      <c r="E280" s="102"/>
    </row>
    <row r="281" ht="15.75" customHeight="1">
      <c r="A281" s="102"/>
      <c r="B281" s="102"/>
      <c r="C281" s="102"/>
      <c r="D281" s="102"/>
      <c r="E281" s="102"/>
    </row>
    <row r="282" ht="15.75" customHeight="1">
      <c r="A282" s="102"/>
      <c r="B282" s="102"/>
      <c r="C282" s="102"/>
      <c r="D282" s="102"/>
      <c r="E282" s="102"/>
    </row>
    <row r="283" ht="15.75" customHeight="1">
      <c r="A283" s="102"/>
      <c r="B283" s="102"/>
      <c r="C283" s="102"/>
      <c r="D283" s="102"/>
      <c r="E283" s="102"/>
    </row>
    <row r="284" ht="15.75" customHeight="1">
      <c r="A284" s="102"/>
      <c r="B284" s="102"/>
      <c r="C284" s="102"/>
      <c r="D284" s="102"/>
      <c r="E284" s="102"/>
    </row>
    <row r="285" ht="15.75" customHeight="1">
      <c r="A285" s="102"/>
      <c r="B285" s="102"/>
      <c r="C285" s="102"/>
      <c r="D285" s="102"/>
      <c r="E285" s="102"/>
    </row>
    <row r="286" ht="15.75" customHeight="1">
      <c r="A286" s="102"/>
      <c r="B286" s="102"/>
      <c r="C286" s="102"/>
      <c r="D286" s="102"/>
      <c r="E286" s="102"/>
    </row>
    <row r="287" ht="15.75" customHeight="1">
      <c r="A287" s="102"/>
      <c r="B287" s="102"/>
      <c r="C287" s="102"/>
      <c r="D287" s="102"/>
      <c r="E287" s="102"/>
    </row>
    <row r="288" ht="15.75" customHeight="1">
      <c r="A288" s="102"/>
      <c r="B288" s="102"/>
      <c r="C288" s="102"/>
      <c r="D288" s="102"/>
      <c r="E288" s="102"/>
    </row>
    <row r="289" ht="15.75" customHeight="1">
      <c r="A289" s="102"/>
      <c r="B289" s="102"/>
      <c r="C289" s="102"/>
      <c r="D289" s="102"/>
      <c r="E289" s="102"/>
    </row>
    <row r="290" ht="15.75" customHeight="1">
      <c r="A290" s="102"/>
      <c r="B290" s="102"/>
      <c r="C290" s="102"/>
      <c r="D290" s="102"/>
      <c r="E290" s="102"/>
    </row>
    <row r="291" ht="15.75" customHeight="1">
      <c r="A291" s="102"/>
      <c r="B291" s="102"/>
      <c r="C291" s="102"/>
      <c r="D291" s="102"/>
      <c r="E291" s="102"/>
    </row>
    <row r="292" ht="15.75" customHeight="1">
      <c r="A292" s="102"/>
      <c r="B292" s="102"/>
      <c r="C292" s="102"/>
      <c r="D292" s="102"/>
      <c r="E292" s="102"/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30.13"/>
    <col customWidth="1" min="3" max="6" width="12.63"/>
  </cols>
  <sheetData>
    <row r="1" ht="15.75" customHeight="1">
      <c r="A1" s="132"/>
      <c r="B1" s="133" t="s">
        <v>80</v>
      </c>
    </row>
    <row r="2" ht="15.75" customHeight="1">
      <c r="A2" s="132"/>
      <c r="B2" s="134" t="s">
        <v>81</v>
      </c>
    </row>
    <row r="3" ht="15.75" customHeight="1">
      <c r="A3" s="135">
        <v>1.0</v>
      </c>
      <c r="B3" s="132" t="s">
        <v>82</v>
      </c>
    </row>
    <row r="4" ht="15.75" customHeight="1">
      <c r="A4" s="135">
        <v>2.0</v>
      </c>
      <c r="B4" s="132" t="s">
        <v>83</v>
      </c>
    </row>
    <row r="5" ht="15.75" customHeight="1">
      <c r="A5" s="135">
        <v>3.0</v>
      </c>
      <c r="B5" s="132" t="s">
        <v>84</v>
      </c>
    </row>
    <row r="6" ht="15.75" customHeight="1">
      <c r="A6" s="135">
        <v>4.0</v>
      </c>
      <c r="B6" s="132" t="s">
        <v>85</v>
      </c>
    </row>
    <row r="7" ht="15.75" customHeight="1">
      <c r="A7" s="135">
        <v>5.0</v>
      </c>
      <c r="B7" s="132" t="s">
        <v>86</v>
      </c>
    </row>
    <row r="8" ht="15.75" customHeight="1">
      <c r="A8" s="135">
        <v>6.0</v>
      </c>
      <c r="B8" s="132" t="s">
        <v>87</v>
      </c>
    </row>
    <row r="9" ht="15.75" customHeight="1">
      <c r="A9" s="135">
        <v>7.0</v>
      </c>
      <c r="B9" s="132" t="s">
        <v>88</v>
      </c>
    </row>
    <row r="10" ht="15.75" customHeight="1">
      <c r="A10" s="135">
        <v>8.0</v>
      </c>
      <c r="B10" s="132" t="s">
        <v>89</v>
      </c>
    </row>
    <row r="11" ht="15.75" customHeight="1">
      <c r="A11" s="135">
        <v>9.0</v>
      </c>
      <c r="B11" s="132" t="s">
        <v>90</v>
      </c>
    </row>
    <row r="12" ht="15.75" customHeight="1">
      <c r="A12" s="135">
        <v>10.0</v>
      </c>
      <c r="B12" s="132" t="s">
        <v>91</v>
      </c>
    </row>
    <row r="13" ht="15.75" customHeight="1">
      <c r="A13" s="135">
        <v>11.0</v>
      </c>
      <c r="B13" s="132" t="s">
        <v>92</v>
      </c>
    </row>
    <row r="14" ht="15.75" customHeight="1">
      <c r="A14" s="135">
        <v>12.0</v>
      </c>
      <c r="B14" s="132" t="s">
        <v>93</v>
      </c>
    </row>
    <row r="15" ht="15.75" customHeight="1">
      <c r="A15" s="135">
        <v>13.0</v>
      </c>
      <c r="B15" s="132" t="s">
        <v>94</v>
      </c>
    </row>
    <row r="16" ht="15.75" customHeight="1">
      <c r="A16" s="135">
        <v>14.0</v>
      </c>
      <c r="B16" s="132" t="s">
        <v>95</v>
      </c>
    </row>
    <row r="17" ht="15.75" customHeight="1">
      <c r="A17" s="135">
        <v>15.0</v>
      </c>
      <c r="B17" s="132" t="s">
        <v>96</v>
      </c>
    </row>
    <row r="18" ht="15.75" customHeight="1">
      <c r="A18" s="135">
        <v>16.0</v>
      </c>
      <c r="B18" s="132" t="s">
        <v>97</v>
      </c>
    </row>
    <row r="19" ht="15.75" customHeight="1">
      <c r="A19" s="135">
        <v>17.0</v>
      </c>
      <c r="B19" s="132" t="s">
        <v>98</v>
      </c>
    </row>
    <row r="20" ht="15.75" customHeight="1">
      <c r="A20" s="135">
        <v>18.0</v>
      </c>
      <c r="B20" s="132" t="s">
        <v>99</v>
      </c>
    </row>
    <row r="21" ht="15.75" customHeight="1">
      <c r="A21" s="135">
        <v>19.0</v>
      </c>
      <c r="B21" s="136" t="s">
        <v>100</v>
      </c>
    </row>
    <row r="22" ht="15.75" customHeight="1">
      <c r="A22" s="135">
        <v>20.0</v>
      </c>
      <c r="B22" s="136" t="s">
        <v>101</v>
      </c>
    </row>
    <row r="23" ht="15.75" customHeight="1">
      <c r="A23" s="135">
        <v>21.0</v>
      </c>
      <c r="B23" s="136" t="s">
        <v>102</v>
      </c>
    </row>
    <row r="24" ht="15.75" customHeight="1">
      <c r="A24" s="135">
        <v>22.0</v>
      </c>
      <c r="B24" s="136" t="s">
        <v>103</v>
      </c>
    </row>
    <row r="25" ht="15.75" customHeight="1">
      <c r="A25" s="135">
        <v>23.0</v>
      </c>
      <c r="B25" s="136" t="s">
        <v>104</v>
      </c>
    </row>
    <row r="26" ht="15.75" customHeight="1">
      <c r="A26" s="135">
        <v>24.0</v>
      </c>
      <c r="B26" s="136" t="s">
        <v>105</v>
      </c>
    </row>
    <row r="27" ht="15.75" customHeight="1">
      <c r="A27" s="135">
        <v>25.0</v>
      </c>
      <c r="B27" s="136" t="s">
        <v>106</v>
      </c>
    </row>
    <row r="28" ht="15.75" customHeight="1">
      <c r="A28" s="135">
        <v>26.0</v>
      </c>
      <c r="B28" s="136" t="s">
        <v>107</v>
      </c>
    </row>
    <row r="29" ht="15.75" customHeight="1">
      <c r="A29" s="135">
        <v>27.0</v>
      </c>
      <c r="B29" s="136" t="s">
        <v>108</v>
      </c>
    </row>
    <row r="30" ht="15.75" customHeight="1">
      <c r="A30" s="135">
        <v>28.0</v>
      </c>
      <c r="B30" s="136" t="s">
        <v>109</v>
      </c>
    </row>
    <row r="31" ht="15.75" customHeight="1">
      <c r="A31" s="102"/>
      <c r="B31" s="102"/>
    </row>
    <row r="32" ht="15.75" customHeight="1">
      <c r="A32" s="102"/>
      <c r="B32" s="102"/>
    </row>
    <row r="33" ht="15.75" customHeight="1">
      <c r="A33" s="102"/>
      <c r="B33" s="102"/>
    </row>
    <row r="34" ht="15.75" customHeight="1">
      <c r="A34" s="102"/>
      <c r="B34" s="102"/>
    </row>
    <row r="35" ht="15.75" customHeight="1">
      <c r="A35" s="102"/>
      <c r="B35" s="102"/>
    </row>
    <row r="36" ht="15.75" customHeight="1">
      <c r="A36" s="102"/>
      <c r="B36" s="102"/>
    </row>
    <row r="37" ht="15.75" customHeight="1">
      <c r="A37" s="102"/>
      <c r="B37" s="102"/>
    </row>
    <row r="38" ht="15.75" customHeight="1">
      <c r="A38" s="102"/>
      <c r="B38" s="102"/>
    </row>
    <row r="39" ht="15.75" customHeight="1">
      <c r="A39" s="102"/>
      <c r="B39" s="102"/>
    </row>
    <row r="40" ht="15.75" customHeight="1">
      <c r="A40" s="102"/>
      <c r="B40" s="102"/>
    </row>
    <row r="41" ht="15.75" customHeight="1">
      <c r="A41" s="102"/>
      <c r="B41" s="102"/>
    </row>
    <row r="42" ht="15.75" customHeight="1">
      <c r="A42" s="102"/>
      <c r="B42" s="102"/>
    </row>
    <row r="43" ht="15.75" customHeight="1">
      <c r="A43" s="102"/>
      <c r="B43" s="102"/>
    </row>
    <row r="44" ht="15.75" customHeight="1">
      <c r="A44" s="102"/>
      <c r="B44" s="102"/>
    </row>
    <row r="45" ht="15.75" customHeight="1">
      <c r="A45" s="102"/>
      <c r="B45" s="102"/>
    </row>
    <row r="46" ht="15.75" customHeight="1">
      <c r="A46" s="102"/>
      <c r="B46" s="102"/>
    </row>
    <row r="47" ht="15.75" customHeight="1">
      <c r="A47" s="102"/>
      <c r="B47" s="102"/>
    </row>
    <row r="48" ht="15.75" customHeight="1">
      <c r="A48" s="102"/>
      <c r="B48" s="102"/>
    </row>
    <row r="49" ht="15.75" customHeight="1">
      <c r="A49" s="102"/>
      <c r="B49" s="102"/>
    </row>
    <row r="50" ht="15.75" customHeight="1">
      <c r="A50" s="102"/>
      <c r="B50" s="102"/>
    </row>
    <row r="51" ht="15.75" customHeight="1">
      <c r="A51" s="102"/>
      <c r="B51" s="102"/>
    </row>
    <row r="52" ht="15.75" customHeight="1">
      <c r="A52" s="102"/>
      <c r="B52" s="102"/>
    </row>
    <row r="53" ht="15.75" customHeight="1">
      <c r="A53" s="102"/>
      <c r="B53" s="102"/>
    </row>
    <row r="54" ht="15.75" customHeight="1">
      <c r="A54" s="102"/>
      <c r="B54" s="102"/>
    </row>
    <row r="55" ht="15.75" customHeight="1">
      <c r="A55" s="102"/>
      <c r="B55" s="102"/>
    </row>
    <row r="56" ht="15.75" customHeight="1">
      <c r="A56" s="102"/>
      <c r="B56" s="102"/>
    </row>
    <row r="57" ht="15.75" customHeight="1">
      <c r="A57" s="102"/>
      <c r="B57" s="102"/>
    </row>
    <row r="58" ht="15.75" customHeight="1">
      <c r="A58" s="102"/>
      <c r="B58" s="102"/>
    </row>
    <row r="59" ht="15.75" customHeight="1">
      <c r="A59" s="102"/>
      <c r="B59" s="102"/>
    </row>
    <row r="60" ht="15.75" customHeight="1">
      <c r="A60" s="102"/>
      <c r="B60" s="102"/>
    </row>
    <row r="61" ht="15.75" customHeight="1">
      <c r="A61" s="102"/>
      <c r="B61" s="102"/>
    </row>
    <row r="62" ht="15.75" customHeight="1">
      <c r="A62" s="102"/>
      <c r="B62" s="102"/>
    </row>
    <row r="63" ht="15.75" customHeight="1">
      <c r="A63" s="102"/>
      <c r="B63" s="102"/>
    </row>
    <row r="64" ht="15.75" customHeight="1">
      <c r="A64" s="102"/>
      <c r="B64" s="102"/>
    </row>
    <row r="65" ht="15.75" customHeight="1">
      <c r="A65" s="102"/>
      <c r="B65" s="102"/>
    </row>
    <row r="66" ht="15.75" customHeight="1">
      <c r="A66" s="102"/>
      <c r="B66" s="102"/>
    </row>
    <row r="67" ht="15.75" customHeight="1">
      <c r="A67" s="102"/>
      <c r="B67" s="102"/>
    </row>
    <row r="68" ht="15.75" customHeight="1">
      <c r="A68" s="102"/>
      <c r="B68" s="102"/>
    </row>
    <row r="69" ht="15.75" customHeight="1">
      <c r="A69" s="102"/>
      <c r="B69" s="102"/>
    </row>
    <row r="70" ht="15.75" customHeight="1">
      <c r="A70" s="102"/>
      <c r="B70" s="102"/>
    </row>
    <row r="71" ht="15.75" customHeight="1">
      <c r="A71" s="102"/>
      <c r="B71" s="102"/>
    </row>
    <row r="72" ht="15.75" customHeight="1">
      <c r="A72" s="102"/>
      <c r="B72" s="102"/>
    </row>
    <row r="73" ht="15.75" customHeight="1">
      <c r="A73" s="102"/>
      <c r="B73" s="102"/>
    </row>
    <row r="74" ht="15.75" customHeight="1">
      <c r="A74" s="102"/>
      <c r="B74" s="102"/>
    </row>
    <row r="75" ht="15.75" customHeight="1">
      <c r="A75" s="102"/>
      <c r="B75" s="102"/>
    </row>
    <row r="76" ht="15.75" customHeight="1">
      <c r="A76" s="102"/>
      <c r="B76" s="102"/>
    </row>
    <row r="77" ht="15.75" customHeight="1">
      <c r="A77" s="102"/>
      <c r="B77" s="102"/>
    </row>
    <row r="78" ht="15.75" customHeight="1">
      <c r="A78" s="102"/>
      <c r="B78" s="102"/>
    </row>
    <row r="79" ht="15.75" customHeight="1">
      <c r="A79" s="102"/>
      <c r="B79" s="102"/>
    </row>
    <row r="80" ht="15.75" customHeight="1">
      <c r="A80" s="102"/>
      <c r="B80" s="102"/>
    </row>
    <row r="81" ht="15.75" customHeight="1">
      <c r="A81" s="102"/>
      <c r="B81" s="102"/>
    </row>
    <row r="82" ht="15.75" customHeight="1">
      <c r="A82" s="102"/>
      <c r="B82" s="102"/>
    </row>
    <row r="83" ht="15.75" customHeight="1">
      <c r="A83" s="102"/>
      <c r="B83" s="102"/>
    </row>
    <row r="84" ht="15.75" customHeight="1">
      <c r="A84" s="102"/>
      <c r="B84" s="102"/>
    </row>
    <row r="85" ht="15.75" customHeight="1">
      <c r="A85" s="102"/>
      <c r="B85" s="102"/>
    </row>
    <row r="86" ht="15.75" customHeight="1">
      <c r="A86" s="102"/>
      <c r="B86" s="102"/>
    </row>
    <row r="87" ht="15.75" customHeight="1">
      <c r="A87" s="102"/>
      <c r="B87" s="102"/>
    </row>
    <row r="88" ht="15.75" customHeight="1">
      <c r="A88" s="102"/>
      <c r="B88" s="102"/>
    </row>
    <row r="89" ht="15.75" customHeight="1">
      <c r="A89" s="102"/>
      <c r="B89" s="102"/>
    </row>
    <row r="90" ht="15.75" customHeight="1">
      <c r="A90" s="102"/>
      <c r="B90" s="102"/>
    </row>
    <row r="91" ht="15.75" customHeight="1">
      <c r="A91" s="102"/>
      <c r="B91" s="102"/>
    </row>
    <row r="92" ht="15.75" customHeight="1">
      <c r="A92" s="102"/>
      <c r="B92" s="102"/>
    </row>
    <row r="93" ht="15.75" customHeight="1">
      <c r="A93" s="102"/>
      <c r="B93" s="102"/>
    </row>
    <row r="94" ht="15.75" customHeight="1">
      <c r="A94" s="102"/>
      <c r="B94" s="102"/>
    </row>
    <row r="95" ht="15.75" customHeight="1">
      <c r="A95" s="102"/>
      <c r="B95" s="102"/>
    </row>
    <row r="96" ht="15.75" customHeight="1">
      <c r="A96" s="102"/>
      <c r="B96" s="102"/>
    </row>
    <row r="97" ht="15.75" customHeight="1">
      <c r="A97" s="102"/>
      <c r="B97" s="102"/>
    </row>
    <row r="98" ht="15.75" customHeight="1">
      <c r="A98" s="102"/>
      <c r="B98" s="102"/>
    </row>
    <row r="99" ht="15.75" customHeight="1">
      <c r="A99" s="102"/>
      <c r="B99" s="102"/>
    </row>
    <row r="100" ht="15.75" customHeight="1">
      <c r="A100" s="102"/>
      <c r="B100" s="102"/>
    </row>
    <row r="101" ht="15.75" customHeight="1">
      <c r="A101" s="102"/>
      <c r="B101" s="102"/>
    </row>
    <row r="102" ht="15.75" customHeight="1">
      <c r="A102" s="102"/>
      <c r="B102" s="102"/>
    </row>
    <row r="103" ht="15.75" customHeight="1">
      <c r="A103" s="102"/>
      <c r="B103" s="102"/>
    </row>
    <row r="104" ht="15.75" customHeight="1">
      <c r="A104" s="102"/>
      <c r="B104" s="102"/>
    </row>
    <row r="105" ht="15.75" customHeight="1">
      <c r="A105" s="102"/>
      <c r="B105" s="102"/>
    </row>
    <row r="106" ht="15.75" customHeight="1">
      <c r="A106" s="102"/>
      <c r="B106" s="102"/>
    </row>
    <row r="107" ht="15.75" customHeight="1">
      <c r="A107" s="102"/>
      <c r="B107" s="102"/>
    </row>
    <row r="108" ht="15.75" customHeight="1">
      <c r="A108" s="102"/>
      <c r="B108" s="102"/>
    </row>
    <row r="109" ht="15.75" customHeight="1">
      <c r="A109" s="102"/>
      <c r="B109" s="102"/>
    </row>
    <row r="110" ht="15.75" customHeight="1">
      <c r="A110" s="102"/>
      <c r="B110" s="102"/>
    </row>
    <row r="111" ht="15.75" customHeight="1">
      <c r="A111" s="102"/>
      <c r="B111" s="102"/>
    </row>
    <row r="112" ht="15.75" customHeight="1">
      <c r="A112" s="102"/>
      <c r="B112" s="102"/>
    </row>
    <row r="113" ht="15.75" customHeight="1">
      <c r="A113" s="102"/>
      <c r="B113" s="102"/>
    </row>
    <row r="114" ht="15.75" customHeight="1">
      <c r="A114" s="102"/>
      <c r="B114" s="102"/>
    </row>
    <row r="115" ht="15.75" customHeight="1">
      <c r="A115" s="102"/>
      <c r="B115" s="102"/>
    </row>
    <row r="116" ht="15.75" customHeight="1">
      <c r="A116" s="102"/>
      <c r="B116" s="102"/>
    </row>
    <row r="117" ht="15.75" customHeight="1">
      <c r="A117" s="102"/>
      <c r="B117" s="102"/>
    </row>
    <row r="118" ht="15.75" customHeight="1">
      <c r="A118" s="102"/>
      <c r="B118" s="102"/>
    </row>
    <row r="119" ht="15.75" customHeight="1">
      <c r="A119" s="102"/>
      <c r="B119" s="102"/>
    </row>
    <row r="120" ht="15.75" customHeight="1">
      <c r="A120" s="102"/>
      <c r="B120" s="102"/>
    </row>
    <row r="121" ht="15.75" customHeight="1">
      <c r="A121" s="102"/>
      <c r="B121" s="102"/>
    </row>
    <row r="122" ht="15.75" customHeight="1">
      <c r="A122" s="102"/>
      <c r="B122" s="102"/>
    </row>
    <row r="123" ht="15.75" customHeight="1">
      <c r="A123" s="102"/>
      <c r="B123" s="102"/>
    </row>
    <row r="124" ht="15.75" customHeight="1">
      <c r="A124" s="102"/>
      <c r="B124" s="102"/>
    </row>
    <row r="125" ht="15.75" customHeight="1">
      <c r="A125" s="102"/>
      <c r="B125" s="102"/>
    </row>
    <row r="126" ht="15.75" customHeight="1">
      <c r="A126" s="102"/>
      <c r="B126" s="102"/>
    </row>
    <row r="127" ht="15.75" customHeight="1">
      <c r="A127" s="102"/>
      <c r="B127" s="102"/>
    </row>
    <row r="128" ht="15.75" customHeight="1">
      <c r="A128" s="102"/>
      <c r="B128" s="102"/>
    </row>
    <row r="129" ht="15.75" customHeight="1">
      <c r="A129" s="102"/>
      <c r="B129" s="102"/>
    </row>
    <row r="130" ht="15.75" customHeight="1">
      <c r="A130" s="102"/>
      <c r="B130" s="102"/>
    </row>
    <row r="131" ht="15.75" customHeight="1">
      <c r="A131" s="102"/>
      <c r="B131" s="102"/>
    </row>
    <row r="132" ht="15.75" customHeight="1">
      <c r="A132" s="102"/>
      <c r="B132" s="102"/>
    </row>
    <row r="133" ht="15.75" customHeight="1">
      <c r="A133" s="102"/>
      <c r="B133" s="102"/>
    </row>
    <row r="134" ht="15.75" customHeight="1">
      <c r="A134" s="102"/>
      <c r="B134" s="102"/>
    </row>
    <row r="135" ht="15.75" customHeight="1">
      <c r="A135" s="102"/>
      <c r="B135" s="102"/>
    </row>
    <row r="136" ht="15.75" customHeight="1">
      <c r="A136" s="102"/>
      <c r="B136" s="102"/>
    </row>
    <row r="137" ht="15.75" customHeight="1">
      <c r="A137" s="102"/>
      <c r="B137" s="102"/>
    </row>
    <row r="138" ht="15.75" customHeight="1">
      <c r="A138" s="102"/>
      <c r="B138" s="102"/>
    </row>
    <row r="139" ht="15.75" customHeight="1">
      <c r="A139" s="102"/>
      <c r="B139" s="102"/>
    </row>
    <row r="140" ht="15.75" customHeight="1">
      <c r="A140" s="102"/>
      <c r="B140" s="102"/>
    </row>
    <row r="141" ht="15.75" customHeight="1">
      <c r="A141" s="102"/>
      <c r="B141" s="102"/>
    </row>
    <row r="142" ht="15.75" customHeight="1">
      <c r="A142" s="102"/>
      <c r="B142" s="102"/>
    </row>
    <row r="143" ht="15.75" customHeight="1">
      <c r="A143" s="102"/>
      <c r="B143" s="102"/>
    </row>
    <row r="144" ht="15.75" customHeight="1">
      <c r="A144" s="102"/>
      <c r="B144" s="102"/>
    </row>
    <row r="145" ht="15.75" customHeight="1">
      <c r="A145" s="102"/>
      <c r="B145" s="102"/>
    </row>
    <row r="146" ht="15.75" customHeight="1">
      <c r="A146" s="102"/>
      <c r="B146" s="102"/>
    </row>
    <row r="147" ht="15.75" customHeight="1">
      <c r="A147" s="102"/>
      <c r="B147" s="102"/>
    </row>
    <row r="148" ht="15.75" customHeight="1">
      <c r="A148" s="102"/>
      <c r="B148" s="102"/>
    </row>
    <row r="149" ht="15.75" customHeight="1">
      <c r="A149" s="102"/>
      <c r="B149" s="102"/>
    </row>
    <row r="150" ht="15.75" customHeight="1">
      <c r="A150" s="102"/>
      <c r="B150" s="102"/>
    </row>
    <row r="151" ht="15.75" customHeight="1">
      <c r="A151" s="102"/>
      <c r="B151" s="102"/>
    </row>
    <row r="152" ht="15.75" customHeight="1">
      <c r="A152" s="102"/>
      <c r="B152" s="102"/>
    </row>
    <row r="153" ht="15.75" customHeight="1">
      <c r="A153" s="102"/>
      <c r="B153" s="102"/>
    </row>
    <row r="154" ht="15.75" customHeight="1">
      <c r="A154" s="102"/>
      <c r="B154" s="102"/>
    </row>
    <row r="155" ht="15.75" customHeight="1">
      <c r="A155" s="102"/>
      <c r="B155" s="102"/>
    </row>
    <row r="156" ht="15.75" customHeight="1">
      <c r="A156" s="102"/>
      <c r="B156" s="102"/>
    </row>
    <row r="157" ht="15.75" customHeight="1">
      <c r="A157" s="102"/>
      <c r="B157" s="102"/>
    </row>
    <row r="158" ht="15.75" customHeight="1">
      <c r="A158" s="102"/>
      <c r="B158" s="102"/>
    </row>
    <row r="159" ht="15.75" customHeight="1">
      <c r="A159" s="102"/>
      <c r="B159" s="102"/>
    </row>
    <row r="160" ht="15.75" customHeight="1">
      <c r="A160" s="102"/>
      <c r="B160" s="102"/>
    </row>
    <row r="161" ht="15.75" customHeight="1">
      <c r="A161" s="102"/>
      <c r="B161" s="102"/>
    </row>
    <row r="162" ht="15.75" customHeight="1">
      <c r="A162" s="102"/>
      <c r="B162" s="102"/>
    </row>
    <row r="163" ht="15.75" customHeight="1">
      <c r="A163" s="102"/>
      <c r="B163" s="102"/>
    </row>
    <row r="164" ht="15.75" customHeight="1">
      <c r="A164" s="102"/>
      <c r="B164" s="102"/>
    </row>
    <row r="165" ht="15.75" customHeight="1">
      <c r="A165" s="102"/>
      <c r="B165" s="102"/>
    </row>
    <row r="166" ht="15.75" customHeight="1">
      <c r="A166" s="102"/>
      <c r="B166" s="102"/>
    </row>
    <row r="167" ht="15.75" customHeight="1">
      <c r="A167" s="102"/>
      <c r="B167" s="102"/>
    </row>
    <row r="168" ht="15.75" customHeight="1">
      <c r="A168" s="102"/>
      <c r="B168" s="102"/>
    </row>
    <row r="169" ht="15.75" customHeight="1">
      <c r="A169" s="102"/>
      <c r="B169" s="102"/>
    </row>
    <row r="170" ht="15.75" customHeight="1">
      <c r="A170" s="102"/>
      <c r="B170" s="102"/>
    </row>
    <row r="171" ht="15.75" customHeight="1">
      <c r="A171" s="102"/>
      <c r="B171" s="102"/>
    </row>
    <row r="172" ht="15.75" customHeight="1">
      <c r="A172" s="102"/>
      <c r="B172" s="102"/>
    </row>
    <row r="173" ht="15.75" customHeight="1">
      <c r="A173" s="102"/>
      <c r="B173" s="102"/>
    </row>
    <row r="174" ht="15.75" customHeight="1">
      <c r="A174" s="102"/>
      <c r="B174" s="102"/>
    </row>
    <row r="175" ht="15.75" customHeight="1">
      <c r="A175" s="102"/>
      <c r="B175" s="102"/>
    </row>
    <row r="176" ht="15.75" customHeight="1">
      <c r="A176" s="102"/>
      <c r="B176" s="102"/>
    </row>
    <row r="177" ht="15.75" customHeight="1">
      <c r="A177" s="102"/>
      <c r="B177" s="102"/>
    </row>
    <row r="178" ht="15.75" customHeight="1">
      <c r="A178" s="102"/>
      <c r="B178" s="102"/>
    </row>
    <row r="179" ht="15.75" customHeight="1">
      <c r="A179" s="102"/>
      <c r="B179" s="102"/>
    </row>
    <row r="180" ht="15.75" customHeight="1">
      <c r="A180" s="102"/>
      <c r="B180" s="102"/>
    </row>
    <row r="181" ht="15.75" customHeight="1">
      <c r="A181" s="102"/>
      <c r="B181" s="102"/>
    </row>
    <row r="182" ht="15.75" customHeight="1">
      <c r="A182" s="102"/>
      <c r="B182" s="102"/>
    </row>
    <row r="183" ht="15.75" customHeight="1">
      <c r="A183" s="102"/>
      <c r="B183" s="102"/>
    </row>
    <row r="184" ht="15.75" customHeight="1">
      <c r="A184" s="102"/>
      <c r="B184" s="102"/>
    </row>
    <row r="185" ht="15.75" customHeight="1">
      <c r="A185" s="102"/>
      <c r="B185" s="102"/>
    </row>
    <row r="186" ht="15.75" customHeight="1">
      <c r="A186" s="102"/>
      <c r="B186" s="102"/>
    </row>
    <row r="187" ht="15.75" customHeight="1">
      <c r="A187" s="102"/>
      <c r="B187" s="102"/>
    </row>
    <row r="188" ht="15.75" customHeight="1">
      <c r="A188" s="102"/>
      <c r="B188" s="102"/>
    </row>
    <row r="189" ht="15.75" customHeight="1">
      <c r="A189" s="102"/>
      <c r="B189" s="102"/>
    </row>
    <row r="190" ht="15.75" customHeight="1">
      <c r="A190" s="102"/>
      <c r="B190" s="102"/>
    </row>
    <row r="191" ht="15.75" customHeight="1">
      <c r="A191" s="102"/>
      <c r="B191" s="102"/>
    </row>
    <row r="192" ht="15.75" customHeight="1">
      <c r="A192" s="102"/>
      <c r="B192" s="102"/>
    </row>
    <row r="193" ht="15.75" customHeight="1">
      <c r="A193" s="102"/>
      <c r="B193" s="102"/>
    </row>
    <row r="194" ht="15.75" customHeight="1">
      <c r="A194" s="102"/>
      <c r="B194" s="102"/>
    </row>
    <row r="195" ht="15.75" customHeight="1">
      <c r="A195" s="102"/>
      <c r="B195" s="102"/>
    </row>
    <row r="196" ht="15.75" customHeight="1">
      <c r="A196" s="102"/>
      <c r="B196" s="102"/>
    </row>
    <row r="197" ht="15.75" customHeight="1">
      <c r="A197" s="102"/>
      <c r="B197" s="102"/>
    </row>
    <row r="198" ht="15.75" customHeight="1">
      <c r="A198" s="102"/>
      <c r="B198" s="102"/>
    </row>
    <row r="199" ht="15.75" customHeight="1">
      <c r="A199" s="102"/>
      <c r="B199" s="102"/>
    </row>
    <row r="200" ht="15.75" customHeight="1">
      <c r="A200" s="102"/>
      <c r="B200" s="102"/>
    </row>
    <row r="201" ht="15.75" customHeight="1">
      <c r="A201" s="102"/>
      <c r="B201" s="102"/>
    </row>
    <row r="202" ht="15.75" customHeight="1">
      <c r="A202" s="102"/>
      <c r="B202" s="102"/>
    </row>
    <row r="203" ht="15.75" customHeight="1">
      <c r="A203" s="102"/>
      <c r="B203" s="102"/>
    </row>
    <row r="204" ht="15.75" customHeight="1">
      <c r="A204" s="102"/>
      <c r="B204" s="102"/>
    </row>
    <row r="205" ht="15.75" customHeight="1">
      <c r="A205" s="102"/>
      <c r="B205" s="102"/>
    </row>
    <row r="206" ht="15.75" customHeight="1">
      <c r="A206" s="102"/>
      <c r="B206" s="102"/>
    </row>
    <row r="207" ht="15.75" customHeight="1">
      <c r="A207" s="102"/>
      <c r="B207" s="102"/>
    </row>
    <row r="208" ht="15.75" customHeight="1">
      <c r="A208" s="102"/>
      <c r="B208" s="102"/>
    </row>
    <row r="209" ht="15.75" customHeight="1">
      <c r="A209" s="102"/>
      <c r="B209" s="102"/>
    </row>
    <row r="210" ht="15.75" customHeight="1">
      <c r="A210" s="102"/>
      <c r="B210" s="102"/>
    </row>
    <row r="211" ht="15.75" customHeight="1">
      <c r="A211" s="102"/>
      <c r="B211" s="102"/>
    </row>
    <row r="212" ht="15.75" customHeight="1">
      <c r="A212" s="102"/>
      <c r="B212" s="102"/>
    </row>
    <row r="213" ht="15.75" customHeight="1">
      <c r="A213" s="102"/>
      <c r="B213" s="102"/>
    </row>
    <row r="214" ht="15.75" customHeight="1">
      <c r="A214" s="102"/>
      <c r="B214" s="102"/>
    </row>
    <row r="215" ht="15.75" customHeight="1">
      <c r="A215" s="102"/>
      <c r="B215" s="102"/>
    </row>
    <row r="216" ht="15.75" customHeight="1">
      <c r="A216" s="102"/>
      <c r="B216" s="102"/>
    </row>
    <row r="217" ht="15.75" customHeight="1">
      <c r="A217" s="102"/>
      <c r="B217" s="102"/>
    </row>
    <row r="218" ht="15.75" customHeight="1">
      <c r="A218" s="102"/>
      <c r="B218" s="102"/>
    </row>
    <row r="219" ht="15.75" customHeight="1">
      <c r="A219" s="102"/>
      <c r="B219" s="102"/>
    </row>
    <row r="220" ht="15.75" customHeight="1">
      <c r="A220" s="102"/>
      <c r="B220" s="102"/>
    </row>
    <row r="221" ht="15.75" customHeight="1">
      <c r="A221" s="102"/>
      <c r="B221" s="102"/>
    </row>
    <row r="222" ht="15.75" customHeight="1">
      <c r="A222" s="102"/>
      <c r="B222" s="102"/>
    </row>
    <row r="223" ht="15.75" customHeight="1">
      <c r="A223" s="102"/>
      <c r="B223" s="102"/>
    </row>
    <row r="224" ht="15.75" customHeight="1">
      <c r="A224" s="102"/>
      <c r="B224" s="102"/>
    </row>
    <row r="225" ht="15.75" customHeight="1">
      <c r="A225" s="102"/>
      <c r="B225" s="102"/>
    </row>
    <row r="226" ht="15.75" customHeight="1">
      <c r="A226" s="102"/>
      <c r="B226" s="102"/>
    </row>
    <row r="227" ht="15.75" customHeight="1">
      <c r="A227" s="102"/>
      <c r="B227" s="102"/>
    </row>
    <row r="228" ht="15.75" customHeight="1">
      <c r="A228" s="102"/>
      <c r="B228" s="102"/>
    </row>
    <row r="229" ht="15.75" customHeight="1">
      <c r="A229" s="102"/>
      <c r="B229" s="102"/>
    </row>
    <row r="230" ht="15.75" customHeight="1">
      <c r="A230" s="102"/>
      <c r="B230" s="102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1"/>
    <hyperlink r:id="rId2" ref="B2"/>
  </hyperlinks>
  <printOptions/>
  <pageMargins bottom="1.0" footer="0.0" header="0.0" left="0.75" right="0.75" top="1.0"/>
  <pageSetup orientation="landscape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1.63"/>
    <col customWidth="1" min="3" max="3" width="2.0"/>
    <col customWidth="1" min="4" max="4" width="11.63"/>
    <col customWidth="1" min="5" max="5" width="1.63"/>
    <col customWidth="1" min="6" max="6" width="11.63"/>
    <col customWidth="1" min="7" max="7" width="1.63"/>
    <col customWidth="1" min="8" max="8" width="11.63"/>
    <col customWidth="1" min="9" max="9" width="1.63"/>
    <col customWidth="1" min="10" max="10" width="11.63"/>
    <col customWidth="1" min="11" max="11" width="1.63"/>
    <col customWidth="1" min="12" max="12" width="11.63"/>
    <col customWidth="1" min="13" max="13" width="1.63"/>
    <col customWidth="1" min="14" max="14" width="11.63"/>
    <col customWidth="1" min="15" max="15" width="1.63"/>
    <col customWidth="1" min="16" max="16" width="11.63"/>
    <col customWidth="1" min="17" max="17" width="1.63"/>
    <col customWidth="1" min="18" max="18" width="11.63"/>
    <col customWidth="1" min="19" max="19" width="1.38"/>
  </cols>
  <sheetData>
    <row r="1" ht="21.75" customHeight="1">
      <c r="A1" s="40"/>
      <c r="B1" s="41" t="s">
        <v>111</v>
      </c>
      <c r="S1" s="42"/>
    </row>
    <row r="2">
      <c r="A2" s="40"/>
      <c r="B2" s="40"/>
      <c r="C2" s="40"/>
      <c r="D2" s="40"/>
      <c r="E2" s="40"/>
      <c r="F2" s="40"/>
      <c r="G2" s="40"/>
      <c r="H2" s="40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</row>
    <row r="3" ht="42.75" customHeight="1">
      <c r="A3" s="40"/>
      <c r="B3" s="47" t="s">
        <v>24</v>
      </c>
      <c r="C3" s="40"/>
      <c r="D3" s="47" t="s">
        <v>26</v>
      </c>
      <c r="E3" s="42"/>
      <c r="F3" s="47" t="s">
        <v>114</v>
      </c>
      <c r="G3" s="42"/>
      <c r="H3" s="57" t="s">
        <v>30</v>
      </c>
      <c r="I3" s="40"/>
      <c r="J3" s="57" t="s">
        <v>115</v>
      </c>
      <c r="K3" s="42"/>
      <c r="L3" s="57" t="s">
        <v>32</v>
      </c>
      <c r="M3" s="68"/>
      <c r="N3" s="47" t="s">
        <v>116</v>
      </c>
      <c r="O3" s="40"/>
      <c r="P3" s="47" t="s">
        <v>36</v>
      </c>
      <c r="Q3" s="40"/>
      <c r="R3" s="47" t="s">
        <v>39</v>
      </c>
      <c r="S3" s="42"/>
    </row>
    <row r="4">
      <c r="A4" s="40"/>
      <c r="B4" s="40"/>
      <c r="C4" s="40"/>
      <c r="D4" s="40"/>
      <c r="E4" s="40"/>
      <c r="F4" s="40"/>
      <c r="G4" s="40"/>
      <c r="H4" s="40"/>
      <c r="I4" s="42"/>
      <c r="J4" s="42"/>
      <c r="K4" s="42"/>
      <c r="L4" s="40"/>
      <c r="M4" s="40"/>
      <c r="N4" s="40"/>
      <c r="O4" s="40"/>
      <c r="P4" s="40"/>
      <c r="Q4" s="42"/>
      <c r="R4" s="42"/>
      <c r="S4" s="42"/>
    </row>
    <row r="5" ht="42.75" customHeight="1">
      <c r="A5" s="40"/>
      <c r="B5" s="57" t="s">
        <v>117</v>
      </c>
      <c r="C5" s="40"/>
      <c r="D5" s="57" t="s">
        <v>118</v>
      </c>
      <c r="E5" s="40"/>
      <c r="F5" s="83"/>
      <c r="G5" s="40"/>
      <c r="H5" s="83"/>
      <c r="I5" s="42"/>
      <c r="J5" s="84"/>
      <c r="K5" s="82"/>
      <c r="L5" s="83"/>
      <c r="M5" s="40"/>
      <c r="N5" s="83"/>
      <c r="O5" s="40"/>
      <c r="P5" s="83"/>
      <c r="Q5" s="42"/>
      <c r="R5" s="84"/>
      <c r="S5" s="42"/>
    </row>
    <row r="6">
      <c r="A6" s="40"/>
      <c r="B6" s="40"/>
      <c r="C6" s="40"/>
      <c r="D6" s="40"/>
      <c r="E6" s="40"/>
      <c r="F6" s="40"/>
      <c r="G6" s="40"/>
      <c r="H6" s="40"/>
      <c r="I6" s="42"/>
      <c r="J6" s="42"/>
      <c r="K6" s="42"/>
      <c r="L6" s="40"/>
      <c r="M6" s="40"/>
      <c r="N6" s="40"/>
      <c r="O6" s="40"/>
      <c r="P6" s="40"/>
      <c r="Q6" s="42"/>
      <c r="R6" s="42"/>
      <c r="S6" s="42"/>
    </row>
    <row r="7" ht="42.75" customHeight="1">
      <c r="A7" s="40"/>
      <c r="B7" s="83"/>
      <c r="C7" s="40"/>
      <c r="D7" s="83"/>
      <c r="E7" s="40"/>
      <c r="F7" s="83"/>
      <c r="G7" s="40"/>
      <c r="H7" s="83"/>
      <c r="I7" s="42"/>
      <c r="J7" s="84"/>
      <c r="K7" s="82"/>
      <c r="L7" s="83"/>
      <c r="M7" s="40"/>
      <c r="N7" s="83"/>
      <c r="O7" s="40"/>
      <c r="P7" s="83"/>
      <c r="Q7" s="42"/>
      <c r="R7" s="84"/>
      <c r="S7" s="42"/>
    </row>
    <row r="8">
      <c r="A8" s="40"/>
      <c r="B8" s="40"/>
      <c r="C8" s="40"/>
      <c r="D8" s="40"/>
      <c r="E8" s="40"/>
      <c r="F8" s="40"/>
      <c r="G8" s="40"/>
      <c r="H8" s="40"/>
      <c r="I8" s="42"/>
      <c r="J8" s="42"/>
      <c r="K8" s="42"/>
      <c r="L8" s="40"/>
      <c r="M8" s="40"/>
      <c r="N8" s="40"/>
      <c r="O8" s="40"/>
      <c r="P8" s="40"/>
      <c r="Q8" s="42"/>
      <c r="R8" s="42"/>
      <c r="S8" s="42"/>
    </row>
    <row r="9" ht="21.75" customHeight="1">
      <c r="A9" s="40"/>
      <c r="B9" s="41" t="s">
        <v>119</v>
      </c>
      <c r="S9" s="42"/>
    </row>
    <row r="10">
      <c r="A10" s="40"/>
      <c r="B10" s="40"/>
      <c r="C10" s="40"/>
      <c r="D10" s="40"/>
      <c r="E10" s="40"/>
      <c r="F10" s="40"/>
      <c r="G10" s="40"/>
      <c r="H10" s="40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</row>
    <row r="11" ht="42.75" customHeight="1">
      <c r="A11" s="40"/>
      <c r="B11" s="88" t="s">
        <v>53</v>
      </c>
      <c r="C11" s="40"/>
      <c r="D11" s="88" t="s">
        <v>54</v>
      </c>
      <c r="E11" s="42"/>
      <c r="F11" s="57" t="s">
        <v>56</v>
      </c>
      <c r="G11" s="40"/>
      <c r="H11" s="57" t="s">
        <v>57</v>
      </c>
      <c r="I11" s="42"/>
      <c r="J11" s="57" t="s">
        <v>120</v>
      </c>
      <c r="K11" s="68"/>
      <c r="L11" s="147"/>
      <c r="M11" s="40"/>
      <c r="N11" s="147"/>
      <c r="O11" s="40"/>
      <c r="P11" s="147"/>
      <c r="Q11" s="42"/>
      <c r="R11" s="80"/>
      <c r="S11" s="42"/>
    </row>
    <row r="12">
      <c r="A12" s="40"/>
      <c r="B12" s="40"/>
      <c r="C12" s="40"/>
      <c r="D12" s="40"/>
      <c r="E12" s="40"/>
      <c r="F12" s="40"/>
      <c r="G12" s="40"/>
      <c r="H12" s="40"/>
      <c r="I12" s="42"/>
      <c r="J12" s="42"/>
      <c r="K12" s="42"/>
      <c r="L12" s="40"/>
      <c r="M12" s="40"/>
      <c r="N12" s="40"/>
      <c r="O12" s="40"/>
      <c r="P12" s="40"/>
      <c r="Q12" s="42"/>
      <c r="R12" s="42"/>
      <c r="S12" s="42"/>
    </row>
    <row r="13" ht="42.75" customHeight="1">
      <c r="A13" s="40"/>
      <c r="B13" s="147"/>
      <c r="C13" s="40"/>
      <c r="D13" s="83"/>
      <c r="E13" s="40"/>
      <c r="F13" s="83"/>
      <c r="G13" s="40"/>
      <c r="H13" s="83"/>
      <c r="I13" s="42"/>
      <c r="J13" s="84"/>
      <c r="K13" s="82"/>
      <c r="L13" s="83"/>
      <c r="M13" s="40"/>
      <c r="N13" s="83"/>
      <c r="O13" s="40"/>
      <c r="P13" s="83"/>
      <c r="Q13" s="42"/>
      <c r="R13" s="84"/>
      <c r="S13" s="42"/>
    </row>
    <row r="14">
      <c r="A14" s="40"/>
      <c r="B14" s="40"/>
      <c r="C14" s="40"/>
      <c r="D14" s="40"/>
      <c r="E14" s="40"/>
      <c r="F14" s="40"/>
      <c r="G14" s="40"/>
      <c r="H14" s="40"/>
      <c r="I14" s="42"/>
      <c r="J14" s="42"/>
      <c r="K14" s="42"/>
      <c r="L14" s="40"/>
      <c r="M14" s="40"/>
      <c r="N14" s="40"/>
      <c r="O14" s="40"/>
      <c r="P14" s="40"/>
      <c r="Q14" s="42"/>
      <c r="R14" s="42"/>
      <c r="S14" s="42"/>
    </row>
    <row r="15" ht="42.75" customHeight="1">
      <c r="A15" s="42"/>
      <c r="B15" s="83"/>
      <c r="C15" s="40"/>
      <c r="D15" s="83"/>
      <c r="E15" s="40"/>
      <c r="F15" s="83"/>
      <c r="G15" s="40"/>
      <c r="H15" s="83"/>
      <c r="I15" s="42"/>
      <c r="J15" s="84"/>
      <c r="K15" s="82"/>
      <c r="L15" s="83"/>
      <c r="M15" s="40"/>
      <c r="N15" s="83"/>
      <c r="O15" s="40"/>
      <c r="P15" s="83"/>
      <c r="Q15" s="42"/>
      <c r="R15" s="84"/>
      <c r="S15" s="42"/>
    </row>
    <row r="16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</row>
  </sheetData>
  <mergeCells count="2">
    <mergeCell ref="B1:R1"/>
    <mergeCell ref="B9:R9"/>
  </mergeCells>
  <hyperlinks>
    <hyperlink r:id="rId1" ref="B3"/>
    <hyperlink r:id="rId2" ref="D3"/>
    <hyperlink r:id="rId3" ref="F3"/>
    <hyperlink r:id="rId4" ref="H3"/>
    <hyperlink r:id="rId5" ref="J3"/>
    <hyperlink r:id="rId6" ref="L3"/>
    <hyperlink r:id="rId7" ref="N3"/>
    <hyperlink r:id="rId8" ref="P3"/>
    <hyperlink r:id="rId9" ref="R3"/>
    <hyperlink r:id="rId10" ref="B5"/>
    <hyperlink r:id="rId11" ref="D5"/>
    <hyperlink r:id="rId12" ref="B11"/>
    <hyperlink r:id="rId13" ref="D11"/>
    <hyperlink r:id="rId14" ref="F11"/>
    <hyperlink r:id="rId15" ref="H11"/>
    <hyperlink r:id="rId16" ref="J11"/>
  </hyperlinks>
  <drawing r:id="rId1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1.63"/>
    <col customWidth="1" min="3" max="3" width="2.0"/>
    <col customWidth="1" min="4" max="4" width="11.63"/>
    <col customWidth="1" min="5" max="5" width="1.63"/>
    <col customWidth="1" min="6" max="6" width="11.63"/>
    <col customWidth="1" min="7" max="7" width="1.63"/>
    <col customWidth="1" min="8" max="8" width="11.63"/>
    <col customWidth="1" min="9" max="9" width="1.63"/>
    <col customWidth="1" min="10" max="10" width="11.63"/>
    <col customWidth="1" min="11" max="11" width="1.63"/>
    <col customWidth="1" min="12" max="12" width="11.63"/>
    <col customWidth="1" min="13" max="13" width="1.63"/>
    <col customWidth="1" min="14" max="14" width="11.63"/>
    <col customWidth="1" min="15" max="15" width="1.63"/>
    <col customWidth="1" min="16" max="16" width="11.63"/>
    <col customWidth="1" min="17" max="17" width="1.63"/>
    <col customWidth="1" min="18" max="18" width="11.63"/>
    <col customWidth="1" min="19" max="19" width="1.38"/>
  </cols>
  <sheetData>
    <row r="1" ht="21.75" customHeight="1">
      <c r="A1" s="40"/>
      <c r="B1" s="41" t="s">
        <v>122</v>
      </c>
      <c r="S1" s="42"/>
    </row>
    <row r="2">
      <c r="A2" s="40"/>
      <c r="B2" s="40"/>
      <c r="C2" s="40"/>
      <c r="D2" s="40"/>
      <c r="E2" s="40"/>
      <c r="F2" s="40"/>
      <c r="G2" s="40"/>
      <c r="H2" s="40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</row>
    <row r="3" ht="42.75" customHeight="1">
      <c r="A3" s="40"/>
      <c r="B3" s="47" t="s">
        <v>24</v>
      </c>
      <c r="C3" s="40"/>
      <c r="D3" s="47" t="s">
        <v>123</v>
      </c>
      <c r="E3" s="42"/>
      <c r="F3" s="47" t="s">
        <v>124</v>
      </c>
      <c r="G3" s="42"/>
      <c r="H3" s="47" t="s">
        <v>26</v>
      </c>
      <c r="I3" s="42"/>
      <c r="J3" s="57" t="s">
        <v>30</v>
      </c>
      <c r="K3" s="40"/>
      <c r="L3" s="57" t="s">
        <v>32</v>
      </c>
      <c r="M3" s="68"/>
      <c r="N3" s="47" t="s">
        <v>116</v>
      </c>
      <c r="O3" s="40"/>
      <c r="P3" s="47" t="s">
        <v>36</v>
      </c>
      <c r="Q3" s="40"/>
      <c r="R3" s="47" t="s">
        <v>39</v>
      </c>
      <c r="S3" s="42"/>
    </row>
    <row r="4">
      <c r="A4" s="40"/>
      <c r="B4" s="40"/>
      <c r="C4" s="40"/>
      <c r="D4" s="40"/>
      <c r="E4" s="40"/>
      <c r="F4" s="40"/>
      <c r="G4" s="40"/>
      <c r="H4" s="40"/>
      <c r="I4" s="42"/>
      <c r="J4" s="42"/>
      <c r="K4" s="42"/>
      <c r="L4" s="40"/>
      <c r="M4" s="40"/>
      <c r="N4" s="40"/>
      <c r="O4" s="40"/>
      <c r="P4" s="40"/>
      <c r="Q4" s="42"/>
      <c r="R4" s="42"/>
      <c r="S4" s="42"/>
    </row>
    <row r="5" ht="42.75" customHeight="1">
      <c r="A5" s="40"/>
      <c r="B5" s="47" t="s">
        <v>126</v>
      </c>
      <c r="C5" s="40"/>
      <c r="D5" s="57" t="s">
        <v>127</v>
      </c>
      <c r="E5" s="40"/>
      <c r="F5" s="57" t="s">
        <v>128</v>
      </c>
      <c r="G5" s="40"/>
      <c r="H5" s="57" t="s">
        <v>129</v>
      </c>
      <c r="I5" s="42"/>
      <c r="J5" s="57" t="s">
        <v>130</v>
      </c>
      <c r="K5" s="82"/>
      <c r="L5" s="57" t="s">
        <v>131</v>
      </c>
      <c r="M5" s="40"/>
      <c r="N5" s="92" t="s">
        <v>132</v>
      </c>
      <c r="O5" s="40"/>
      <c r="P5" s="57" t="s">
        <v>133</v>
      </c>
      <c r="Q5" s="42"/>
      <c r="R5" s="57" t="s">
        <v>134</v>
      </c>
      <c r="S5" s="42"/>
    </row>
    <row r="6">
      <c r="A6" s="40"/>
      <c r="B6" s="40"/>
      <c r="C6" s="40"/>
      <c r="D6" s="40"/>
      <c r="E6" s="40"/>
      <c r="F6" s="40"/>
      <c r="G6" s="40"/>
      <c r="H6" s="40"/>
      <c r="I6" s="42"/>
      <c r="J6" s="42"/>
      <c r="K6" s="42"/>
      <c r="L6" s="40"/>
      <c r="M6" s="40"/>
      <c r="N6" s="40"/>
      <c r="O6" s="40"/>
      <c r="P6" s="40"/>
      <c r="Q6" s="42"/>
      <c r="R6" s="42"/>
      <c r="S6" s="42"/>
    </row>
    <row r="7" ht="42.75" customHeight="1">
      <c r="A7" s="40"/>
      <c r="B7" s="57" t="s">
        <v>135</v>
      </c>
      <c r="C7" s="40"/>
      <c r="D7" s="83"/>
      <c r="E7" s="40"/>
      <c r="F7" s="83"/>
      <c r="G7" s="40"/>
      <c r="H7" s="83"/>
      <c r="I7" s="42"/>
      <c r="J7" s="84"/>
      <c r="K7" s="82"/>
      <c r="L7" s="83"/>
      <c r="M7" s="40"/>
      <c r="N7" s="83"/>
      <c r="O7" s="40"/>
      <c r="P7" s="83"/>
      <c r="Q7" s="42"/>
      <c r="R7" s="80"/>
      <c r="S7" s="42"/>
    </row>
    <row r="8">
      <c r="A8" s="40"/>
      <c r="B8" s="40"/>
      <c r="C8" s="40"/>
      <c r="D8" s="40"/>
      <c r="E8" s="40"/>
      <c r="F8" s="40"/>
      <c r="G8" s="40"/>
      <c r="H8" s="40"/>
      <c r="I8" s="42"/>
      <c r="J8" s="42"/>
      <c r="K8" s="42"/>
      <c r="L8" s="40"/>
      <c r="M8" s="40"/>
      <c r="N8" s="40"/>
      <c r="O8" s="40"/>
      <c r="P8" s="40"/>
      <c r="Q8" s="42"/>
      <c r="R8" s="42"/>
      <c r="S8" s="42"/>
    </row>
    <row r="9" ht="21.75" customHeight="1">
      <c r="A9" s="40"/>
      <c r="B9" s="41" t="s">
        <v>136</v>
      </c>
      <c r="S9" s="42"/>
    </row>
    <row r="10">
      <c r="A10" s="40"/>
      <c r="B10" s="40"/>
      <c r="C10" s="40"/>
      <c r="D10" s="40"/>
      <c r="E10" s="40"/>
      <c r="F10" s="40"/>
      <c r="G10" s="40"/>
      <c r="H10" s="40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</row>
    <row r="11" ht="42.75" customHeight="1">
      <c r="A11" s="40"/>
      <c r="B11" s="88" t="s">
        <v>53</v>
      </c>
      <c r="C11" s="40"/>
      <c r="D11" s="88" t="s">
        <v>54</v>
      </c>
      <c r="E11" s="42"/>
      <c r="F11" s="57" t="s">
        <v>56</v>
      </c>
      <c r="G11" s="40"/>
      <c r="H11" s="57" t="s">
        <v>57</v>
      </c>
      <c r="I11" s="42"/>
      <c r="J11" s="57" t="s">
        <v>120</v>
      </c>
      <c r="K11" s="68"/>
      <c r="L11" s="147"/>
      <c r="M11" s="40"/>
      <c r="N11" s="147"/>
      <c r="O11" s="40"/>
      <c r="P11" s="147"/>
      <c r="Q11" s="42"/>
      <c r="R11" s="80"/>
      <c r="S11" s="42"/>
    </row>
    <row r="12">
      <c r="A12" s="40"/>
      <c r="B12" s="40"/>
      <c r="C12" s="40"/>
      <c r="D12" s="40"/>
      <c r="E12" s="40"/>
      <c r="F12" s="40"/>
      <c r="G12" s="40"/>
      <c r="H12" s="40"/>
      <c r="I12" s="42"/>
      <c r="J12" s="42"/>
      <c r="K12" s="42"/>
      <c r="L12" s="40"/>
      <c r="M12" s="40"/>
      <c r="N12" s="40"/>
      <c r="O12" s="40"/>
      <c r="P12" s="40"/>
      <c r="Q12" s="42"/>
      <c r="R12" s="42"/>
      <c r="S12" s="42"/>
    </row>
    <row r="13" ht="42.75" customHeight="1">
      <c r="A13" s="40"/>
      <c r="B13" s="147"/>
      <c r="C13" s="40"/>
      <c r="D13" s="83"/>
      <c r="E13" s="40"/>
      <c r="F13" s="83"/>
      <c r="G13" s="40"/>
      <c r="H13" s="83"/>
      <c r="I13" s="42"/>
      <c r="J13" s="84"/>
      <c r="K13" s="82"/>
      <c r="L13" s="83"/>
      <c r="M13" s="40"/>
      <c r="N13" s="83"/>
      <c r="O13" s="40"/>
      <c r="P13" s="83"/>
      <c r="Q13" s="42"/>
      <c r="R13" s="84"/>
      <c r="S13" s="42"/>
    </row>
    <row r="14">
      <c r="A14" s="40"/>
      <c r="B14" s="40"/>
      <c r="C14" s="40"/>
      <c r="D14" s="40"/>
      <c r="E14" s="40"/>
      <c r="F14" s="40"/>
      <c r="G14" s="40"/>
      <c r="H14" s="40"/>
      <c r="I14" s="42"/>
      <c r="J14" s="42"/>
      <c r="K14" s="42"/>
      <c r="L14" s="40"/>
      <c r="M14" s="40"/>
      <c r="N14" s="40"/>
      <c r="O14" s="40"/>
      <c r="P14" s="40"/>
      <c r="Q14" s="42"/>
      <c r="R14" s="42"/>
      <c r="S14" s="42"/>
    </row>
    <row r="15" ht="42.75" customHeight="1">
      <c r="A15" s="42"/>
      <c r="B15" s="83"/>
      <c r="C15" s="40"/>
      <c r="D15" s="83"/>
      <c r="E15" s="40"/>
      <c r="F15" s="83"/>
      <c r="G15" s="40"/>
      <c r="H15" s="83"/>
      <c r="I15" s="42"/>
      <c r="J15" s="84"/>
      <c r="K15" s="82"/>
      <c r="L15" s="83"/>
      <c r="M15" s="40"/>
      <c r="N15" s="83"/>
      <c r="O15" s="40"/>
      <c r="P15" s="83"/>
      <c r="Q15" s="42"/>
      <c r="R15" s="84"/>
      <c r="S15" s="42"/>
    </row>
    <row r="16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</row>
  </sheetData>
  <mergeCells count="2">
    <mergeCell ref="B1:R1"/>
    <mergeCell ref="B9:R9"/>
  </mergeCells>
  <hyperlinks>
    <hyperlink r:id="rId1" ref="B3"/>
    <hyperlink r:id="rId2" ref="D3"/>
    <hyperlink r:id="rId3" ref="F3"/>
    <hyperlink r:id="rId4" ref="H3"/>
    <hyperlink r:id="rId5" ref="J3"/>
    <hyperlink r:id="rId6" ref="L3"/>
    <hyperlink r:id="rId7" ref="N3"/>
    <hyperlink r:id="rId8" ref="P3"/>
    <hyperlink r:id="rId9" ref="R3"/>
    <hyperlink r:id="rId10" ref="B5"/>
    <hyperlink r:id="rId11" ref="D5"/>
    <hyperlink r:id="rId12" ref="F5"/>
    <hyperlink r:id="rId13" ref="H5"/>
    <hyperlink r:id="rId14" ref="J5"/>
    <hyperlink r:id="rId15" ref="L5"/>
    <hyperlink r:id="rId16" ref="P5"/>
    <hyperlink r:id="rId17" ref="R5"/>
    <hyperlink r:id="rId18" ref="B7"/>
    <hyperlink r:id="rId19" ref="B11"/>
    <hyperlink r:id="rId20" ref="D11"/>
    <hyperlink r:id="rId21" ref="F11"/>
    <hyperlink r:id="rId22" ref="H11"/>
    <hyperlink r:id="rId23" ref="J11"/>
  </hyperlinks>
  <drawing r:id="rId2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hidden="1" min="1" max="3" width="5.13"/>
    <col customWidth="1" min="4" max="8" width="23.13"/>
    <col customWidth="1" hidden="1" min="9" max="13" width="4.13"/>
  </cols>
  <sheetData>
    <row r="1" ht="15.75" hidden="1" customHeight="1">
      <c r="A1" s="153"/>
      <c r="B1" s="153"/>
      <c r="C1" s="154" t="s">
        <v>2</v>
      </c>
      <c r="D1" s="155" t="s">
        <v>3</v>
      </c>
      <c r="E1" s="155" t="s">
        <v>4</v>
      </c>
      <c r="F1" s="155" t="s">
        <v>5</v>
      </c>
      <c r="G1" s="155" t="s">
        <v>7</v>
      </c>
      <c r="H1" s="155" t="s">
        <v>8</v>
      </c>
      <c r="I1" s="153"/>
      <c r="J1" s="153"/>
      <c r="K1" s="153"/>
      <c r="L1" s="153"/>
      <c r="M1" s="153"/>
    </row>
    <row r="2" ht="15.75" hidden="1" customHeight="1">
      <c r="A2" s="156">
        <f>B2+1</f>
        <v>21</v>
      </c>
      <c r="B2" s="156">
        <f t="shared" ref="B2:B9" si="1">$C$2*10</f>
        <v>20</v>
      </c>
      <c r="C2" s="157">
        <v>2.0</v>
      </c>
      <c r="D2" s="158">
        <f t="shared" ref="D2:D9" si="2">vlookup($A2,$A$14:$H$372,4)</f>
        <v>45908</v>
      </c>
      <c r="E2" s="158">
        <f t="shared" ref="E2:E9" si="3">vlookup($A2,$A$14:$H$372, 5)</f>
        <v>45909</v>
      </c>
      <c r="F2" s="158">
        <f t="shared" ref="F2:F9" si="4">vlookup($A2,$A$14:$H$372,6)</f>
        <v>45910</v>
      </c>
      <c r="G2" s="158">
        <f t="shared" ref="G2:G9" si="5">vlookup($A2,$A$14:$H$372,7)</f>
        <v>45911</v>
      </c>
      <c r="H2" s="158">
        <f t="shared" ref="H2:H9" si="6">vlookup($A2,$A$14:$H$372,8)</f>
        <v>45912</v>
      </c>
      <c r="I2" s="159"/>
    </row>
    <row r="3" ht="15.75" hidden="1" customHeight="1">
      <c r="A3" s="156">
        <f>B3+2</f>
        <v>22</v>
      </c>
      <c r="B3" s="156">
        <f t="shared" si="1"/>
        <v>20</v>
      </c>
      <c r="C3" s="24"/>
      <c r="D3" s="160" t="str">
        <f t="shared" si="2"/>
        <v>1.1: Think Physics</v>
      </c>
      <c r="E3" s="161" t="str">
        <f t="shared" si="3"/>
        <v>1.1: Think Physics</v>
      </c>
      <c r="F3" s="161" t="str">
        <f t="shared" si="4"/>
        <v>1.2: Forces &amp; N1L</v>
      </c>
      <c r="G3" s="161" t="str">
        <f t="shared" si="5"/>
        <v>1.2: Forces &amp; N1L</v>
      </c>
      <c r="H3" s="161" t="str">
        <f t="shared" si="6"/>
        <v>1.2: Forces &amp; N1L</v>
      </c>
      <c r="I3" s="162"/>
      <c r="J3" s="162"/>
      <c r="K3" s="162"/>
      <c r="L3" s="162"/>
      <c r="M3" s="162"/>
    </row>
    <row r="4" ht="18.0" hidden="1" customHeight="1">
      <c r="A4" s="156">
        <f>B4+3</f>
        <v>23</v>
      </c>
      <c r="B4" s="156">
        <f t="shared" si="1"/>
        <v>20</v>
      </c>
      <c r="C4" s="24"/>
      <c r="D4" s="163" t="str">
        <f t="shared" si="2"/>
        <v>Warm Up</v>
      </c>
      <c r="E4" s="163" t="str">
        <f t="shared" si="3"/>
        <v>Warm Up</v>
      </c>
      <c r="F4" s="163" t="str">
        <f t="shared" si="4"/>
        <v>Warm Up</v>
      </c>
      <c r="G4" s="163" t="str">
        <f t="shared" si="5"/>
        <v>Warm Up</v>
      </c>
      <c r="H4" s="163" t="str">
        <f t="shared" si="6"/>
        <v>Warm Up</v>
      </c>
      <c r="I4" s="164"/>
      <c r="J4" s="164"/>
      <c r="K4" s="164"/>
      <c r="L4" s="164"/>
      <c r="M4" s="164"/>
    </row>
    <row r="5" ht="18.0" hidden="1" customHeight="1">
      <c r="A5" s="156">
        <f>B5+4</f>
        <v>24</v>
      </c>
      <c r="B5" s="156">
        <f t="shared" si="1"/>
        <v>20</v>
      </c>
      <c r="C5" s="24"/>
      <c r="D5" s="165" t="str">
        <f t="shared" si="2"/>
        <v>Demo</v>
      </c>
      <c r="E5" s="166" t="str">
        <f t="shared" si="3"/>
        <v>Demo</v>
      </c>
      <c r="F5" s="166" t="str">
        <f t="shared" si="4"/>
        <v>Demo</v>
      </c>
      <c r="G5" s="166" t="str">
        <f t="shared" si="5"/>
        <v>Demo</v>
      </c>
      <c r="H5" s="166" t="str">
        <f t="shared" si="6"/>
        <v>Demo</v>
      </c>
      <c r="I5" s="162"/>
      <c r="J5" s="162"/>
      <c r="K5" s="162"/>
      <c r="L5" s="162"/>
      <c r="M5" s="162"/>
    </row>
    <row r="6" ht="18.0" hidden="1" customHeight="1">
      <c r="A6" s="156">
        <f>B6+5</f>
        <v>25</v>
      </c>
      <c r="B6" s="156">
        <f t="shared" si="1"/>
        <v>20</v>
      </c>
      <c r="C6" s="24"/>
      <c r="D6" s="163" t="str">
        <f t="shared" si="2"/>
        <v>Notes</v>
      </c>
      <c r="E6" s="163" t="str">
        <f t="shared" si="3"/>
        <v>Notes</v>
      </c>
      <c r="F6" s="163" t="str">
        <f t="shared" si="4"/>
        <v>Notes</v>
      </c>
      <c r="G6" s="163" t="str">
        <f t="shared" si="5"/>
        <v>Notes</v>
      </c>
      <c r="H6" s="163" t="str">
        <f t="shared" si="6"/>
        <v>Notes</v>
      </c>
      <c r="I6" s="164"/>
      <c r="J6" s="164"/>
      <c r="K6" s="164"/>
      <c r="L6" s="164"/>
      <c r="M6" s="164"/>
    </row>
    <row r="7" ht="18.0" hidden="1" customHeight="1">
      <c r="A7" s="156">
        <f>B7+6</f>
        <v>26</v>
      </c>
      <c r="B7" s="156">
        <f t="shared" si="1"/>
        <v>20</v>
      </c>
      <c r="C7" s="24"/>
      <c r="D7" s="165" t="str">
        <f t="shared" si="2"/>
        <v>Investigation</v>
      </c>
      <c r="E7" s="166" t="str">
        <f t="shared" si="3"/>
        <v>Investigation</v>
      </c>
      <c r="F7" s="166" t="str">
        <f t="shared" si="4"/>
        <v>Investigation</v>
      </c>
      <c r="G7" s="166" t="str">
        <f t="shared" si="5"/>
        <v>Investigation</v>
      </c>
      <c r="H7" s="166" t="str">
        <f t="shared" si="6"/>
        <v>Investigation</v>
      </c>
      <c r="I7" s="162"/>
      <c r="J7" s="162"/>
      <c r="K7" s="162"/>
      <c r="L7" s="162"/>
      <c r="M7" s="162"/>
    </row>
    <row r="8" ht="18.0" hidden="1" customHeight="1">
      <c r="A8" s="156">
        <f>B8+7</f>
        <v>27</v>
      </c>
      <c r="B8" s="156">
        <f t="shared" si="1"/>
        <v>20</v>
      </c>
      <c r="C8" s="24"/>
      <c r="D8" s="163" t="str">
        <f t="shared" si="2"/>
        <v>Activity</v>
      </c>
      <c r="E8" s="163" t="str">
        <f t="shared" si="3"/>
        <v>Activity</v>
      </c>
      <c r="F8" s="163" t="str">
        <f t="shared" si="4"/>
        <v>Activity</v>
      </c>
      <c r="G8" s="163" t="str">
        <f t="shared" si="5"/>
        <v>Activity</v>
      </c>
      <c r="H8" s="163" t="str">
        <f t="shared" si="6"/>
        <v>Activity</v>
      </c>
      <c r="I8" s="164"/>
      <c r="J8" s="164"/>
      <c r="K8" s="164"/>
      <c r="L8" s="164"/>
      <c r="M8" s="164"/>
    </row>
    <row r="9" ht="16.5" hidden="1" customHeight="1">
      <c r="A9" s="156">
        <f>B9+8</f>
        <v>28</v>
      </c>
      <c r="B9" s="156">
        <f t="shared" si="1"/>
        <v>20</v>
      </c>
      <c r="C9" s="24"/>
      <c r="D9" s="165" t="str">
        <f t="shared" si="2"/>
        <v>Practice Set</v>
      </c>
      <c r="E9" s="165" t="str">
        <f t="shared" si="3"/>
        <v>Practice Set</v>
      </c>
      <c r="F9" s="165" t="str">
        <f t="shared" si="4"/>
        <v>Practice Set</v>
      </c>
      <c r="G9" s="165" t="str">
        <f t="shared" si="5"/>
        <v>Practice Set</v>
      </c>
      <c r="H9" s="165" t="str">
        <f t="shared" si="6"/>
        <v>Practice Set</v>
      </c>
      <c r="I9" s="162"/>
      <c r="J9" s="162"/>
      <c r="K9" s="162"/>
      <c r="L9" s="162"/>
      <c r="M9" s="162"/>
    </row>
    <row r="10" ht="48.75" hidden="1" customHeight="1">
      <c r="A10" s="167"/>
      <c r="B10" s="167"/>
      <c r="C10" s="168" t="s">
        <v>27</v>
      </c>
      <c r="H10" s="45"/>
      <c r="I10" s="169">
        <v>1.0</v>
      </c>
      <c r="J10" s="169">
        <v>2.0</v>
      </c>
      <c r="K10" s="169">
        <v>3.0</v>
      </c>
      <c r="L10" s="169">
        <v>4.0</v>
      </c>
      <c r="M10" s="169">
        <v>5.0</v>
      </c>
    </row>
    <row r="11" ht="19.5" hidden="1" customHeight="1">
      <c r="A11" s="170"/>
      <c r="B11" s="171"/>
      <c r="C11" s="172"/>
      <c r="D11" s="173" t="s">
        <v>33</v>
      </c>
      <c r="H11" s="45"/>
      <c r="I11" s="174"/>
      <c r="J11" s="174"/>
      <c r="K11" s="174"/>
      <c r="L11" s="174"/>
      <c r="M11" s="174"/>
    </row>
    <row r="12" ht="19.5" hidden="1" customHeight="1">
      <c r="A12" s="170"/>
      <c r="B12" s="171"/>
      <c r="C12" s="172"/>
      <c r="D12" s="173" t="s">
        <v>35</v>
      </c>
      <c r="H12" s="45"/>
      <c r="I12" s="174"/>
      <c r="J12" s="174"/>
      <c r="K12" s="174"/>
      <c r="L12" s="174"/>
      <c r="M12" s="174"/>
    </row>
    <row r="13" ht="19.5" hidden="1" customHeight="1">
      <c r="A13" s="170"/>
      <c r="B13" s="171"/>
      <c r="C13" s="172"/>
      <c r="D13" s="175" t="s">
        <v>37</v>
      </c>
      <c r="E13" s="176"/>
      <c r="F13" s="176"/>
      <c r="G13" s="176"/>
      <c r="H13" s="177"/>
      <c r="I13" s="174"/>
      <c r="J13" s="174"/>
      <c r="K13" s="174"/>
      <c r="L13" s="174"/>
      <c r="M13" s="174"/>
    </row>
    <row r="14" ht="19.5" hidden="1" customHeight="1">
      <c r="A14" s="178">
        <f>B14+1</f>
        <v>11</v>
      </c>
      <c r="B14" s="179">
        <f t="shared" ref="B14:B21" si="8">$C$14*10</f>
        <v>10</v>
      </c>
      <c r="C14" s="180">
        <v>1.0</v>
      </c>
      <c r="D14" s="181">
        <v>45901.0</v>
      </c>
      <c r="E14" s="182">
        <f t="shared" ref="E14:H14" si="7">D14+1</f>
        <v>45902</v>
      </c>
      <c r="F14" s="182">
        <f t="shared" si="7"/>
        <v>45903</v>
      </c>
      <c r="G14" s="182">
        <f t="shared" si="7"/>
        <v>45904</v>
      </c>
      <c r="H14" s="182">
        <f t="shared" si="7"/>
        <v>45905</v>
      </c>
      <c r="I14" s="174" t="s">
        <v>42</v>
      </c>
    </row>
    <row r="15" ht="19.5" hidden="1" customHeight="1">
      <c r="A15" s="178">
        <f>B15+2</f>
        <v>12</v>
      </c>
      <c r="B15" s="179">
        <f t="shared" si="8"/>
        <v>10</v>
      </c>
      <c r="C15" s="76"/>
      <c r="D15" s="185" t="str">
        <f>if(isblank(I15),"",vlookup(I15,Pacing!$A$1:$H$213,2))</f>
        <v>0.1 Get Acquainted</v>
      </c>
      <c r="E15" s="185" t="str">
        <f>if(isblank(J15),"",vlookup(J15,Pacing!$A$1:$H$213,2))</f>
        <v>0.1 Get Acquainted</v>
      </c>
      <c r="F15" s="185" t="str">
        <f>if(isblank(K15),"",vlookup(K15,Pacing!$A$1:$H$213,2))</f>
        <v>0.1 Get Acquainted</v>
      </c>
      <c r="G15" s="185" t="str">
        <f>if(isblank(L15),"",vlookup(L15,Pacing!$A$1:$H$213,2))</f>
        <v>House Keeping</v>
      </c>
      <c r="H15" s="185" t="str">
        <f>if(isblank(M15),"",vlookup(M15,Pacing!$A$1:$H$213,2))</f>
        <v>1.1: Think Physics</v>
      </c>
      <c r="I15" s="191">
        <f t="shared" ref="I15:M15" si="9">I10</f>
        <v>1</v>
      </c>
      <c r="J15" s="191">
        <f t="shared" si="9"/>
        <v>2</v>
      </c>
      <c r="K15" s="191">
        <f t="shared" si="9"/>
        <v>3</v>
      </c>
      <c r="L15" s="191">
        <f t="shared" si="9"/>
        <v>4</v>
      </c>
      <c r="M15" s="191">
        <f t="shared" si="9"/>
        <v>5</v>
      </c>
    </row>
    <row r="16" ht="19.5" hidden="1" customHeight="1">
      <c r="A16" s="178">
        <f>B16+3</f>
        <v>13</v>
      </c>
      <c r="B16" s="179">
        <f t="shared" si="8"/>
        <v>10</v>
      </c>
      <c r="C16" s="76"/>
      <c r="D16" s="192" t="str">
        <f>if(isblank(I16),"",vlookup(I16,Pacing!$A$1:$H$213,3))</f>
        <v>Warm Up</v>
      </c>
      <c r="E16" s="192" t="str">
        <f>if(isblank(J16),"",vlookup(J16,Pacing!$A$1:$H$213,3))</f>
        <v>Warm Up</v>
      </c>
      <c r="F16" s="192" t="str">
        <f>if(isblank(K16),"",vlookup(K16,Pacing!$A$1:$H$213,3))</f>
        <v>Warm Up</v>
      </c>
      <c r="G16" s="192" t="str">
        <f>if(isblank(L16),"",vlookup(L16,Pacing!$A$1:$H$213,3))</f>
        <v>Warm Up</v>
      </c>
      <c r="H16" s="185" t="str">
        <f>if(isblank(M16),"",vlookup(M16,Pacing!$A$1:$H$213,3))</f>
        <v>Warm Up</v>
      </c>
      <c r="I16" s="191">
        <f t="shared" ref="I16:M16" si="10">I15</f>
        <v>1</v>
      </c>
      <c r="J16" s="191">
        <f t="shared" si="10"/>
        <v>2</v>
      </c>
      <c r="K16" s="191">
        <f t="shared" si="10"/>
        <v>3</v>
      </c>
      <c r="L16" s="191">
        <f t="shared" si="10"/>
        <v>4</v>
      </c>
      <c r="M16" s="191">
        <f t="shared" si="10"/>
        <v>5</v>
      </c>
    </row>
    <row r="17" ht="19.5" hidden="1" customHeight="1">
      <c r="A17" s="178">
        <f>B17+4</f>
        <v>14</v>
      </c>
      <c r="B17" s="179">
        <f t="shared" si="8"/>
        <v>10</v>
      </c>
      <c r="C17" s="76"/>
      <c r="D17" s="192" t="str">
        <f>if(isblank(I17),"",vlookup(I17,Pacing!$A$1:$H$213,4))</f>
        <v>Notes</v>
      </c>
      <c r="E17" s="192" t="str">
        <f>if(isblank(J17),"",vlookup(J17,Pacing!$A$1:$H$213,4))</f>
        <v>Investigation</v>
      </c>
      <c r="F17" s="192" t="str">
        <f>if(isblank(K17),"",vlookup(K17,Pacing!$A$1:$H$213,4))</f>
        <v>Investigation</v>
      </c>
      <c r="G17" s="192" t="str">
        <f>if(isblank(L17),"",vlookup(L17,Pacing!$A$1:$H$213,4))</f>
        <v>Activity</v>
      </c>
      <c r="H17" s="185" t="str">
        <f>if(isblank(M17),"",vlookup(M17,Pacing!$A$1:$H$213,4))</f>
        <v>Demo</v>
      </c>
      <c r="I17" s="191">
        <f t="shared" ref="I17:M17" si="11">I16</f>
        <v>1</v>
      </c>
      <c r="J17" s="191">
        <f t="shared" si="11"/>
        <v>2</v>
      </c>
      <c r="K17" s="191">
        <f t="shared" si="11"/>
        <v>3</v>
      </c>
      <c r="L17" s="191">
        <f t="shared" si="11"/>
        <v>4</v>
      </c>
      <c r="M17" s="191">
        <f t="shared" si="11"/>
        <v>5</v>
      </c>
    </row>
    <row r="18" ht="19.5" hidden="1" customHeight="1">
      <c r="A18" s="178">
        <f>B18+5</f>
        <v>15</v>
      </c>
      <c r="B18" s="179">
        <f t="shared" si="8"/>
        <v>10</v>
      </c>
      <c r="C18" s="76"/>
      <c r="D18" s="192" t="str">
        <f>if(isblank(I18),"",vlookup(I18,Pacing!$A$1:$H$213,5))</f>
        <v>Practice Set</v>
      </c>
      <c r="E18" s="192" t="str">
        <f>if(isblank(J18),"",vlookup(J18,Pacing!$A$1:$H$213,5))</f>
        <v>Practice Set</v>
      </c>
      <c r="F18" s="192" t="str">
        <f>if(isblank(K18),"",vlookup(K18,Pacing!$A$1:$H$213,5))</f>
        <v>Activity</v>
      </c>
      <c r="G18" s="193" t="str">
        <f>if(isblank(L18),"",vlookup(L18,Pacing!$A$1:$H$213,5))</f>
        <v>Return Portfolio</v>
      </c>
      <c r="H18" s="185" t="str">
        <f>if(isblank(M18),"",vlookup(M18,Pacing!$A$1:$H$213,5))</f>
        <v>Notes</v>
      </c>
      <c r="I18" s="191">
        <f t="shared" ref="I18:M18" si="12">I17</f>
        <v>1</v>
      </c>
      <c r="J18" s="191">
        <f t="shared" si="12"/>
        <v>2</v>
      </c>
      <c r="K18" s="191">
        <f t="shared" si="12"/>
        <v>3</v>
      </c>
      <c r="L18" s="191">
        <f t="shared" si="12"/>
        <v>4</v>
      </c>
      <c r="M18" s="191">
        <f t="shared" si="12"/>
        <v>5</v>
      </c>
    </row>
    <row r="19" ht="19.5" hidden="1" customHeight="1">
      <c r="A19" s="178">
        <f>B19+6</f>
        <v>16</v>
      </c>
      <c r="B19" s="179">
        <f t="shared" si="8"/>
        <v>10</v>
      </c>
      <c r="C19" s="76"/>
      <c r="D19" s="193" t="str">
        <f>if(isblank(I19),"",vlookup(I19,Pacing!$A$1:$H$213,6))</f>
        <v/>
      </c>
      <c r="E19" s="192" t="str">
        <f>if(isblank(J19),"",vlookup(J19,Pacing!$A$1:$H$213,6))</f>
        <v>Extra Practice</v>
      </c>
      <c r="F19" s="192" t="str">
        <f>if(isblank(K19),"",vlookup(K19,Pacing!$A$1:$H$213,6))</f>
        <v>Practice Set</v>
      </c>
      <c r="G19" s="192" t="str">
        <f>if(isblank(L19),"",vlookup(L19,Pacing!$A$1:$H$213,6))</f>
        <v>Overview</v>
      </c>
      <c r="H19" s="185" t="str">
        <f>if(isblank(M19),"",vlookup(M19,Pacing!$A$1:$H$213,6))</f>
        <v>Investigation</v>
      </c>
      <c r="I19" s="191">
        <f t="shared" ref="I19:M19" si="13">I18</f>
        <v>1</v>
      </c>
      <c r="J19" s="191">
        <f t="shared" si="13"/>
        <v>2</v>
      </c>
      <c r="K19" s="191">
        <f t="shared" si="13"/>
        <v>3</v>
      </c>
      <c r="L19" s="191">
        <f t="shared" si="13"/>
        <v>4</v>
      </c>
      <c r="M19" s="191">
        <f t="shared" si="13"/>
        <v>5</v>
      </c>
    </row>
    <row r="20" ht="19.5" hidden="1" customHeight="1">
      <c r="A20" s="178">
        <f>B20+7</f>
        <v>17</v>
      </c>
      <c r="B20" s="179">
        <f t="shared" si="8"/>
        <v>10</v>
      </c>
      <c r="C20" s="76"/>
      <c r="D20" s="193" t="str">
        <f>if(isblank(I20),"",vlookup(I20,Pacing!$A$1:$H$213,7))</f>
        <v/>
      </c>
      <c r="E20" s="193" t="str">
        <f>if(isblank(J20),"",vlookup(J20,Pacing!$A$1:$H$213,7))</f>
        <v/>
      </c>
      <c r="F20" s="192" t="str">
        <f>if(isblank(K20),"",vlookup(K20,Pacing!$A$1:$H$213,7))</f>
        <v>Extra Practice</v>
      </c>
      <c r="G20" s="193" t="str">
        <f>if(isblank(L20),"",vlookup(L20,Pacing!$A$1:$H$213,7))</f>
        <v>Survey</v>
      </c>
      <c r="H20" s="185" t="str">
        <f>if(isblank(M20),"",vlookup(M20,Pacing!$A$1:$H$213,7))</f>
        <v>Activity</v>
      </c>
      <c r="I20" s="191">
        <f t="shared" ref="I20:M20" si="14">I19</f>
        <v>1</v>
      </c>
      <c r="J20" s="191">
        <f t="shared" si="14"/>
        <v>2</v>
      </c>
      <c r="K20" s="191">
        <f t="shared" si="14"/>
        <v>3</v>
      </c>
      <c r="L20" s="191">
        <f t="shared" si="14"/>
        <v>4</v>
      </c>
      <c r="M20" s="191">
        <f t="shared" si="14"/>
        <v>5</v>
      </c>
    </row>
    <row r="21" ht="19.5" hidden="1" customHeight="1">
      <c r="A21" s="178">
        <f>B21+8</f>
        <v>18</v>
      </c>
      <c r="B21" s="179">
        <f t="shared" si="8"/>
        <v>10</v>
      </c>
      <c r="C21" s="95"/>
      <c r="D21" s="193" t="str">
        <f>if(isblank(I21),"",vlookup(I21,Pacing!$A$1:$H$213,8))</f>
        <v/>
      </c>
      <c r="E21" s="193" t="str">
        <f>if(isblank(J21),"",vlookup(J21,Pacing!$A$1:$H$213,8))</f>
        <v/>
      </c>
      <c r="F21" s="193" t="str">
        <f>if(isblank(K21),"",vlookup(K21,Pacing!$A$1:$H$213,8))</f>
        <v/>
      </c>
      <c r="G21" s="193" t="str">
        <f>if(isblank(L21),"",vlookup(L21,Pacing!$A$1:$H$213,8))</f>
        <v/>
      </c>
      <c r="H21" s="185" t="str">
        <f>if(isblank(M21),"",vlookup(M21,Pacing!$A$1:$H$213,8))</f>
        <v>Practice Set</v>
      </c>
      <c r="I21" s="191">
        <f t="shared" ref="I21:M21" si="15">I20</f>
        <v>1</v>
      </c>
      <c r="J21" s="191">
        <f t="shared" si="15"/>
        <v>2</v>
      </c>
      <c r="K21" s="191">
        <f t="shared" si="15"/>
        <v>3</v>
      </c>
      <c r="L21" s="191">
        <f t="shared" si="15"/>
        <v>4</v>
      </c>
      <c r="M21" s="191">
        <f t="shared" si="15"/>
        <v>5</v>
      </c>
    </row>
    <row r="22" ht="15.75" customHeight="1">
      <c r="A22" s="194"/>
      <c r="B22" s="194"/>
      <c r="C22" s="195"/>
      <c r="D22" s="196" t="s">
        <v>142</v>
      </c>
      <c r="E22" s="196" t="s">
        <v>143</v>
      </c>
      <c r="F22" s="196" t="s">
        <v>144</v>
      </c>
      <c r="G22" s="196" t="s">
        <v>145</v>
      </c>
      <c r="H22" s="196" t="s">
        <v>146</v>
      </c>
      <c r="I22" s="197">
        <f>M10+1</f>
        <v>6</v>
      </c>
      <c r="J22" s="169">
        <f t="shared" ref="J22:M22" si="16">I22+1</f>
        <v>7</v>
      </c>
      <c r="K22" s="169">
        <f t="shared" si="16"/>
        <v>8</v>
      </c>
      <c r="L22" s="169">
        <f t="shared" si="16"/>
        <v>9</v>
      </c>
      <c r="M22" s="169">
        <f t="shared" si="16"/>
        <v>10</v>
      </c>
    </row>
    <row r="23" ht="19.5" hidden="1" customHeight="1">
      <c r="A23" s="178">
        <f>B23+1</f>
        <v>21</v>
      </c>
      <c r="B23" s="178">
        <f t="shared" ref="B23:B30" si="18">$C$23*10</f>
        <v>20</v>
      </c>
      <c r="C23" s="198">
        <f>C14+1</f>
        <v>2</v>
      </c>
      <c r="D23" s="182">
        <f>D14+7</f>
        <v>45908</v>
      </c>
      <c r="E23" s="182">
        <f t="shared" ref="E23:H23" si="17">D23+1</f>
        <v>45909</v>
      </c>
      <c r="F23" s="182">
        <f t="shared" si="17"/>
        <v>45910</v>
      </c>
      <c r="G23" s="182">
        <f t="shared" si="17"/>
        <v>45911</v>
      </c>
      <c r="H23" s="182">
        <f t="shared" si="17"/>
        <v>45912</v>
      </c>
      <c r="I23" s="174" t="s">
        <v>42</v>
      </c>
    </row>
    <row r="24" ht="19.5" customHeight="1">
      <c r="A24" s="199">
        <f>B24+2</f>
        <v>22</v>
      </c>
      <c r="B24" s="199">
        <f t="shared" si="18"/>
        <v>20</v>
      </c>
      <c r="C24" s="76"/>
      <c r="D24" s="200" t="str">
        <f>if(isblank(I24),"",vlookup(I24,Pacing!$A$1:$H$213,2))</f>
        <v>1.1: Think Physics</v>
      </c>
      <c r="E24" s="201" t="str">
        <f>if(isblank(J24),"",vlookup(J24,Pacing!$A$1:$H$213,2))</f>
        <v>1.1: Think Physics</v>
      </c>
      <c r="F24" s="201" t="str">
        <f>if(isblank(K24),"",vlookup(K24,Pacing!$A$1:$H$213,2))</f>
        <v>1.2: Forces &amp; N1L</v>
      </c>
      <c r="G24" s="201" t="str">
        <f>if(isblank(L24),"",vlookup(L24,Pacing!$A$1:$H$213,2))</f>
        <v>1.2: Forces &amp; N1L</v>
      </c>
      <c r="H24" s="201" t="str">
        <f>if(isblank(M24),"",vlookup(M24,Pacing!$A$1:$H$213,2))</f>
        <v>1.2: Forces &amp; N1L</v>
      </c>
      <c r="I24" s="202">
        <f t="shared" ref="I24:M24" si="19">I22</f>
        <v>6</v>
      </c>
      <c r="J24" s="202">
        <f t="shared" si="19"/>
        <v>7</v>
      </c>
      <c r="K24" s="202">
        <f t="shared" si="19"/>
        <v>8</v>
      </c>
      <c r="L24" s="202">
        <f t="shared" si="19"/>
        <v>9</v>
      </c>
      <c r="M24" s="202">
        <f t="shared" si="19"/>
        <v>10</v>
      </c>
    </row>
    <row r="25" ht="19.5" customHeight="1">
      <c r="A25" s="178">
        <f>B25+3</f>
        <v>23</v>
      </c>
      <c r="B25" s="178">
        <f t="shared" si="18"/>
        <v>20</v>
      </c>
      <c r="C25" s="76"/>
      <c r="D25" s="185" t="str">
        <f>if(isblank(I25),"",vlookup(I25,Pacing!$A$1:$H$213,3))</f>
        <v>Warm Up</v>
      </c>
      <c r="E25" s="185" t="str">
        <f>if(isblank(J25),"",vlookup(J25,Pacing!$A$1:$H$213,3))</f>
        <v>Warm Up</v>
      </c>
      <c r="F25" s="185" t="str">
        <f>if(isblank(K25),"",vlookup(K25,Pacing!$A$1:$H$213,3))</f>
        <v>Warm Up</v>
      </c>
      <c r="G25" s="185" t="str">
        <f>if(isblank(L25),"",vlookup(L25,Pacing!$A$1:$H$213,3))</f>
        <v>Warm Up</v>
      </c>
      <c r="H25" s="185" t="str">
        <f>if(isblank(M25),"",vlookup(M25,Pacing!$A$1:$H$213,3))</f>
        <v>Warm Up</v>
      </c>
      <c r="I25" s="191">
        <f t="shared" ref="I25:M25" si="20">I24</f>
        <v>6</v>
      </c>
      <c r="J25" s="191">
        <f t="shared" si="20"/>
        <v>7</v>
      </c>
      <c r="K25" s="191">
        <f t="shared" si="20"/>
        <v>8</v>
      </c>
      <c r="L25" s="191">
        <f t="shared" si="20"/>
        <v>9</v>
      </c>
      <c r="M25" s="191">
        <f t="shared" si="20"/>
        <v>10</v>
      </c>
    </row>
    <row r="26" ht="19.5" customHeight="1">
      <c r="A26" s="178">
        <f>B26+4</f>
        <v>24</v>
      </c>
      <c r="B26" s="178">
        <f t="shared" si="18"/>
        <v>20</v>
      </c>
      <c r="C26" s="76"/>
      <c r="D26" s="185" t="str">
        <f>if(isblank(I26),"",vlookup(I26,Pacing!$A$1:$H$213,4))</f>
        <v>Demo</v>
      </c>
      <c r="E26" s="185" t="str">
        <f>if(isblank(J26),"",vlookup(J26,Pacing!$A$1:$H$213,4))</f>
        <v>Demo</v>
      </c>
      <c r="F26" s="185" t="str">
        <f>if(isblank(K26),"",vlookup(K26,Pacing!$A$1:$H$213,4))</f>
        <v>Demo</v>
      </c>
      <c r="G26" s="185" t="str">
        <f>if(isblank(L26),"",vlookup(L26,Pacing!$A$1:$H$213,4))</f>
        <v>Demo</v>
      </c>
      <c r="H26" s="185" t="str">
        <f>if(isblank(M26),"",vlookup(M26,Pacing!$A$1:$H$213,4))</f>
        <v>Demo</v>
      </c>
      <c r="I26" s="191">
        <f t="shared" ref="I26:M26" si="21">I25</f>
        <v>6</v>
      </c>
      <c r="J26" s="191">
        <f t="shared" si="21"/>
        <v>7</v>
      </c>
      <c r="K26" s="191">
        <f t="shared" si="21"/>
        <v>8</v>
      </c>
      <c r="L26" s="191">
        <f t="shared" si="21"/>
        <v>9</v>
      </c>
      <c r="M26" s="191">
        <f t="shared" si="21"/>
        <v>10</v>
      </c>
    </row>
    <row r="27" ht="19.5" customHeight="1">
      <c r="A27" s="178">
        <f>B27+5</f>
        <v>25</v>
      </c>
      <c r="B27" s="178">
        <f t="shared" si="18"/>
        <v>20</v>
      </c>
      <c r="C27" s="76"/>
      <c r="D27" s="185" t="str">
        <f>if(isblank(I27),"",vlookup(I27,Pacing!$A$1:$H$213,5))</f>
        <v>Notes</v>
      </c>
      <c r="E27" s="185" t="str">
        <f>if(isblank(J27),"",vlookup(J27,Pacing!$A$1:$H$213,5))</f>
        <v>Notes</v>
      </c>
      <c r="F27" s="185" t="str">
        <f>if(isblank(K27),"",vlookup(K27,Pacing!$A$1:$H$213,5))</f>
        <v>Notes</v>
      </c>
      <c r="G27" s="185" t="str">
        <f>if(isblank(L27),"",vlookup(L27,Pacing!$A$1:$H$213,5))</f>
        <v>Notes</v>
      </c>
      <c r="H27" s="185" t="str">
        <f>if(isblank(M27),"",vlookup(M27,Pacing!$A$1:$H$213,5))</f>
        <v>Notes</v>
      </c>
      <c r="I27" s="191">
        <f t="shared" ref="I27:M27" si="22">I26</f>
        <v>6</v>
      </c>
      <c r="J27" s="191">
        <f t="shared" si="22"/>
        <v>7</v>
      </c>
      <c r="K27" s="191">
        <f t="shared" si="22"/>
        <v>8</v>
      </c>
      <c r="L27" s="191">
        <f t="shared" si="22"/>
        <v>9</v>
      </c>
      <c r="M27" s="191">
        <f t="shared" si="22"/>
        <v>10</v>
      </c>
    </row>
    <row r="28" ht="19.5" customHeight="1">
      <c r="A28" s="178">
        <f>B28+6</f>
        <v>26</v>
      </c>
      <c r="B28" s="178">
        <f t="shared" si="18"/>
        <v>20</v>
      </c>
      <c r="C28" s="76"/>
      <c r="D28" s="185" t="str">
        <f>if(isblank(I28),"",vlookup(I28,Pacing!$A$1:$H$213,6))</f>
        <v>Investigation</v>
      </c>
      <c r="E28" s="185" t="str">
        <f>if(isblank(J28),"",vlookup(J28,Pacing!$A$1:$H$213,6))</f>
        <v>Investigation</v>
      </c>
      <c r="F28" s="185" t="str">
        <f>if(isblank(K28),"",vlookup(K28,Pacing!$A$1:$H$213,6))</f>
        <v>Investigation</v>
      </c>
      <c r="G28" s="185" t="str">
        <f>if(isblank(L28),"",vlookup(L28,Pacing!$A$1:$H$213,6))</f>
        <v>Investigation</v>
      </c>
      <c r="H28" s="185" t="str">
        <f>if(isblank(M28),"",vlookup(M28,Pacing!$A$1:$H$213,6))</f>
        <v>Investigation</v>
      </c>
      <c r="I28" s="191">
        <f t="shared" ref="I28:M28" si="23">I27</f>
        <v>6</v>
      </c>
      <c r="J28" s="191">
        <f t="shared" si="23"/>
        <v>7</v>
      </c>
      <c r="K28" s="191">
        <f t="shared" si="23"/>
        <v>8</v>
      </c>
      <c r="L28" s="191">
        <f t="shared" si="23"/>
        <v>9</v>
      </c>
      <c r="M28" s="191">
        <f t="shared" si="23"/>
        <v>10</v>
      </c>
    </row>
    <row r="29" ht="19.5" hidden="1" customHeight="1">
      <c r="A29" s="178">
        <f>B29+7</f>
        <v>27</v>
      </c>
      <c r="B29" s="178">
        <f t="shared" si="18"/>
        <v>20</v>
      </c>
      <c r="C29" s="76"/>
      <c r="D29" s="185" t="str">
        <f>if(isblank(I29),"",vlookup(I29,Pacing!$A$1:$H$213,7))</f>
        <v>Activity</v>
      </c>
      <c r="E29" s="185" t="str">
        <f>if(isblank(J29),"",vlookup(J29,Pacing!$A$1:$H$213,7))</f>
        <v>Activity</v>
      </c>
      <c r="F29" s="185" t="str">
        <f>if(isblank(K29),"",vlookup(K29,Pacing!$A$1:$H$213,7))</f>
        <v>Activity</v>
      </c>
      <c r="G29" s="185" t="str">
        <f>if(isblank(L29),"",vlookup(L29,Pacing!$A$1:$H$213,7))</f>
        <v>Activity</v>
      </c>
      <c r="H29" s="185" t="str">
        <f>if(isblank(M29),"",vlookup(M29,Pacing!$A$1:$H$213,7))</f>
        <v>Activity</v>
      </c>
      <c r="I29" s="191">
        <f t="shared" ref="I29:M29" si="24">I28</f>
        <v>6</v>
      </c>
      <c r="J29" s="191">
        <f t="shared" si="24"/>
        <v>7</v>
      </c>
      <c r="K29" s="191">
        <f t="shared" si="24"/>
        <v>8</v>
      </c>
      <c r="L29" s="191">
        <f t="shared" si="24"/>
        <v>9</v>
      </c>
      <c r="M29" s="191">
        <f t="shared" si="24"/>
        <v>10</v>
      </c>
    </row>
    <row r="30" ht="19.5" hidden="1" customHeight="1">
      <c r="A30" s="178">
        <f>B30+8</f>
        <v>28</v>
      </c>
      <c r="B30" s="178">
        <f t="shared" si="18"/>
        <v>20</v>
      </c>
      <c r="C30" s="95"/>
      <c r="D30" s="185" t="str">
        <f>if(isblank(I30),"",vlookup(I30,Pacing!$A$1:$H$213,8))</f>
        <v>Practice Set</v>
      </c>
      <c r="E30" s="185" t="str">
        <f>if(isblank(J30),"",vlookup(J30,Pacing!$A$1:$H$213,8))</f>
        <v>Practice Set</v>
      </c>
      <c r="F30" s="185" t="str">
        <f>if(isblank(K30),"",vlookup(K30,Pacing!$A$1:$H$213,8))</f>
        <v>Practice Set</v>
      </c>
      <c r="G30" s="185" t="str">
        <f>if(isblank(L30),"",vlookup(L30,Pacing!$A$1:$H$213,8))</f>
        <v>Practice Set</v>
      </c>
      <c r="H30" s="185" t="str">
        <f>if(isblank(M30),"",vlookup(M30,Pacing!$A$1:$H$213,8))</f>
        <v>Practice Set</v>
      </c>
      <c r="I30" s="191">
        <f t="shared" ref="I30:M30" si="25">I29</f>
        <v>6</v>
      </c>
      <c r="J30" s="191">
        <f t="shared" si="25"/>
        <v>7</v>
      </c>
      <c r="K30" s="191">
        <f t="shared" si="25"/>
        <v>8</v>
      </c>
      <c r="L30" s="191">
        <f t="shared" si="25"/>
        <v>9</v>
      </c>
      <c r="M30" s="191">
        <f t="shared" si="25"/>
        <v>10</v>
      </c>
    </row>
    <row r="31" ht="15.75" customHeight="1">
      <c r="A31" s="194"/>
      <c r="B31" s="194"/>
      <c r="C31" s="195"/>
      <c r="D31" s="196" t="s">
        <v>148</v>
      </c>
      <c r="E31" s="196" t="s">
        <v>149</v>
      </c>
      <c r="F31" s="196" t="s">
        <v>150</v>
      </c>
      <c r="G31" s="196" t="s">
        <v>152</v>
      </c>
      <c r="H31" s="196" t="s">
        <v>153</v>
      </c>
      <c r="I31" s="197">
        <f>M22+1</f>
        <v>11</v>
      </c>
      <c r="J31" s="169">
        <f t="shared" ref="J31:M31" si="26">I31+1</f>
        <v>12</v>
      </c>
      <c r="K31" s="169">
        <f t="shared" si="26"/>
        <v>13</v>
      </c>
      <c r="L31" s="169">
        <f t="shared" si="26"/>
        <v>14</v>
      </c>
      <c r="M31" s="169">
        <f t="shared" si="26"/>
        <v>15</v>
      </c>
    </row>
    <row r="32" ht="15.75" hidden="1" customHeight="1">
      <c r="A32" s="178">
        <f>B32+1</f>
        <v>31</v>
      </c>
      <c r="B32" s="178">
        <f t="shared" ref="B32:B39" si="28">C$32*10</f>
        <v>30</v>
      </c>
      <c r="C32" s="198">
        <f>C23+1</f>
        <v>3</v>
      </c>
      <c r="D32" s="182">
        <f>D23+7</f>
        <v>45915</v>
      </c>
      <c r="E32" s="182">
        <f t="shared" ref="E32:H32" si="27">D32+1</f>
        <v>45916</v>
      </c>
      <c r="F32" s="182">
        <f t="shared" si="27"/>
        <v>45917</v>
      </c>
      <c r="G32" s="182">
        <f t="shared" si="27"/>
        <v>45918</v>
      </c>
      <c r="H32" s="182">
        <f t="shared" si="27"/>
        <v>45919</v>
      </c>
      <c r="I32" s="174" t="s">
        <v>42</v>
      </c>
    </row>
    <row r="33" ht="15.75" customHeight="1">
      <c r="A33" s="199">
        <f>B33+2</f>
        <v>32</v>
      </c>
      <c r="B33" s="199">
        <f t="shared" si="28"/>
        <v>30</v>
      </c>
      <c r="C33" s="76"/>
      <c r="D33" s="201" t="str">
        <f>if(isblank(I33),"",vlookup(I33,Pacing!$A$1:$H$213,2))</f>
        <v>1.3: Net Force &amp; Vec</v>
      </c>
      <c r="E33" s="201" t="str">
        <f>if(isblank(J33),"",vlookup(J33,Pacing!$A$1:$H$213,2))</f>
        <v>1.3: Net Force &amp; Vec</v>
      </c>
      <c r="F33" s="201" t="str">
        <f>if(isblank(K33),"",vlookup(K33,Pacing!$A$1:$H$213,2))</f>
        <v>1.3: Net Force &amp; Vec</v>
      </c>
      <c r="G33" s="201" t="str">
        <f>if(isblank(L33),"",vlookup(L33,Pacing!$A$1:$H$213,2))</f>
        <v>1.4: Equilibrium</v>
      </c>
      <c r="H33" s="201" t="str">
        <f>if(isblank(M33),"",vlookup(M33,Pacing!$A$1:$H$213,2))</f>
        <v>1.4: Equilibrium</v>
      </c>
      <c r="I33" s="202">
        <f t="shared" ref="I33:M33" si="29">I31</f>
        <v>11</v>
      </c>
      <c r="J33" s="202">
        <f t="shared" si="29"/>
        <v>12</v>
      </c>
      <c r="K33" s="202">
        <f t="shared" si="29"/>
        <v>13</v>
      </c>
      <c r="L33" s="202">
        <f t="shared" si="29"/>
        <v>14</v>
      </c>
      <c r="M33" s="202">
        <f t="shared" si="29"/>
        <v>15</v>
      </c>
    </row>
    <row r="34" ht="15.75" customHeight="1">
      <c r="A34" s="178">
        <f>B34+3</f>
        <v>33</v>
      </c>
      <c r="B34" s="178">
        <f t="shared" si="28"/>
        <v>30</v>
      </c>
      <c r="C34" s="76"/>
      <c r="D34" s="185" t="str">
        <f>if(isblank(I34),"",vlookup(I34,Pacing!$A$1:$H$213,3))</f>
        <v>Warm Up</v>
      </c>
      <c r="E34" s="185" t="str">
        <f>if(isblank(J34),"",vlookup(J34,Pacing!$A$1:$H$213,3))</f>
        <v>Warm Up</v>
      </c>
      <c r="F34" s="185" t="str">
        <f>if(isblank(K34),"",vlookup(K34,Pacing!$A$1:$H$213,3))</f>
        <v>Warm Up</v>
      </c>
      <c r="G34" s="185" t="str">
        <f>if(isblank(L34),"",vlookup(L34,Pacing!$A$1:$H$213,3))</f>
        <v>Warm Up</v>
      </c>
      <c r="H34" s="185" t="str">
        <f>if(isblank(M34),"",vlookup(M34,Pacing!$A$1:$H$213,3))</f>
        <v>Warm Up</v>
      </c>
      <c r="I34" s="191">
        <f t="shared" ref="I34:M34" si="30">I33</f>
        <v>11</v>
      </c>
      <c r="J34" s="191">
        <f t="shared" si="30"/>
        <v>12</v>
      </c>
      <c r="K34" s="191">
        <f t="shared" si="30"/>
        <v>13</v>
      </c>
      <c r="L34" s="191">
        <f t="shared" si="30"/>
        <v>14</v>
      </c>
      <c r="M34" s="191">
        <f t="shared" si="30"/>
        <v>15</v>
      </c>
    </row>
    <row r="35" ht="15.75" customHeight="1">
      <c r="A35" s="178">
        <f>B35+4</f>
        <v>34</v>
      </c>
      <c r="B35" s="178">
        <f t="shared" si="28"/>
        <v>30</v>
      </c>
      <c r="C35" s="76"/>
      <c r="D35" s="185" t="str">
        <f>if(isblank(I35),"",vlookup(I35,Pacing!$A$1:$H$213,4))</f>
        <v>Demo</v>
      </c>
      <c r="E35" s="185" t="str">
        <f>if(isblank(J35),"",vlookup(J35,Pacing!$A$1:$H$213,4))</f>
        <v>Demo</v>
      </c>
      <c r="F35" s="185" t="str">
        <f>if(isblank(K35),"",vlookup(K35,Pacing!$A$1:$H$213,4))</f>
        <v>Demo</v>
      </c>
      <c r="G35" s="185" t="str">
        <f>if(isblank(L35),"",vlookup(L35,Pacing!$A$1:$H$213,4))</f>
        <v>Demo</v>
      </c>
      <c r="H35" s="185" t="str">
        <f>if(isblank(M35),"",vlookup(M35,Pacing!$A$1:$H$213,4))</f>
        <v>Demo</v>
      </c>
      <c r="I35" s="191">
        <f t="shared" ref="I35:M35" si="31">I34</f>
        <v>11</v>
      </c>
      <c r="J35" s="191">
        <f t="shared" si="31"/>
        <v>12</v>
      </c>
      <c r="K35" s="191">
        <f t="shared" si="31"/>
        <v>13</v>
      </c>
      <c r="L35" s="191">
        <f t="shared" si="31"/>
        <v>14</v>
      </c>
      <c r="M35" s="191">
        <f t="shared" si="31"/>
        <v>15</v>
      </c>
    </row>
    <row r="36" ht="15.75" customHeight="1">
      <c r="A36" s="178">
        <f>B36+5</f>
        <v>35</v>
      </c>
      <c r="B36" s="178">
        <f t="shared" si="28"/>
        <v>30</v>
      </c>
      <c r="C36" s="76"/>
      <c r="D36" s="185" t="str">
        <f>if(isblank(I36),"",vlookup(I36,Pacing!$A$1:$H$213,5))</f>
        <v>Notes</v>
      </c>
      <c r="E36" s="185" t="str">
        <f>if(isblank(J36),"",vlookup(J36,Pacing!$A$1:$H$213,5))</f>
        <v>Notes</v>
      </c>
      <c r="F36" s="185" t="str">
        <f>if(isblank(K36),"",vlookup(K36,Pacing!$A$1:$H$213,5))</f>
        <v>Notes</v>
      </c>
      <c r="G36" s="185" t="str">
        <f>if(isblank(L36),"",vlookup(L36,Pacing!$A$1:$H$213,5))</f>
        <v>Notes</v>
      </c>
      <c r="H36" s="185" t="str">
        <f>if(isblank(M36),"",vlookup(M36,Pacing!$A$1:$H$213,5))</f>
        <v>Notes</v>
      </c>
      <c r="I36" s="191">
        <f t="shared" ref="I36:M36" si="32">I35</f>
        <v>11</v>
      </c>
      <c r="J36" s="191">
        <f t="shared" si="32"/>
        <v>12</v>
      </c>
      <c r="K36" s="191">
        <f t="shared" si="32"/>
        <v>13</v>
      </c>
      <c r="L36" s="191">
        <f t="shared" si="32"/>
        <v>14</v>
      </c>
      <c r="M36" s="191">
        <f t="shared" si="32"/>
        <v>15</v>
      </c>
    </row>
    <row r="37" ht="15.75" customHeight="1">
      <c r="A37" s="178">
        <f>B37+6</f>
        <v>36</v>
      </c>
      <c r="B37" s="178">
        <f t="shared" si="28"/>
        <v>30</v>
      </c>
      <c r="C37" s="76"/>
      <c r="D37" s="185" t="str">
        <f>if(isblank(I37),"",vlookup(I37,Pacing!$A$1:$H$213,6))</f>
        <v>Investigation</v>
      </c>
      <c r="E37" s="185" t="str">
        <f>if(isblank(J37),"",vlookup(J37,Pacing!$A$1:$H$213,6))</f>
        <v>Investigation</v>
      </c>
      <c r="F37" s="185" t="str">
        <f>if(isblank(K37),"",vlookup(K37,Pacing!$A$1:$H$213,6))</f>
        <v>Investigation</v>
      </c>
      <c r="G37" s="185" t="str">
        <f>if(isblank(L37),"",vlookup(L37,Pacing!$A$1:$H$213,6))</f>
        <v>Investigation</v>
      </c>
      <c r="H37" s="185" t="str">
        <f>if(isblank(M37),"",vlookup(M37,Pacing!$A$1:$H$213,6))</f>
        <v>Investigation</v>
      </c>
      <c r="I37" s="191">
        <f t="shared" ref="I37:M37" si="33">I36</f>
        <v>11</v>
      </c>
      <c r="J37" s="191">
        <f t="shared" si="33"/>
        <v>12</v>
      </c>
      <c r="K37" s="191">
        <f t="shared" si="33"/>
        <v>13</v>
      </c>
      <c r="L37" s="191">
        <f t="shared" si="33"/>
        <v>14</v>
      </c>
      <c r="M37" s="191">
        <f t="shared" si="33"/>
        <v>15</v>
      </c>
    </row>
    <row r="38" ht="15.75" hidden="1" customHeight="1">
      <c r="A38" s="178">
        <f>B38+7</f>
        <v>37</v>
      </c>
      <c r="B38" s="178">
        <f t="shared" si="28"/>
        <v>30</v>
      </c>
      <c r="C38" s="76"/>
      <c r="D38" s="185" t="str">
        <f>if(isblank(I38),"",vlookup(I38,Pacing!$A$1:$H$213,7))</f>
        <v>Activity</v>
      </c>
      <c r="E38" s="185" t="str">
        <f>if(isblank(J38),"",vlookup(J38,Pacing!$A$1:$H$213,7))</f>
        <v>Activity</v>
      </c>
      <c r="F38" s="185" t="str">
        <f>if(isblank(K38),"",vlookup(K38,Pacing!$A$1:$H$213,7))</f>
        <v>Activity</v>
      </c>
      <c r="G38" s="185" t="str">
        <f>if(isblank(L38),"",vlookup(L38,Pacing!$A$1:$H$213,7))</f>
        <v>Activity</v>
      </c>
      <c r="H38" s="185" t="str">
        <f>if(isblank(M38),"",vlookup(M38,Pacing!$A$1:$H$213,7))</f>
        <v>Activity</v>
      </c>
      <c r="I38" s="191">
        <f t="shared" ref="I38:M38" si="34">I37</f>
        <v>11</v>
      </c>
      <c r="J38" s="191">
        <f t="shared" si="34"/>
        <v>12</v>
      </c>
      <c r="K38" s="191">
        <f t="shared" si="34"/>
        <v>13</v>
      </c>
      <c r="L38" s="191">
        <f t="shared" si="34"/>
        <v>14</v>
      </c>
      <c r="M38" s="191">
        <f t="shared" si="34"/>
        <v>15</v>
      </c>
    </row>
    <row r="39" ht="15.75" hidden="1" customHeight="1">
      <c r="A39" s="178">
        <f>B39+8</f>
        <v>38</v>
      </c>
      <c r="B39" s="178">
        <f t="shared" si="28"/>
        <v>30</v>
      </c>
      <c r="C39" s="95"/>
      <c r="D39" s="185" t="str">
        <f>if(isblank(I39),"",vlookup(I39,Pacing!$A$1:$H$213,8))</f>
        <v>Practice Set</v>
      </c>
      <c r="E39" s="185" t="str">
        <f>if(isblank(J39),"",vlookup(J39,Pacing!$A$1:$H$213,8))</f>
        <v>Practice Set</v>
      </c>
      <c r="F39" s="185" t="str">
        <f>if(isblank(K39),"",vlookup(K39,Pacing!$A$1:$H$213,8))</f>
        <v>Practice Set</v>
      </c>
      <c r="G39" s="185" t="str">
        <f>if(isblank(L39),"",vlookup(L39,Pacing!$A$1:$H$213,8))</f>
        <v>Practice Set</v>
      </c>
      <c r="H39" s="185" t="str">
        <f>if(isblank(M39),"",vlookup(M39,Pacing!$A$1:$H$213,8))</f>
        <v>Practice Set</v>
      </c>
      <c r="I39" s="191">
        <f t="shared" ref="I39:M39" si="35">I38</f>
        <v>11</v>
      </c>
      <c r="J39" s="191">
        <f t="shared" si="35"/>
        <v>12</v>
      </c>
      <c r="K39" s="191">
        <f t="shared" si="35"/>
        <v>13</v>
      </c>
      <c r="L39" s="191">
        <f t="shared" si="35"/>
        <v>14</v>
      </c>
      <c r="M39" s="191">
        <f t="shared" si="35"/>
        <v>15</v>
      </c>
    </row>
    <row r="40" ht="15.75" customHeight="1">
      <c r="A40" s="194"/>
      <c r="B40" s="194"/>
      <c r="C40" s="195"/>
      <c r="D40" s="196" t="s">
        <v>156</v>
      </c>
      <c r="E40" s="196" t="s">
        <v>157</v>
      </c>
      <c r="F40" s="196" t="s">
        <v>158</v>
      </c>
      <c r="G40" s="196" t="s">
        <v>159</v>
      </c>
      <c r="H40" s="196" t="s">
        <v>160</v>
      </c>
      <c r="I40" s="197">
        <f>M31+1</f>
        <v>16</v>
      </c>
      <c r="J40" s="169">
        <f t="shared" ref="J40:M40" si="36">I40+1</f>
        <v>17</v>
      </c>
      <c r="K40" s="169">
        <f t="shared" si="36"/>
        <v>18</v>
      </c>
      <c r="L40" s="169">
        <f t="shared" si="36"/>
        <v>19</v>
      </c>
      <c r="M40" s="169">
        <f t="shared" si="36"/>
        <v>20</v>
      </c>
    </row>
    <row r="41" ht="15.75" hidden="1" customHeight="1">
      <c r="A41" s="178">
        <f>B41+1</f>
        <v>41</v>
      </c>
      <c r="B41" s="178">
        <f t="shared" ref="B41:B48" si="38">C$41*10</f>
        <v>40</v>
      </c>
      <c r="C41" s="198">
        <f>C32+1</f>
        <v>4</v>
      </c>
      <c r="D41" s="182">
        <f>D32+7</f>
        <v>45922</v>
      </c>
      <c r="E41" s="182">
        <f t="shared" ref="E41:H41" si="37">D41+1</f>
        <v>45923</v>
      </c>
      <c r="F41" s="182">
        <f t="shared" si="37"/>
        <v>45924</v>
      </c>
      <c r="G41" s="182">
        <f t="shared" si="37"/>
        <v>45925</v>
      </c>
      <c r="H41" s="182">
        <f t="shared" si="37"/>
        <v>45926</v>
      </c>
      <c r="I41" s="174" t="s">
        <v>42</v>
      </c>
    </row>
    <row r="42" ht="15.75" customHeight="1">
      <c r="A42" s="199">
        <f>B42+2</f>
        <v>42</v>
      </c>
      <c r="B42" s="199">
        <f t="shared" si="38"/>
        <v>40</v>
      </c>
      <c r="C42" s="76"/>
      <c r="D42" s="201" t="str">
        <f>if(isblank(I42),"",vlookup(I42,Pacing!$A$1:$H$213,2))</f>
        <v>1.4: Equilibrium</v>
      </c>
      <c r="E42" s="201" t="str">
        <f>if(isblank(J42),"",vlookup(J42,Pacing!$A$1:$H$213,2))</f>
        <v>1.5: Force Models</v>
      </c>
      <c r="F42" s="201" t="str">
        <f>if(isblank(K42),"",vlookup(K42,Pacing!$A$1:$H$213,2))</f>
        <v>1.5: Force Models</v>
      </c>
      <c r="G42" s="201" t="str">
        <f>if(isblank(L42),"",vlookup(L42,Pacing!$A$1:$H$213,2))</f>
        <v>1.5: Force Models</v>
      </c>
      <c r="H42" s="201" t="str">
        <f>if(isblank(M42),"",vlookup(M42,Pacing!$A$1:$H$213,2))</f>
        <v>Unit 1 Sum Assess</v>
      </c>
      <c r="I42" s="202">
        <f t="shared" ref="I42:M42" si="39">I40</f>
        <v>16</v>
      </c>
      <c r="J42" s="202">
        <f t="shared" si="39"/>
        <v>17</v>
      </c>
      <c r="K42" s="202">
        <f t="shared" si="39"/>
        <v>18</v>
      </c>
      <c r="L42" s="202">
        <f t="shared" si="39"/>
        <v>19</v>
      </c>
      <c r="M42" s="202">
        <f t="shared" si="39"/>
        <v>20</v>
      </c>
    </row>
    <row r="43" ht="15.75" customHeight="1">
      <c r="A43" s="178">
        <f>B43+3</f>
        <v>43</v>
      </c>
      <c r="B43" s="178">
        <f t="shared" si="38"/>
        <v>40</v>
      </c>
      <c r="C43" s="76"/>
      <c r="D43" s="185" t="str">
        <f>if(isblank(I43),"",vlookup(I43,Pacing!$A$1:$H$213,3))</f>
        <v>Warm Up</v>
      </c>
      <c r="E43" s="185" t="str">
        <f>if(isblank(J43),"",vlookup(J43,Pacing!$A$1:$H$213,3))</f>
        <v>Warm Up</v>
      </c>
      <c r="F43" s="185" t="str">
        <f>if(isblank(K43),"",vlookup(K43,Pacing!$A$1:$H$213,3))</f>
        <v>Warm Up</v>
      </c>
      <c r="G43" s="185" t="str">
        <f>if(isblank(L43),"",vlookup(L43,Pacing!$A$1:$H$213,3))</f>
        <v>Warm Up</v>
      </c>
      <c r="H43" s="193" t="str">
        <f>if(isblank(M43),"",vlookup(M43,Pacing!$A$1:$H$213,3))</f>
        <v/>
      </c>
      <c r="I43" s="191">
        <f t="shared" ref="I43:M43" si="40">I42</f>
        <v>16</v>
      </c>
      <c r="J43" s="191">
        <f t="shared" si="40"/>
        <v>17</v>
      </c>
      <c r="K43" s="191">
        <f t="shared" si="40"/>
        <v>18</v>
      </c>
      <c r="L43" s="191">
        <f t="shared" si="40"/>
        <v>19</v>
      </c>
      <c r="M43" s="191">
        <f t="shared" si="40"/>
        <v>20</v>
      </c>
    </row>
    <row r="44" ht="15.75" customHeight="1">
      <c r="A44" s="178">
        <f>B44+4</f>
        <v>44</v>
      </c>
      <c r="B44" s="178">
        <f t="shared" si="38"/>
        <v>40</v>
      </c>
      <c r="C44" s="76"/>
      <c r="D44" s="185" t="str">
        <f>if(isblank(I44),"",vlookup(I44,Pacing!$A$1:$H$213,4))</f>
        <v>Demo</v>
      </c>
      <c r="E44" s="185" t="str">
        <f>if(isblank(J44),"",vlookup(J44,Pacing!$A$1:$H$213,4))</f>
        <v>Demo</v>
      </c>
      <c r="F44" s="185" t="str">
        <f>if(isblank(K44),"",vlookup(K44,Pacing!$A$1:$H$213,4))</f>
        <v>Demo</v>
      </c>
      <c r="G44" s="185" t="str">
        <f>if(isblank(L44),"",vlookup(L44,Pacing!$A$1:$H$213,4))</f>
        <v>Demo</v>
      </c>
      <c r="H44" s="193" t="str">
        <f>if(isblank(M44),"",vlookup(M44,Pacing!$A$1:$H$213,4))</f>
        <v/>
      </c>
      <c r="I44" s="191">
        <f t="shared" ref="I44:M44" si="41">I43</f>
        <v>16</v>
      </c>
      <c r="J44" s="191">
        <f t="shared" si="41"/>
        <v>17</v>
      </c>
      <c r="K44" s="191">
        <f t="shared" si="41"/>
        <v>18</v>
      </c>
      <c r="L44" s="191">
        <f t="shared" si="41"/>
        <v>19</v>
      </c>
      <c r="M44" s="191">
        <f t="shared" si="41"/>
        <v>20</v>
      </c>
    </row>
    <row r="45" ht="15.75" customHeight="1">
      <c r="A45" s="178">
        <f>B45+5</f>
        <v>45</v>
      </c>
      <c r="B45" s="178">
        <f t="shared" si="38"/>
        <v>40</v>
      </c>
      <c r="C45" s="76"/>
      <c r="D45" s="185" t="str">
        <f>if(isblank(I45),"",vlookup(I45,Pacing!$A$1:$H$213,5))</f>
        <v>Notes</v>
      </c>
      <c r="E45" s="185" t="str">
        <f>if(isblank(J45),"",vlookup(J45,Pacing!$A$1:$H$213,5))</f>
        <v>Notes</v>
      </c>
      <c r="F45" s="185" t="str">
        <f>if(isblank(K45),"",vlookup(K45,Pacing!$A$1:$H$213,5))</f>
        <v>Notes</v>
      </c>
      <c r="G45" s="185" t="str">
        <f>if(isblank(L45),"",vlookup(L45,Pacing!$A$1:$H$213,5))</f>
        <v>Notes</v>
      </c>
      <c r="H45" s="193" t="str">
        <f>if(isblank(M45),"",vlookup(M45,Pacing!$A$1:$H$213,5))</f>
        <v/>
      </c>
      <c r="I45" s="191">
        <f t="shared" ref="I45:M45" si="42">I44</f>
        <v>16</v>
      </c>
      <c r="J45" s="191">
        <f t="shared" si="42"/>
        <v>17</v>
      </c>
      <c r="K45" s="191">
        <f t="shared" si="42"/>
        <v>18</v>
      </c>
      <c r="L45" s="191">
        <f t="shared" si="42"/>
        <v>19</v>
      </c>
      <c r="M45" s="191">
        <f t="shared" si="42"/>
        <v>20</v>
      </c>
    </row>
    <row r="46" ht="15.75" customHeight="1">
      <c r="A46" s="178">
        <f>B46+6</f>
        <v>46</v>
      </c>
      <c r="B46" s="178">
        <f t="shared" si="38"/>
        <v>40</v>
      </c>
      <c r="C46" s="76"/>
      <c r="D46" s="185" t="str">
        <f>if(isblank(I46),"",vlookup(I46,Pacing!$A$1:$H$213,6))</f>
        <v>Investigation</v>
      </c>
      <c r="E46" s="185" t="str">
        <f>if(isblank(J46),"",vlookup(J46,Pacing!$A$1:$H$213,6))</f>
        <v>Investigation</v>
      </c>
      <c r="F46" s="185" t="str">
        <f>if(isblank(K46),"",vlookup(K46,Pacing!$A$1:$H$213,6))</f>
        <v>Investigation</v>
      </c>
      <c r="G46" s="185" t="str">
        <f>if(isblank(L46),"",vlookup(L46,Pacing!$A$1:$H$213,6))</f>
        <v>Investigation</v>
      </c>
      <c r="H46" s="193" t="str">
        <f>if(isblank(M46),"",vlookup(M46,Pacing!$A$1:$H$213,6))</f>
        <v/>
      </c>
      <c r="I46" s="191">
        <f t="shared" ref="I46:M46" si="43">I45</f>
        <v>16</v>
      </c>
      <c r="J46" s="191">
        <f t="shared" si="43"/>
        <v>17</v>
      </c>
      <c r="K46" s="191">
        <f t="shared" si="43"/>
        <v>18</v>
      </c>
      <c r="L46" s="191">
        <f t="shared" si="43"/>
        <v>19</v>
      </c>
      <c r="M46" s="191">
        <f t="shared" si="43"/>
        <v>20</v>
      </c>
    </row>
    <row r="47" ht="15.75" hidden="1" customHeight="1">
      <c r="A47" s="178">
        <f>B47+7</f>
        <v>47</v>
      </c>
      <c r="B47" s="178">
        <f t="shared" si="38"/>
        <v>40</v>
      </c>
      <c r="C47" s="76"/>
      <c r="D47" s="185" t="str">
        <f>if(isblank(I47),"",vlookup(I47,Pacing!$A$1:$H$213,7))</f>
        <v>Activity</v>
      </c>
      <c r="E47" s="185" t="str">
        <f>if(isblank(J47),"",vlookup(J47,Pacing!$A$1:$H$213,7))</f>
        <v>Activity</v>
      </c>
      <c r="F47" s="185" t="str">
        <f>if(isblank(K47),"",vlookup(K47,Pacing!$A$1:$H$213,7))</f>
        <v>Activity</v>
      </c>
      <c r="G47" s="185" t="str">
        <f>if(isblank(L47),"",vlookup(L47,Pacing!$A$1:$H$213,7))</f>
        <v>Activity</v>
      </c>
      <c r="H47" s="193" t="str">
        <f>if(isblank(M47),"",vlookup(M47,Pacing!$A$1:$H$213,7))</f>
        <v/>
      </c>
      <c r="I47" s="191">
        <f t="shared" ref="I47:M47" si="44">I46</f>
        <v>16</v>
      </c>
      <c r="J47" s="191">
        <f t="shared" si="44"/>
        <v>17</v>
      </c>
      <c r="K47" s="191">
        <f t="shared" si="44"/>
        <v>18</v>
      </c>
      <c r="L47" s="191">
        <f t="shared" si="44"/>
        <v>19</v>
      </c>
      <c r="M47" s="191">
        <f t="shared" si="44"/>
        <v>20</v>
      </c>
    </row>
    <row r="48" ht="15.75" hidden="1" customHeight="1">
      <c r="A48" s="178">
        <f>B48+8</f>
        <v>48</v>
      </c>
      <c r="B48" s="178">
        <f t="shared" si="38"/>
        <v>40</v>
      </c>
      <c r="C48" s="95"/>
      <c r="D48" s="185" t="str">
        <f>if(isblank(I48),"",vlookup(I48,Pacing!$A$1:$H$213,8))</f>
        <v>Practice Set</v>
      </c>
      <c r="E48" s="185" t="str">
        <f>if(isblank(J48),"",vlookup(J48,Pacing!$A$1:$H$213,8))</f>
        <v>Practice Set</v>
      </c>
      <c r="F48" s="185" t="str">
        <f>if(isblank(K48),"",vlookup(K48,Pacing!$A$1:$H$213,8))</f>
        <v>Practice Set</v>
      </c>
      <c r="G48" s="185" t="str">
        <f>if(isblank(L48),"",vlookup(L48,Pacing!$A$1:$H$213,8))</f>
        <v>Practice Set</v>
      </c>
      <c r="H48" s="193" t="str">
        <f>if(isblank(M48),"",vlookup(M48,Pacing!$A$1:$H$213,8))</f>
        <v/>
      </c>
      <c r="I48" s="191">
        <f t="shared" ref="I48:M48" si="45">I47</f>
        <v>16</v>
      </c>
      <c r="J48" s="191">
        <f t="shared" si="45"/>
        <v>17</v>
      </c>
      <c r="K48" s="191">
        <f t="shared" si="45"/>
        <v>18</v>
      </c>
      <c r="L48" s="191">
        <f t="shared" si="45"/>
        <v>19</v>
      </c>
      <c r="M48" s="191">
        <f t="shared" si="45"/>
        <v>20</v>
      </c>
    </row>
    <row r="49" ht="15.75" customHeight="1">
      <c r="A49" s="194"/>
      <c r="B49" s="194"/>
      <c r="C49" s="195"/>
      <c r="D49" s="196" t="s">
        <v>164</v>
      </c>
      <c r="E49" s="196" t="s">
        <v>165</v>
      </c>
      <c r="F49" s="196" t="s">
        <v>166</v>
      </c>
      <c r="G49" s="196" t="s">
        <v>167</v>
      </c>
      <c r="H49" s="196" t="s">
        <v>168</v>
      </c>
      <c r="I49" s="197">
        <f>M40+1</f>
        <v>21</v>
      </c>
      <c r="J49" s="169"/>
      <c r="K49" s="169"/>
      <c r="L49" s="169"/>
      <c r="M49" s="169"/>
    </row>
    <row r="50" ht="15.75" hidden="1" customHeight="1">
      <c r="A50" s="178">
        <f>B50+1</f>
        <v>51</v>
      </c>
      <c r="B50" s="178">
        <f t="shared" ref="B50:B57" si="47">C$50*10</f>
        <v>50</v>
      </c>
      <c r="C50" s="198">
        <f>C41+1</f>
        <v>5</v>
      </c>
      <c r="D50" s="182">
        <f>D41+7</f>
        <v>45929</v>
      </c>
      <c r="E50" s="182">
        <f t="shared" ref="E50:H50" si="46">D50+1</f>
        <v>45930</v>
      </c>
      <c r="F50" s="182">
        <f t="shared" si="46"/>
        <v>45931</v>
      </c>
      <c r="G50" s="182">
        <f t="shared" si="46"/>
        <v>45932</v>
      </c>
      <c r="H50" s="182">
        <f t="shared" si="46"/>
        <v>45933</v>
      </c>
      <c r="I50" s="174" t="s">
        <v>42</v>
      </c>
    </row>
    <row r="51" ht="15.75" customHeight="1">
      <c r="A51" s="199">
        <f>B51+2</f>
        <v>52</v>
      </c>
      <c r="B51" s="199">
        <f t="shared" si="47"/>
        <v>50</v>
      </c>
      <c r="C51" s="76"/>
      <c r="D51" s="201" t="str">
        <f>if(isblank(I51),"",vlookup(I51,Pacing!$A$1:$H$213,2))</f>
        <v>2.1: Motion &amp; Ref</v>
      </c>
      <c r="E51" s="201" t="str">
        <f>if(isblank(J51),"",vlookup(J51,Pacing!$A$1:$H$213,2))</f>
        <v/>
      </c>
      <c r="F51" s="201" t="str">
        <f>if(isblank(K51),"",vlookup(K51,Pacing!$A$1:$H$213,2))</f>
        <v/>
      </c>
      <c r="G51" s="201" t="str">
        <f>if(isblank(L51),"",vlookup(L51,Pacing!$A$1:$H$213,2))</f>
        <v/>
      </c>
      <c r="H51" s="201" t="str">
        <f>if(isblank(M51),"",vlookup(M51,Pacing!$A$1:$H$213,2))</f>
        <v/>
      </c>
      <c r="I51" s="202">
        <f t="shared" ref="I51:M51" si="48">I49</f>
        <v>21</v>
      </c>
      <c r="J51" s="202" t="str">
        <f t="shared" si="48"/>
        <v/>
      </c>
      <c r="K51" s="202" t="str">
        <f t="shared" si="48"/>
        <v/>
      </c>
      <c r="L51" s="202" t="str">
        <f t="shared" si="48"/>
        <v/>
      </c>
      <c r="M51" s="202" t="str">
        <f t="shared" si="48"/>
        <v/>
      </c>
    </row>
    <row r="52" ht="15.75" customHeight="1">
      <c r="A52" s="178">
        <f>B52+3</f>
        <v>53</v>
      </c>
      <c r="B52" s="178">
        <f t="shared" si="47"/>
        <v>50</v>
      </c>
      <c r="C52" s="76"/>
      <c r="D52" s="185" t="str">
        <f>if(isblank(I52),"",vlookup(I52,Pacing!$A$1:$H$213,3))</f>
        <v>Warm Up</v>
      </c>
      <c r="E52" s="193" t="str">
        <f>if(isblank(J52),"",vlookup(J52,Pacing!$A$1:$H$213,3))</f>
        <v/>
      </c>
      <c r="F52" s="193" t="str">
        <f>if(isblank(K52),"",vlookup(K52,Pacing!$A$1:$H$213,3))</f>
        <v/>
      </c>
      <c r="G52" s="193" t="str">
        <f>if(isblank(L52),"",vlookup(L52,Pacing!$A$1:$H$213,3))</f>
        <v/>
      </c>
      <c r="H52" s="193" t="str">
        <f>if(isblank(M52),"",vlookup(M52,Pacing!$A$1:$H$213,3))</f>
        <v/>
      </c>
      <c r="I52" s="191">
        <f t="shared" ref="I52:M52" si="49">I51</f>
        <v>21</v>
      </c>
      <c r="J52" s="191" t="str">
        <f t="shared" si="49"/>
        <v/>
      </c>
      <c r="K52" s="191" t="str">
        <f t="shared" si="49"/>
        <v/>
      </c>
      <c r="L52" s="191" t="str">
        <f t="shared" si="49"/>
        <v/>
      </c>
      <c r="M52" s="191" t="str">
        <f t="shared" si="49"/>
        <v/>
      </c>
    </row>
    <row r="53" ht="15.75" customHeight="1">
      <c r="A53" s="178">
        <f>B53+4</f>
        <v>54</v>
      </c>
      <c r="B53" s="178">
        <f t="shared" si="47"/>
        <v>50</v>
      </c>
      <c r="C53" s="76"/>
      <c r="D53" s="185" t="str">
        <f>if(isblank(I53),"",vlookup(I53,Pacing!$A$1:$H$213,4))</f>
        <v>Demo</v>
      </c>
      <c r="E53" s="193" t="str">
        <f>if(isblank(J53),"",vlookup(J53,Pacing!$A$1:$H$213,4))</f>
        <v/>
      </c>
      <c r="F53" s="193" t="str">
        <f>if(isblank(K53),"",vlookup(K53,Pacing!$A$1:$H$213,4))</f>
        <v/>
      </c>
      <c r="G53" s="193" t="str">
        <f>if(isblank(L53),"",vlookup(L53,Pacing!$A$1:$H$213,4))</f>
        <v/>
      </c>
      <c r="H53" s="193" t="str">
        <f>if(isblank(M53),"",vlookup(M53,Pacing!$A$1:$H$213,4))</f>
        <v/>
      </c>
      <c r="I53" s="191">
        <f t="shared" ref="I53:M53" si="50">I52</f>
        <v>21</v>
      </c>
      <c r="J53" s="191" t="str">
        <f t="shared" si="50"/>
        <v/>
      </c>
      <c r="K53" s="191" t="str">
        <f t="shared" si="50"/>
        <v/>
      </c>
      <c r="L53" s="191" t="str">
        <f t="shared" si="50"/>
        <v/>
      </c>
      <c r="M53" s="191" t="str">
        <f t="shared" si="50"/>
        <v/>
      </c>
    </row>
    <row r="54" ht="15.75" customHeight="1">
      <c r="A54" s="178">
        <f>B54+5</f>
        <v>55</v>
      </c>
      <c r="B54" s="178">
        <f t="shared" si="47"/>
        <v>50</v>
      </c>
      <c r="C54" s="76"/>
      <c r="D54" s="185" t="str">
        <f>if(isblank(I54),"",vlookup(I54,Pacing!$A$1:$H$213,5))</f>
        <v>Notes</v>
      </c>
      <c r="E54" s="193" t="str">
        <f>if(isblank(J54),"",vlookup(J54,Pacing!$A$1:$H$213,5))</f>
        <v/>
      </c>
      <c r="F54" s="193" t="str">
        <f>if(isblank(K54),"",vlookup(K54,Pacing!$A$1:$H$213,5))</f>
        <v/>
      </c>
      <c r="G54" s="193" t="str">
        <f>if(isblank(L54),"",vlookup(L54,Pacing!$A$1:$H$213,5))</f>
        <v/>
      </c>
      <c r="H54" s="193" t="str">
        <f>if(isblank(M54),"",vlookup(M54,Pacing!$A$1:$H$213,5))</f>
        <v/>
      </c>
      <c r="I54" s="191">
        <f t="shared" ref="I54:M54" si="51">I53</f>
        <v>21</v>
      </c>
      <c r="J54" s="191" t="str">
        <f t="shared" si="51"/>
        <v/>
      </c>
      <c r="K54" s="191" t="str">
        <f t="shared" si="51"/>
        <v/>
      </c>
      <c r="L54" s="191" t="str">
        <f t="shared" si="51"/>
        <v/>
      </c>
      <c r="M54" s="191" t="str">
        <f t="shared" si="51"/>
        <v/>
      </c>
    </row>
    <row r="55" ht="15.75" customHeight="1">
      <c r="A55" s="178">
        <f>B55+6</f>
        <v>56</v>
      </c>
      <c r="B55" s="178">
        <f t="shared" si="47"/>
        <v>50</v>
      </c>
      <c r="C55" s="76"/>
      <c r="D55" s="185" t="str">
        <f>if(isblank(I55),"",vlookup(I55,Pacing!$A$1:$H$213,6))</f>
        <v>Investigation</v>
      </c>
      <c r="E55" s="193" t="str">
        <f>if(isblank(J55),"",vlookup(J55,Pacing!$A$1:$H$213,6))</f>
        <v/>
      </c>
      <c r="F55" s="193" t="str">
        <f>if(isblank(K55),"",vlookup(K55,Pacing!$A$1:$H$213,6))</f>
        <v/>
      </c>
      <c r="G55" s="193" t="str">
        <f>if(isblank(L55),"",vlookup(L55,Pacing!$A$1:$H$213,6))</f>
        <v/>
      </c>
      <c r="H55" s="193" t="str">
        <f>if(isblank(M55),"",vlookup(M55,Pacing!$A$1:$H$213,6))</f>
        <v/>
      </c>
      <c r="I55" s="191">
        <f t="shared" ref="I55:M55" si="52">I54</f>
        <v>21</v>
      </c>
      <c r="J55" s="191" t="str">
        <f t="shared" si="52"/>
        <v/>
      </c>
      <c r="K55" s="191" t="str">
        <f t="shared" si="52"/>
        <v/>
      </c>
      <c r="L55" s="191" t="str">
        <f t="shared" si="52"/>
        <v/>
      </c>
      <c r="M55" s="191" t="str">
        <f t="shared" si="52"/>
        <v/>
      </c>
    </row>
    <row r="56" ht="15.75" hidden="1" customHeight="1">
      <c r="A56" s="178">
        <f>B56+7</f>
        <v>57</v>
      </c>
      <c r="B56" s="178">
        <f t="shared" si="47"/>
        <v>50</v>
      </c>
      <c r="C56" s="76"/>
      <c r="D56" s="185" t="str">
        <f>if(isblank(I56),"",vlookup(I56,Pacing!$A$1:$H$213,7))</f>
        <v>Activity</v>
      </c>
      <c r="E56" s="193" t="str">
        <f>if(isblank(J56),"",vlookup(J56,Pacing!$A$1:$H$213,7))</f>
        <v/>
      </c>
      <c r="F56" s="193" t="str">
        <f>if(isblank(K56),"",vlookup(K56,Pacing!$A$1:$H$213,7))</f>
        <v/>
      </c>
      <c r="G56" s="193" t="str">
        <f>if(isblank(L56),"",vlookup(L56,Pacing!$A$1:$H$213,7))</f>
        <v/>
      </c>
      <c r="H56" s="193" t="str">
        <f>if(isblank(M56),"",vlookup(M56,Pacing!$A$1:$H$213,7))</f>
        <v/>
      </c>
      <c r="I56" s="191">
        <f t="shared" ref="I56:M56" si="53">I55</f>
        <v>21</v>
      </c>
      <c r="J56" s="191" t="str">
        <f t="shared" si="53"/>
        <v/>
      </c>
      <c r="K56" s="191" t="str">
        <f t="shared" si="53"/>
        <v/>
      </c>
      <c r="L56" s="191" t="str">
        <f t="shared" si="53"/>
        <v/>
      </c>
      <c r="M56" s="191" t="str">
        <f t="shared" si="53"/>
        <v/>
      </c>
    </row>
    <row r="57" ht="15.75" hidden="1" customHeight="1">
      <c r="A57" s="178">
        <f>B57+8</f>
        <v>58</v>
      </c>
      <c r="B57" s="178">
        <f t="shared" si="47"/>
        <v>50</v>
      </c>
      <c r="C57" s="95"/>
      <c r="D57" s="185" t="str">
        <f>if(isblank(I57),"",vlookup(I57,Pacing!$A$1:$H$213,8))</f>
        <v>Practice Set</v>
      </c>
      <c r="E57" s="193" t="str">
        <f>if(isblank(J57),"",vlookup(J57,Pacing!$A$1:$H$213,8))</f>
        <v/>
      </c>
      <c r="F57" s="193" t="str">
        <f>if(isblank(K57),"",vlookup(K57,Pacing!$A$1:$H$213,8))</f>
        <v/>
      </c>
      <c r="G57" s="193" t="str">
        <f>if(isblank(L57),"",vlookup(L57,Pacing!$A$1:$H$213,8))</f>
        <v/>
      </c>
      <c r="H57" s="193" t="str">
        <f>if(isblank(M57),"",vlookup(M57,Pacing!$A$1:$H$213,8))</f>
        <v/>
      </c>
      <c r="I57" s="191">
        <f t="shared" ref="I57:M57" si="54">I56</f>
        <v>21</v>
      </c>
      <c r="J57" s="191" t="str">
        <f t="shared" si="54"/>
        <v/>
      </c>
      <c r="K57" s="191" t="str">
        <f t="shared" si="54"/>
        <v/>
      </c>
      <c r="L57" s="191" t="str">
        <f t="shared" si="54"/>
        <v/>
      </c>
      <c r="M57" s="191" t="str">
        <f t="shared" si="54"/>
        <v/>
      </c>
    </row>
    <row r="58" ht="15.75" customHeight="1">
      <c r="A58" s="194"/>
      <c r="B58" s="194"/>
      <c r="C58" s="195"/>
      <c r="D58" s="196" t="s">
        <v>142</v>
      </c>
      <c r="E58" s="196" t="s">
        <v>143</v>
      </c>
      <c r="F58" s="196" t="s">
        <v>144</v>
      </c>
      <c r="G58" s="196" t="s">
        <v>145</v>
      </c>
      <c r="H58" s="196" t="s">
        <v>146</v>
      </c>
      <c r="I58" s="197">
        <v>22.0</v>
      </c>
      <c r="J58" s="169">
        <f t="shared" ref="J58:M58" si="55">I58+1</f>
        <v>23</v>
      </c>
      <c r="K58" s="169">
        <f t="shared" si="55"/>
        <v>24</v>
      </c>
      <c r="L58" s="169">
        <f t="shared" si="55"/>
        <v>25</v>
      </c>
      <c r="M58" s="169">
        <f t="shared" si="55"/>
        <v>26</v>
      </c>
    </row>
    <row r="59" ht="15.75" hidden="1" customHeight="1">
      <c r="A59" s="178">
        <f>B59+1</f>
        <v>61</v>
      </c>
      <c r="B59" s="178">
        <f t="shared" ref="B59:B66" si="57">C$59*10</f>
        <v>60</v>
      </c>
      <c r="C59" s="198">
        <f>C50+1</f>
        <v>6</v>
      </c>
      <c r="D59" s="182">
        <f>D50+7</f>
        <v>45936</v>
      </c>
      <c r="E59" s="182">
        <f t="shared" ref="E59:H59" si="56">D59+1</f>
        <v>45937</v>
      </c>
      <c r="F59" s="182">
        <f t="shared" si="56"/>
        <v>45938</v>
      </c>
      <c r="G59" s="182">
        <f t="shared" si="56"/>
        <v>45939</v>
      </c>
      <c r="H59" s="182">
        <f t="shared" si="56"/>
        <v>45940</v>
      </c>
      <c r="I59" s="174" t="s">
        <v>42</v>
      </c>
    </row>
    <row r="60" ht="15.75" customHeight="1">
      <c r="A60" s="199">
        <f>B60+2</f>
        <v>62</v>
      </c>
      <c r="B60" s="199">
        <f t="shared" si="57"/>
        <v>60</v>
      </c>
      <c r="C60" s="76"/>
      <c r="D60" s="201" t="str">
        <f>if(isblank(I60),"",vlookup(I60,Pacing!$A$1:$H$213,2))</f>
        <v>2.1: Motion &amp; Ref</v>
      </c>
      <c r="E60" s="201" t="str">
        <f>if(isblank(J60),"",vlookup(J60,Pacing!$A$1:$H$213,2))</f>
        <v>2.1: Motion &amp; Ref</v>
      </c>
      <c r="F60" s="201" t="str">
        <f>if(isblank(K60),"",vlookup(K60,Pacing!$A$1:$H$213,2))</f>
        <v>2.2: Speed &amp; Vel</v>
      </c>
      <c r="G60" s="201" t="str">
        <f>if(isblank(L60),"",vlookup(L60,Pacing!$A$1:$H$213,2))</f>
        <v>2.2: Speed &amp; Vel</v>
      </c>
      <c r="H60" s="201" t="str">
        <f>if(isblank(M60),"",vlookup(M60,Pacing!$A$1:$H$213,2))</f>
        <v>2.2: Speed &amp; Vel</v>
      </c>
      <c r="I60" s="202">
        <f t="shared" ref="I60:M60" si="58">I58</f>
        <v>22</v>
      </c>
      <c r="J60" s="202">
        <f t="shared" si="58"/>
        <v>23</v>
      </c>
      <c r="K60" s="202">
        <f t="shared" si="58"/>
        <v>24</v>
      </c>
      <c r="L60" s="202">
        <f t="shared" si="58"/>
        <v>25</v>
      </c>
      <c r="M60" s="202">
        <f t="shared" si="58"/>
        <v>26</v>
      </c>
    </row>
    <row r="61" ht="15.75" customHeight="1">
      <c r="A61" s="178">
        <f>B61+3</f>
        <v>63</v>
      </c>
      <c r="B61" s="178">
        <f t="shared" si="57"/>
        <v>60</v>
      </c>
      <c r="C61" s="76"/>
      <c r="D61" s="185" t="str">
        <f>if(isblank(I61),"",vlookup(I61,Pacing!$A$1:$H$213,3))</f>
        <v>Warm Up</v>
      </c>
      <c r="E61" s="185" t="str">
        <f>if(isblank(J61),"",vlookup(J61,Pacing!$A$1:$H$213,3))</f>
        <v>Warm Up</v>
      </c>
      <c r="F61" s="185" t="str">
        <f>if(isblank(K61),"",vlookup(K61,Pacing!$A$1:$H$213,3))</f>
        <v>Warm Up</v>
      </c>
      <c r="G61" s="185" t="str">
        <f>if(isblank(L61),"",vlookup(L61,Pacing!$A$1:$H$213,3))</f>
        <v>Warm Up</v>
      </c>
      <c r="H61" s="185" t="str">
        <f>if(isblank(M61),"",vlookup(M61,Pacing!$A$1:$H$213,3))</f>
        <v>Warm Up</v>
      </c>
      <c r="I61" s="191">
        <f t="shared" ref="I61:M61" si="59">I60</f>
        <v>22</v>
      </c>
      <c r="J61" s="191">
        <f t="shared" si="59"/>
        <v>23</v>
      </c>
      <c r="K61" s="191">
        <f t="shared" si="59"/>
        <v>24</v>
      </c>
      <c r="L61" s="191">
        <f t="shared" si="59"/>
        <v>25</v>
      </c>
      <c r="M61" s="191">
        <f t="shared" si="59"/>
        <v>26</v>
      </c>
    </row>
    <row r="62" ht="15.75" customHeight="1">
      <c r="A62" s="178">
        <f>B62+4</f>
        <v>64</v>
      </c>
      <c r="B62" s="178">
        <f t="shared" si="57"/>
        <v>60</v>
      </c>
      <c r="C62" s="76"/>
      <c r="D62" s="185" t="str">
        <f>if(isblank(I62),"",vlookup(I62,Pacing!$A$1:$H$213,4))</f>
        <v>Demo</v>
      </c>
      <c r="E62" s="185" t="str">
        <f>if(isblank(J62),"",vlookup(J62,Pacing!$A$1:$H$213,4))</f>
        <v>Demo</v>
      </c>
      <c r="F62" s="185" t="str">
        <f>if(isblank(K62),"",vlookup(K62,Pacing!$A$1:$H$213,4))</f>
        <v>Demo</v>
      </c>
      <c r="G62" s="185" t="str">
        <f>if(isblank(L62),"",vlookup(L62,Pacing!$A$1:$H$213,4))</f>
        <v>Demo</v>
      </c>
      <c r="H62" s="185" t="str">
        <f>if(isblank(M62),"",vlookup(M62,Pacing!$A$1:$H$213,4))</f>
        <v>Demo</v>
      </c>
      <c r="I62" s="191">
        <f t="shared" ref="I62:M62" si="60">I61</f>
        <v>22</v>
      </c>
      <c r="J62" s="191">
        <f t="shared" si="60"/>
        <v>23</v>
      </c>
      <c r="K62" s="191">
        <f t="shared" si="60"/>
        <v>24</v>
      </c>
      <c r="L62" s="191">
        <f t="shared" si="60"/>
        <v>25</v>
      </c>
      <c r="M62" s="191">
        <f t="shared" si="60"/>
        <v>26</v>
      </c>
    </row>
    <row r="63" ht="15.75" customHeight="1">
      <c r="A63" s="178">
        <f>B63+5</f>
        <v>65</v>
      </c>
      <c r="B63" s="178">
        <f t="shared" si="57"/>
        <v>60</v>
      </c>
      <c r="C63" s="76"/>
      <c r="D63" s="185" t="str">
        <f>if(isblank(I63),"",vlookup(I63,Pacing!$A$1:$H$213,5))</f>
        <v>Notes</v>
      </c>
      <c r="E63" s="185" t="str">
        <f>if(isblank(J63),"",vlookup(J63,Pacing!$A$1:$H$213,5))</f>
        <v>Notes</v>
      </c>
      <c r="F63" s="185" t="str">
        <f>if(isblank(K63),"",vlookup(K63,Pacing!$A$1:$H$213,5))</f>
        <v>Notes</v>
      </c>
      <c r="G63" s="185" t="str">
        <f>if(isblank(L63),"",vlookup(L63,Pacing!$A$1:$H$213,5))</f>
        <v>Notes</v>
      </c>
      <c r="H63" s="185" t="str">
        <f>if(isblank(M63),"",vlookup(M63,Pacing!$A$1:$H$213,5))</f>
        <v>Notes</v>
      </c>
      <c r="I63" s="191">
        <f t="shared" ref="I63:M63" si="61">I62</f>
        <v>22</v>
      </c>
      <c r="J63" s="191">
        <f t="shared" si="61"/>
        <v>23</v>
      </c>
      <c r="K63" s="191">
        <f t="shared" si="61"/>
        <v>24</v>
      </c>
      <c r="L63" s="191">
        <f t="shared" si="61"/>
        <v>25</v>
      </c>
      <c r="M63" s="191">
        <f t="shared" si="61"/>
        <v>26</v>
      </c>
    </row>
    <row r="64" ht="15.75" customHeight="1">
      <c r="A64" s="178">
        <f>B64+6</f>
        <v>66</v>
      </c>
      <c r="B64" s="178">
        <f t="shared" si="57"/>
        <v>60</v>
      </c>
      <c r="C64" s="76"/>
      <c r="D64" s="185" t="str">
        <f>if(isblank(I64),"",vlookup(I64,Pacing!$A$1:$H$213,6))</f>
        <v>Investigation</v>
      </c>
      <c r="E64" s="185" t="str">
        <f>if(isblank(J64),"",vlookup(J64,Pacing!$A$1:$H$213,6))</f>
        <v>Investigation</v>
      </c>
      <c r="F64" s="185" t="str">
        <f>if(isblank(K64),"",vlookup(K64,Pacing!$A$1:$H$213,6))</f>
        <v>Investigation</v>
      </c>
      <c r="G64" s="185" t="str">
        <f>if(isblank(L64),"",vlookup(L64,Pacing!$A$1:$H$213,6))</f>
        <v>Investigation</v>
      </c>
      <c r="H64" s="185" t="str">
        <f>if(isblank(M64),"",vlookup(M64,Pacing!$A$1:$H$213,6))</f>
        <v>Investigation</v>
      </c>
      <c r="I64" s="191">
        <f t="shared" ref="I64:M64" si="62">I63</f>
        <v>22</v>
      </c>
      <c r="J64" s="191">
        <f t="shared" si="62"/>
        <v>23</v>
      </c>
      <c r="K64" s="191">
        <f t="shared" si="62"/>
        <v>24</v>
      </c>
      <c r="L64" s="191">
        <f t="shared" si="62"/>
        <v>25</v>
      </c>
      <c r="M64" s="191">
        <f t="shared" si="62"/>
        <v>26</v>
      </c>
    </row>
    <row r="65" ht="15.75" hidden="1" customHeight="1">
      <c r="A65" s="178">
        <f>B65+7</f>
        <v>67</v>
      </c>
      <c r="B65" s="178">
        <f t="shared" si="57"/>
        <v>60</v>
      </c>
      <c r="C65" s="76"/>
      <c r="D65" s="185" t="str">
        <f>if(isblank(I65),"",vlookup(I65,Pacing!$A$1:$H$213,7))</f>
        <v>Activity</v>
      </c>
      <c r="E65" s="185" t="str">
        <f>if(isblank(J65),"",vlookup(J65,Pacing!$A$1:$H$213,7))</f>
        <v>Activity</v>
      </c>
      <c r="F65" s="185" t="str">
        <f>if(isblank(K65),"",vlookup(K65,Pacing!$A$1:$H$213,7))</f>
        <v>Activity</v>
      </c>
      <c r="G65" s="185" t="str">
        <f>if(isblank(L65),"",vlookup(L65,Pacing!$A$1:$H$213,7))</f>
        <v>Activity</v>
      </c>
      <c r="H65" s="185" t="str">
        <f>if(isblank(M65),"",vlookup(M65,Pacing!$A$1:$H$213,7))</f>
        <v>Activity</v>
      </c>
      <c r="I65" s="191">
        <f t="shared" ref="I65:M65" si="63">I64</f>
        <v>22</v>
      </c>
      <c r="J65" s="191">
        <f t="shared" si="63"/>
        <v>23</v>
      </c>
      <c r="K65" s="191">
        <f t="shared" si="63"/>
        <v>24</v>
      </c>
      <c r="L65" s="191">
        <f t="shared" si="63"/>
        <v>25</v>
      </c>
      <c r="M65" s="191">
        <f t="shared" si="63"/>
        <v>26</v>
      </c>
    </row>
    <row r="66" ht="15.75" hidden="1" customHeight="1">
      <c r="A66" s="178">
        <f>B66+8</f>
        <v>68</v>
      </c>
      <c r="B66" s="178">
        <f t="shared" si="57"/>
        <v>60</v>
      </c>
      <c r="C66" s="95"/>
      <c r="D66" s="185" t="str">
        <f>if(isblank(I66),"",vlookup(I66,Pacing!$A$1:$H$213,8))</f>
        <v>Practice Set</v>
      </c>
      <c r="E66" s="185" t="str">
        <f>if(isblank(J66),"",vlookup(J66,Pacing!$A$1:$H$213,8))</f>
        <v>Practice Set</v>
      </c>
      <c r="F66" s="185" t="str">
        <f>if(isblank(K66),"",vlookup(K66,Pacing!$A$1:$H$213,8))</f>
        <v>Practice Set</v>
      </c>
      <c r="G66" s="185" t="str">
        <f>if(isblank(L66),"",vlookup(L66,Pacing!$A$1:$H$213,8))</f>
        <v>Practice Set</v>
      </c>
      <c r="H66" s="185" t="str">
        <f>if(isblank(M66),"",vlookup(M66,Pacing!$A$1:$H$213,8))</f>
        <v>Practice Set</v>
      </c>
      <c r="I66" s="191">
        <f t="shared" ref="I66:M66" si="64">I65</f>
        <v>22</v>
      </c>
      <c r="J66" s="191">
        <f t="shared" si="64"/>
        <v>23</v>
      </c>
      <c r="K66" s="191">
        <f t="shared" si="64"/>
        <v>24</v>
      </c>
      <c r="L66" s="191">
        <f t="shared" si="64"/>
        <v>25</v>
      </c>
      <c r="M66" s="191">
        <f t="shared" si="64"/>
        <v>26</v>
      </c>
    </row>
    <row r="67" ht="15.75" customHeight="1">
      <c r="A67" s="194"/>
      <c r="B67" s="194"/>
      <c r="C67" s="195"/>
      <c r="D67" s="196" t="s">
        <v>148</v>
      </c>
      <c r="E67" s="196" t="s">
        <v>149</v>
      </c>
      <c r="F67" s="196" t="s">
        <v>150</v>
      </c>
      <c r="G67" s="196" t="s">
        <v>152</v>
      </c>
      <c r="H67" s="196" t="s">
        <v>153</v>
      </c>
      <c r="I67" s="197">
        <f>M58+1</f>
        <v>27</v>
      </c>
      <c r="J67" s="169">
        <f t="shared" ref="J67:M67" si="65">I67+1</f>
        <v>28</v>
      </c>
      <c r="K67" s="169">
        <f t="shared" si="65"/>
        <v>29</v>
      </c>
      <c r="L67" s="169">
        <f t="shared" si="65"/>
        <v>30</v>
      </c>
      <c r="M67" s="169">
        <f t="shared" si="65"/>
        <v>31</v>
      </c>
    </row>
    <row r="68" ht="15.75" hidden="1" customHeight="1">
      <c r="A68" s="178">
        <f>B68+1</f>
        <v>71</v>
      </c>
      <c r="B68" s="178">
        <f t="shared" ref="B68:B75" si="67">C$68*10</f>
        <v>70</v>
      </c>
      <c r="C68" s="198">
        <f>C59+1</f>
        <v>7</v>
      </c>
      <c r="D68" s="182">
        <f>D59+7</f>
        <v>45943</v>
      </c>
      <c r="E68" s="182">
        <f t="shared" ref="E68:H68" si="66">D68+1</f>
        <v>45944</v>
      </c>
      <c r="F68" s="182">
        <f t="shared" si="66"/>
        <v>45945</v>
      </c>
      <c r="G68" s="182">
        <f t="shared" si="66"/>
        <v>45946</v>
      </c>
      <c r="H68" s="182">
        <f t="shared" si="66"/>
        <v>45947</v>
      </c>
      <c r="I68" s="174" t="s">
        <v>42</v>
      </c>
    </row>
    <row r="69" ht="15.75" customHeight="1">
      <c r="A69" s="199">
        <f>B69+2</f>
        <v>72</v>
      </c>
      <c r="B69" s="199">
        <f t="shared" si="67"/>
        <v>70</v>
      </c>
      <c r="C69" s="76"/>
      <c r="D69" s="201" t="str">
        <f>if(isblank(I69),"",vlookup(I69,Pacing!$A$1:$H$213,2))</f>
        <v>2.3: Acceleration</v>
      </c>
      <c r="E69" s="201" t="str">
        <f>if(isblank(J69),"",vlookup(J69,Pacing!$A$1:$H$213,2))</f>
        <v>2.3: Acceleration</v>
      </c>
      <c r="F69" s="201" t="str">
        <f>if(isblank(K69),"",vlookup(K69,Pacing!$A$1:$H$213,2))</f>
        <v>2.3: Acceleration</v>
      </c>
      <c r="G69" s="201" t="str">
        <f>if(isblank(L69),"",vlookup(L69,Pacing!$A$1:$H$213,2))</f>
        <v>2.4: Free Fall</v>
      </c>
      <c r="H69" s="201" t="str">
        <f>if(isblank(M69),"",vlookup(M69,Pacing!$A$1:$H$213,2))</f>
        <v>2.4: Free Fall</v>
      </c>
      <c r="I69" s="202">
        <f t="shared" ref="I69:M69" si="68">I67</f>
        <v>27</v>
      </c>
      <c r="J69" s="202">
        <f t="shared" si="68"/>
        <v>28</v>
      </c>
      <c r="K69" s="202">
        <f t="shared" si="68"/>
        <v>29</v>
      </c>
      <c r="L69" s="202">
        <f t="shared" si="68"/>
        <v>30</v>
      </c>
      <c r="M69" s="202">
        <f t="shared" si="68"/>
        <v>31</v>
      </c>
    </row>
    <row r="70" ht="15.75" customHeight="1">
      <c r="A70" s="178">
        <f>B70+3</f>
        <v>73</v>
      </c>
      <c r="B70" s="178">
        <f t="shared" si="67"/>
        <v>70</v>
      </c>
      <c r="C70" s="76"/>
      <c r="D70" s="185" t="str">
        <f>if(isblank(I70),"",vlookup(I70,Pacing!$A$1:$H$213,3))</f>
        <v>Warm Up</v>
      </c>
      <c r="E70" s="185" t="str">
        <f>if(isblank(J70),"",vlookup(J70,Pacing!$A$1:$H$213,3))</f>
        <v>Warm Up</v>
      </c>
      <c r="F70" s="185" t="str">
        <f>if(isblank(K70),"",vlookup(K70,Pacing!$A$1:$H$213,3))</f>
        <v>Warm Up</v>
      </c>
      <c r="G70" s="185" t="str">
        <f>if(isblank(L70),"",vlookup(L70,Pacing!$A$1:$H$213,3))</f>
        <v>Warm Up</v>
      </c>
      <c r="H70" s="185" t="str">
        <f>if(isblank(M70),"",vlookup(M70,Pacing!$A$1:$H$213,3))</f>
        <v>Warm Up</v>
      </c>
      <c r="I70" s="191">
        <f t="shared" ref="I70:M70" si="69">I69</f>
        <v>27</v>
      </c>
      <c r="J70" s="191">
        <f t="shared" si="69"/>
        <v>28</v>
      </c>
      <c r="K70" s="191">
        <f t="shared" si="69"/>
        <v>29</v>
      </c>
      <c r="L70" s="191">
        <f t="shared" si="69"/>
        <v>30</v>
      </c>
      <c r="M70" s="191">
        <f t="shared" si="69"/>
        <v>31</v>
      </c>
    </row>
    <row r="71" ht="15.75" customHeight="1">
      <c r="A71" s="178">
        <f>B71+4</f>
        <v>74</v>
      </c>
      <c r="B71" s="178">
        <f t="shared" si="67"/>
        <v>70</v>
      </c>
      <c r="C71" s="76"/>
      <c r="D71" s="185" t="str">
        <f>if(isblank(I71),"",vlookup(I71,Pacing!$A$1:$H$213,4))</f>
        <v>Demo</v>
      </c>
      <c r="E71" s="185" t="str">
        <f>if(isblank(J71),"",vlookup(J71,Pacing!$A$1:$H$213,4))</f>
        <v>Demo</v>
      </c>
      <c r="F71" s="185" t="str">
        <f>if(isblank(K71),"",vlookup(K71,Pacing!$A$1:$H$213,4))</f>
        <v>Demo</v>
      </c>
      <c r="G71" s="185" t="str">
        <f>if(isblank(L71),"",vlookup(L71,Pacing!$A$1:$H$213,4))</f>
        <v>Demo</v>
      </c>
      <c r="H71" s="185" t="str">
        <f>if(isblank(M71),"",vlookup(M71,Pacing!$A$1:$H$213,4))</f>
        <v>Demo</v>
      </c>
      <c r="I71" s="191">
        <f t="shared" ref="I71:M71" si="70">I70</f>
        <v>27</v>
      </c>
      <c r="J71" s="191">
        <f t="shared" si="70"/>
        <v>28</v>
      </c>
      <c r="K71" s="191">
        <f t="shared" si="70"/>
        <v>29</v>
      </c>
      <c r="L71" s="191">
        <f t="shared" si="70"/>
        <v>30</v>
      </c>
      <c r="M71" s="191">
        <f t="shared" si="70"/>
        <v>31</v>
      </c>
    </row>
    <row r="72" ht="15.75" customHeight="1">
      <c r="A72" s="178">
        <f>B72+5</f>
        <v>75</v>
      </c>
      <c r="B72" s="178">
        <f t="shared" si="67"/>
        <v>70</v>
      </c>
      <c r="C72" s="76"/>
      <c r="D72" s="185" t="str">
        <f>if(isblank(I72),"",vlookup(I72,Pacing!$A$1:$H$213,5))</f>
        <v>Notes</v>
      </c>
      <c r="E72" s="185" t="str">
        <f>if(isblank(J72),"",vlookup(J72,Pacing!$A$1:$H$213,5))</f>
        <v>Notes</v>
      </c>
      <c r="F72" s="185" t="str">
        <f>if(isblank(K72),"",vlookup(K72,Pacing!$A$1:$H$213,5))</f>
        <v>Notes</v>
      </c>
      <c r="G72" s="185" t="str">
        <f>if(isblank(L72),"",vlookup(L72,Pacing!$A$1:$H$213,5))</f>
        <v>Notes</v>
      </c>
      <c r="H72" s="185" t="str">
        <f>if(isblank(M72),"",vlookup(M72,Pacing!$A$1:$H$213,5))</f>
        <v>Notes</v>
      </c>
      <c r="I72" s="191">
        <f t="shared" ref="I72:M72" si="71">I71</f>
        <v>27</v>
      </c>
      <c r="J72" s="191">
        <f t="shared" si="71"/>
        <v>28</v>
      </c>
      <c r="K72" s="191">
        <f t="shared" si="71"/>
        <v>29</v>
      </c>
      <c r="L72" s="191">
        <f t="shared" si="71"/>
        <v>30</v>
      </c>
      <c r="M72" s="191">
        <f t="shared" si="71"/>
        <v>31</v>
      </c>
    </row>
    <row r="73" ht="15.75" customHeight="1">
      <c r="A73" s="178">
        <f>B73+6</f>
        <v>76</v>
      </c>
      <c r="B73" s="178">
        <f t="shared" si="67"/>
        <v>70</v>
      </c>
      <c r="C73" s="76"/>
      <c r="D73" s="185" t="str">
        <f>if(isblank(I73),"",vlookup(I73,Pacing!$A$1:$H$213,6))</f>
        <v>Investigation</v>
      </c>
      <c r="E73" s="185" t="str">
        <f>if(isblank(J73),"",vlookup(J73,Pacing!$A$1:$H$213,6))</f>
        <v>Investigation</v>
      </c>
      <c r="F73" s="185" t="str">
        <f>if(isblank(K73),"",vlookup(K73,Pacing!$A$1:$H$213,6))</f>
        <v>Investigation</v>
      </c>
      <c r="G73" s="185" t="str">
        <f>if(isblank(L73),"",vlookup(L73,Pacing!$A$1:$H$213,6))</f>
        <v>Investigation</v>
      </c>
      <c r="H73" s="185" t="str">
        <f>if(isblank(M73),"",vlookup(M73,Pacing!$A$1:$H$213,6))</f>
        <v>Investigation</v>
      </c>
      <c r="I73" s="191">
        <f t="shared" ref="I73:M73" si="72">I72</f>
        <v>27</v>
      </c>
      <c r="J73" s="191">
        <f t="shared" si="72"/>
        <v>28</v>
      </c>
      <c r="K73" s="191">
        <f t="shared" si="72"/>
        <v>29</v>
      </c>
      <c r="L73" s="191">
        <f t="shared" si="72"/>
        <v>30</v>
      </c>
      <c r="M73" s="191">
        <f t="shared" si="72"/>
        <v>31</v>
      </c>
    </row>
    <row r="74" ht="15.75" hidden="1" customHeight="1">
      <c r="A74" s="178">
        <f>B74+7</f>
        <v>77</v>
      </c>
      <c r="B74" s="178">
        <f t="shared" si="67"/>
        <v>70</v>
      </c>
      <c r="C74" s="76"/>
      <c r="D74" s="185" t="str">
        <f>if(isblank(I74),"",vlookup(I74,Pacing!$A$1:$H$213,7))</f>
        <v>Activity</v>
      </c>
      <c r="E74" s="185" t="str">
        <f>if(isblank(J74),"",vlookup(J74,Pacing!$A$1:$H$213,7))</f>
        <v>Activity</v>
      </c>
      <c r="F74" s="185" t="str">
        <f>if(isblank(K74),"",vlookup(K74,Pacing!$A$1:$H$213,7))</f>
        <v>Activity</v>
      </c>
      <c r="G74" s="185" t="str">
        <f>if(isblank(L74),"",vlookup(L74,Pacing!$A$1:$H$213,7))</f>
        <v>Activity</v>
      </c>
      <c r="H74" s="185" t="str">
        <f>if(isblank(M74),"",vlookup(M74,Pacing!$A$1:$H$213,7))</f>
        <v>Activity</v>
      </c>
      <c r="I74" s="191">
        <f t="shared" ref="I74:M74" si="73">I73</f>
        <v>27</v>
      </c>
      <c r="J74" s="191">
        <f t="shared" si="73"/>
        <v>28</v>
      </c>
      <c r="K74" s="191">
        <f t="shared" si="73"/>
        <v>29</v>
      </c>
      <c r="L74" s="191">
        <f t="shared" si="73"/>
        <v>30</v>
      </c>
      <c r="M74" s="191">
        <f t="shared" si="73"/>
        <v>31</v>
      </c>
    </row>
    <row r="75" ht="15.75" hidden="1" customHeight="1">
      <c r="A75" s="178">
        <f>B75+8</f>
        <v>78</v>
      </c>
      <c r="B75" s="178">
        <f t="shared" si="67"/>
        <v>70</v>
      </c>
      <c r="C75" s="95"/>
      <c r="D75" s="185" t="str">
        <f>if(isblank(I75),"",vlookup(I75,Pacing!$A$1:$H$213,8))</f>
        <v>Practice Set</v>
      </c>
      <c r="E75" s="185" t="str">
        <f>if(isblank(J75),"",vlookup(J75,Pacing!$A$1:$H$213,8))</f>
        <v>Practice Set</v>
      </c>
      <c r="F75" s="185" t="str">
        <f>if(isblank(K75),"",vlookup(K75,Pacing!$A$1:$H$213,8))</f>
        <v>Practice Set</v>
      </c>
      <c r="G75" s="185" t="str">
        <f>if(isblank(L75),"",vlookup(L75,Pacing!$A$1:$H$213,8))</f>
        <v>Practice Set</v>
      </c>
      <c r="H75" s="185" t="str">
        <f>if(isblank(M75),"",vlookup(M75,Pacing!$A$1:$H$213,8))</f>
        <v>Practice Set</v>
      </c>
      <c r="I75" s="191">
        <f t="shared" ref="I75:M75" si="74">I74</f>
        <v>27</v>
      </c>
      <c r="J75" s="191">
        <f t="shared" si="74"/>
        <v>28</v>
      </c>
      <c r="K75" s="191">
        <f t="shared" si="74"/>
        <v>29</v>
      </c>
      <c r="L75" s="191">
        <f t="shared" si="74"/>
        <v>30</v>
      </c>
      <c r="M75" s="191">
        <f t="shared" si="74"/>
        <v>31</v>
      </c>
    </row>
    <row r="76" ht="15.75" customHeight="1">
      <c r="A76" s="194"/>
      <c r="B76" s="194"/>
      <c r="C76" s="195"/>
      <c r="D76" s="196" t="s">
        <v>156</v>
      </c>
      <c r="E76" s="196" t="s">
        <v>157</v>
      </c>
      <c r="F76" s="196" t="s">
        <v>158</v>
      </c>
      <c r="G76" s="196" t="s">
        <v>159</v>
      </c>
      <c r="H76" s="196" t="s">
        <v>160</v>
      </c>
      <c r="I76" s="197">
        <f>M67+1</f>
        <v>32</v>
      </c>
      <c r="J76" s="169">
        <f t="shared" ref="J76:M76" si="75">I76+1</f>
        <v>33</v>
      </c>
      <c r="K76" s="169">
        <f t="shared" si="75"/>
        <v>34</v>
      </c>
      <c r="L76" s="169">
        <f t="shared" si="75"/>
        <v>35</v>
      </c>
      <c r="M76" s="169">
        <f t="shared" si="75"/>
        <v>36</v>
      </c>
    </row>
    <row r="77" ht="15.75" hidden="1" customHeight="1">
      <c r="A77" s="178">
        <f>B77+1</f>
        <v>81</v>
      </c>
      <c r="B77" s="178">
        <f t="shared" ref="B77:B84" si="77">C$77*10</f>
        <v>80</v>
      </c>
      <c r="C77" s="198">
        <f>C68+1</f>
        <v>8</v>
      </c>
      <c r="D77" s="182">
        <f>D68+7</f>
        <v>45950</v>
      </c>
      <c r="E77" s="182">
        <f t="shared" ref="E77:H77" si="76">D77+1</f>
        <v>45951</v>
      </c>
      <c r="F77" s="182">
        <f t="shared" si="76"/>
        <v>45952</v>
      </c>
      <c r="G77" s="182">
        <f t="shared" si="76"/>
        <v>45953</v>
      </c>
      <c r="H77" s="182">
        <f t="shared" si="76"/>
        <v>45954</v>
      </c>
      <c r="I77" s="174" t="s">
        <v>42</v>
      </c>
    </row>
    <row r="78" ht="15.75" customHeight="1">
      <c r="A78" s="199">
        <f>B78+2</f>
        <v>82</v>
      </c>
      <c r="B78" s="199">
        <f t="shared" si="77"/>
        <v>80</v>
      </c>
      <c r="C78" s="76"/>
      <c r="D78" s="201" t="str">
        <f>if(isblank(I78),"",vlookup(I78,Pacing!$A$1:$H$213,2))</f>
        <v>2.4: Free Fall</v>
      </c>
      <c r="E78" s="201" t="str">
        <f>if(isblank(J78),"",vlookup(J78,Pacing!$A$1:$H$213,2))</f>
        <v>2.5: Vel Vectors</v>
      </c>
      <c r="F78" s="201" t="str">
        <f>if(isblank(K78),"",vlookup(K78,Pacing!$A$1:$H$213,2))</f>
        <v>2.5: Vel Vectors</v>
      </c>
      <c r="G78" s="201" t="str">
        <f>if(isblank(L78),"",vlookup(L78,Pacing!$A$1:$H$213,2))</f>
        <v>2.5: Vel Vectors</v>
      </c>
      <c r="H78" s="201" t="str">
        <f>if(isblank(M78),"",vlookup(M78,Pacing!$A$1:$H$213,2))</f>
        <v>Unit 2 Sum Ass</v>
      </c>
      <c r="I78" s="202">
        <f t="shared" ref="I78:M78" si="78">I76</f>
        <v>32</v>
      </c>
      <c r="J78" s="202">
        <f t="shared" si="78"/>
        <v>33</v>
      </c>
      <c r="K78" s="202">
        <f t="shared" si="78"/>
        <v>34</v>
      </c>
      <c r="L78" s="202">
        <f t="shared" si="78"/>
        <v>35</v>
      </c>
      <c r="M78" s="202">
        <f t="shared" si="78"/>
        <v>36</v>
      </c>
    </row>
    <row r="79" ht="15.75" customHeight="1">
      <c r="A79" s="178">
        <f>B79+3</f>
        <v>83</v>
      </c>
      <c r="B79" s="178">
        <f t="shared" si="77"/>
        <v>80</v>
      </c>
      <c r="C79" s="76"/>
      <c r="D79" s="185" t="str">
        <f>if(isblank(I79),"",vlookup(I79,Pacing!$A$1:$H$213,3))</f>
        <v>Warm Up</v>
      </c>
      <c r="E79" s="185" t="str">
        <f>if(isblank(J79),"",vlookup(J79,Pacing!$A$1:$H$213,3))</f>
        <v>Warm Up</v>
      </c>
      <c r="F79" s="185" t="str">
        <f>if(isblank(K79),"",vlookup(K79,Pacing!$A$1:$H$213,3))</f>
        <v>Warm Up</v>
      </c>
      <c r="G79" s="185" t="str">
        <f>if(isblank(L79),"",vlookup(L79,Pacing!$A$1:$H$213,3))</f>
        <v>Warm Up</v>
      </c>
      <c r="H79" s="193" t="str">
        <f>if(isblank(M79),"",vlookup(M79,Pacing!$A$1:$H$213,3))</f>
        <v/>
      </c>
      <c r="I79" s="191">
        <f t="shared" ref="I79:M79" si="79">I78</f>
        <v>32</v>
      </c>
      <c r="J79" s="191">
        <f t="shared" si="79"/>
        <v>33</v>
      </c>
      <c r="K79" s="191">
        <f t="shared" si="79"/>
        <v>34</v>
      </c>
      <c r="L79" s="191">
        <f t="shared" si="79"/>
        <v>35</v>
      </c>
      <c r="M79" s="191">
        <f t="shared" si="79"/>
        <v>36</v>
      </c>
    </row>
    <row r="80" ht="15.75" customHeight="1">
      <c r="A80" s="178">
        <f>B80+4</f>
        <v>84</v>
      </c>
      <c r="B80" s="178">
        <f t="shared" si="77"/>
        <v>80</v>
      </c>
      <c r="C80" s="76"/>
      <c r="D80" s="185" t="str">
        <f>if(isblank(I80),"",vlookup(I80,Pacing!$A$1:$H$213,4))</f>
        <v>Demo</v>
      </c>
      <c r="E80" s="185" t="str">
        <f>if(isblank(J80),"",vlookup(J80,Pacing!$A$1:$H$213,4))</f>
        <v>Demo</v>
      </c>
      <c r="F80" s="185" t="str">
        <f>if(isblank(K80),"",vlookup(K80,Pacing!$A$1:$H$213,4))</f>
        <v>Demo</v>
      </c>
      <c r="G80" s="185" t="str">
        <f>if(isblank(L80),"",vlookup(L80,Pacing!$A$1:$H$213,4))</f>
        <v>Demo</v>
      </c>
      <c r="H80" s="193" t="str">
        <f>if(isblank(M80),"",vlookup(M80,Pacing!$A$1:$H$213,4))</f>
        <v/>
      </c>
      <c r="I80" s="191">
        <f t="shared" ref="I80:M80" si="80">I79</f>
        <v>32</v>
      </c>
      <c r="J80" s="191">
        <f t="shared" si="80"/>
        <v>33</v>
      </c>
      <c r="K80" s="191">
        <f t="shared" si="80"/>
        <v>34</v>
      </c>
      <c r="L80" s="191">
        <f t="shared" si="80"/>
        <v>35</v>
      </c>
      <c r="M80" s="191">
        <f t="shared" si="80"/>
        <v>36</v>
      </c>
    </row>
    <row r="81" ht="15.75" customHeight="1">
      <c r="A81" s="178">
        <f>B81+5</f>
        <v>85</v>
      </c>
      <c r="B81" s="178">
        <f t="shared" si="77"/>
        <v>80</v>
      </c>
      <c r="C81" s="76"/>
      <c r="D81" s="185" t="str">
        <f>if(isblank(I81),"",vlookup(I81,Pacing!$A$1:$H$213,5))</f>
        <v>Notes</v>
      </c>
      <c r="E81" s="185" t="str">
        <f>if(isblank(J81),"",vlookup(J81,Pacing!$A$1:$H$213,5))</f>
        <v>Notes</v>
      </c>
      <c r="F81" s="185" t="str">
        <f>if(isblank(K81),"",vlookup(K81,Pacing!$A$1:$H$213,5))</f>
        <v>Notes</v>
      </c>
      <c r="G81" s="185" t="str">
        <f>if(isblank(L81),"",vlookup(L81,Pacing!$A$1:$H$213,5))</f>
        <v>Notes</v>
      </c>
      <c r="H81" s="193" t="str">
        <f>if(isblank(M81),"",vlookup(M81,Pacing!$A$1:$H$213,5))</f>
        <v/>
      </c>
      <c r="I81" s="191">
        <f t="shared" ref="I81:M81" si="81">I80</f>
        <v>32</v>
      </c>
      <c r="J81" s="191">
        <f t="shared" si="81"/>
        <v>33</v>
      </c>
      <c r="K81" s="191">
        <f t="shared" si="81"/>
        <v>34</v>
      </c>
      <c r="L81" s="191">
        <f t="shared" si="81"/>
        <v>35</v>
      </c>
      <c r="M81" s="191">
        <f t="shared" si="81"/>
        <v>36</v>
      </c>
    </row>
    <row r="82" ht="15.75" customHeight="1">
      <c r="A82" s="178">
        <f>B82+6</f>
        <v>86</v>
      </c>
      <c r="B82" s="178">
        <f t="shared" si="77"/>
        <v>80</v>
      </c>
      <c r="C82" s="76"/>
      <c r="D82" s="185" t="str">
        <f>if(isblank(I82),"",vlookup(I82,Pacing!$A$1:$H$213,6))</f>
        <v>Investigation</v>
      </c>
      <c r="E82" s="185" t="str">
        <f>if(isblank(J82),"",vlookup(J82,Pacing!$A$1:$H$213,6))</f>
        <v>Investigation</v>
      </c>
      <c r="F82" s="185" t="str">
        <f>if(isblank(K82),"",vlookup(K82,Pacing!$A$1:$H$213,6))</f>
        <v>Investigation</v>
      </c>
      <c r="G82" s="185" t="str">
        <f>if(isblank(L82),"",vlookup(L82,Pacing!$A$1:$H$213,6))</f>
        <v>Investigation</v>
      </c>
      <c r="H82" s="193" t="str">
        <f>if(isblank(M82),"",vlookup(M82,Pacing!$A$1:$H$213,6))</f>
        <v/>
      </c>
      <c r="I82" s="191">
        <f t="shared" ref="I82:M82" si="82">I81</f>
        <v>32</v>
      </c>
      <c r="J82" s="191">
        <f t="shared" si="82"/>
        <v>33</v>
      </c>
      <c r="K82" s="191">
        <f t="shared" si="82"/>
        <v>34</v>
      </c>
      <c r="L82" s="191">
        <f t="shared" si="82"/>
        <v>35</v>
      </c>
      <c r="M82" s="191">
        <f t="shared" si="82"/>
        <v>36</v>
      </c>
    </row>
    <row r="83" ht="15.75" hidden="1" customHeight="1">
      <c r="A83" s="178">
        <f>B83+7</f>
        <v>87</v>
      </c>
      <c r="B83" s="178">
        <f t="shared" si="77"/>
        <v>80</v>
      </c>
      <c r="C83" s="76"/>
      <c r="D83" s="185" t="str">
        <f>if(isblank(I83),"",vlookup(I83,Pacing!$A$1:$H$213,7))</f>
        <v>Activity</v>
      </c>
      <c r="E83" s="185" t="str">
        <f>if(isblank(J83),"",vlookup(J83,Pacing!$A$1:$H$213,7))</f>
        <v>Activity</v>
      </c>
      <c r="F83" s="185" t="str">
        <f>if(isblank(K83),"",vlookup(K83,Pacing!$A$1:$H$213,7))</f>
        <v>Activity</v>
      </c>
      <c r="G83" s="185" t="str">
        <f>if(isblank(L83),"",vlookup(L83,Pacing!$A$1:$H$213,7))</f>
        <v>Activity</v>
      </c>
      <c r="H83" s="193" t="str">
        <f>if(isblank(M83),"",vlookup(M83,Pacing!$A$1:$H$213,7))</f>
        <v/>
      </c>
      <c r="I83" s="191">
        <f t="shared" ref="I83:M83" si="83">I82</f>
        <v>32</v>
      </c>
      <c r="J83" s="191">
        <f t="shared" si="83"/>
        <v>33</v>
      </c>
      <c r="K83" s="191">
        <f t="shared" si="83"/>
        <v>34</v>
      </c>
      <c r="L83" s="191">
        <f t="shared" si="83"/>
        <v>35</v>
      </c>
      <c r="M83" s="191">
        <f t="shared" si="83"/>
        <v>36</v>
      </c>
    </row>
    <row r="84" ht="15.75" hidden="1" customHeight="1">
      <c r="A84" s="178">
        <f>B84+8</f>
        <v>88</v>
      </c>
      <c r="B84" s="178">
        <f t="shared" si="77"/>
        <v>80</v>
      </c>
      <c r="C84" s="95"/>
      <c r="D84" s="185" t="str">
        <f>if(isblank(I84),"",vlookup(I84,Pacing!$A$1:$H$213,8))</f>
        <v>Practice Set</v>
      </c>
      <c r="E84" s="185" t="str">
        <f>if(isblank(J84),"",vlookup(J84,Pacing!$A$1:$H$213,8))</f>
        <v>Practice Set</v>
      </c>
      <c r="F84" s="185" t="str">
        <f>if(isblank(K84),"",vlookup(K84,Pacing!$A$1:$H$213,8))</f>
        <v>Practice Set</v>
      </c>
      <c r="G84" s="185" t="str">
        <f>if(isblank(L84),"",vlookup(L84,Pacing!$A$1:$H$213,8))</f>
        <v>Practice Set</v>
      </c>
      <c r="H84" s="193" t="str">
        <f>if(isblank(M84),"",vlookup(M84,Pacing!$A$1:$H$213,8))</f>
        <v/>
      </c>
      <c r="I84" s="191">
        <f t="shared" ref="I84:M84" si="84">I83</f>
        <v>32</v>
      </c>
      <c r="J84" s="191">
        <f t="shared" si="84"/>
        <v>33</v>
      </c>
      <c r="K84" s="191">
        <f t="shared" si="84"/>
        <v>34</v>
      </c>
      <c r="L84" s="191">
        <f t="shared" si="84"/>
        <v>35</v>
      </c>
      <c r="M84" s="191">
        <f t="shared" si="84"/>
        <v>36</v>
      </c>
    </row>
    <row r="85" ht="15.75" customHeight="1">
      <c r="A85" s="194"/>
      <c r="B85" s="194"/>
      <c r="C85" s="195"/>
      <c r="D85" s="196" t="s">
        <v>164</v>
      </c>
      <c r="E85" s="196" t="s">
        <v>165</v>
      </c>
      <c r="F85" s="196" t="s">
        <v>166</v>
      </c>
      <c r="G85" s="196" t="s">
        <v>167</v>
      </c>
      <c r="H85" s="196" t="s">
        <v>168</v>
      </c>
      <c r="I85" s="197">
        <f>M76+1</f>
        <v>37</v>
      </c>
      <c r="J85" s="169"/>
      <c r="K85" s="169"/>
      <c r="L85" s="169"/>
      <c r="M85" s="169"/>
    </row>
    <row r="86" ht="15.75" hidden="1" customHeight="1">
      <c r="A86" s="178">
        <f>B86+1</f>
        <v>91</v>
      </c>
      <c r="B86" s="178">
        <f>C$86*10</f>
        <v>90</v>
      </c>
      <c r="C86" s="198">
        <f>C77+1</f>
        <v>9</v>
      </c>
      <c r="D86" s="182">
        <f>D77+7</f>
        <v>45957</v>
      </c>
      <c r="E86" s="182">
        <f t="shared" ref="E86:H86" si="85">D86+1</f>
        <v>45958</v>
      </c>
      <c r="F86" s="182">
        <f t="shared" si="85"/>
        <v>45959</v>
      </c>
      <c r="G86" s="182">
        <f t="shared" si="85"/>
        <v>45960</v>
      </c>
      <c r="H86" s="182">
        <f t="shared" si="85"/>
        <v>45961</v>
      </c>
      <c r="I86" s="174" t="s">
        <v>42</v>
      </c>
    </row>
    <row r="87" ht="15.75" customHeight="1">
      <c r="A87" s="199">
        <f>B87+2</f>
        <v>92</v>
      </c>
      <c r="B87" s="199">
        <f t="shared" ref="B87:B93" si="87">B86</f>
        <v>90</v>
      </c>
      <c r="C87" s="76"/>
      <c r="D87" s="201" t="str">
        <f>if(isblank(I87),"",vlookup(I87,Pacing!$A$1:$H$213,2))</f>
        <v>3.1: Force &amp; Accel</v>
      </c>
      <c r="E87" s="201" t="str">
        <f>if(isblank(J87),"",vlookup(J87,Pacing!$A$1:$H$213,2))</f>
        <v/>
      </c>
      <c r="F87" s="201" t="str">
        <f>if(isblank(K87),"",vlookup(K87,Pacing!$A$1:$H$213,2))</f>
        <v/>
      </c>
      <c r="G87" s="201" t="str">
        <f>if(isblank(L87),"",vlookup(L87,Pacing!$A$1:$H$213,2))</f>
        <v/>
      </c>
      <c r="H87" s="201" t="str">
        <f>if(isblank(M87),"",vlookup(M87,Pacing!$A$1:$H$213,2))</f>
        <v/>
      </c>
      <c r="I87" s="202">
        <f t="shared" ref="I87:M87" si="86">I85</f>
        <v>37</v>
      </c>
      <c r="J87" s="202" t="str">
        <f t="shared" si="86"/>
        <v/>
      </c>
      <c r="K87" s="202" t="str">
        <f t="shared" si="86"/>
        <v/>
      </c>
      <c r="L87" s="202" t="str">
        <f t="shared" si="86"/>
        <v/>
      </c>
      <c r="M87" s="202" t="str">
        <f t="shared" si="86"/>
        <v/>
      </c>
    </row>
    <row r="88" ht="15.75" customHeight="1">
      <c r="A88" s="178">
        <f>B88+3</f>
        <v>93</v>
      </c>
      <c r="B88" s="178">
        <f t="shared" si="87"/>
        <v>90</v>
      </c>
      <c r="C88" s="76"/>
      <c r="D88" s="185" t="str">
        <f>if(isblank(I88),"",vlookup(I88,Pacing!$A$1:$H$213,3))</f>
        <v>Warm Up</v>
      </c>
      <c r="E88" s="193" t="str">
        <f>if(isblank(J88),"",vlookup(J88,Pacing!$A$1:$H$213,3))</f>
        <v/>
      </c>
      <c r="F88" s="193" t="str">
        <f>if(isblank(K88),"",vlookup(K88,Pacing!$A$1:$H$213,3))</f>
        <v/>
      </c>
      <c r="G88" s="193" t="str">
        <f>if(isblank(L88),"",vlookup(L88,Pacing!$A$1:$H$213,3))</f>
        <v/>
      </c>
      <c r="H88" s="193" t="str">
        <f>if(isblank(M88),"",vlookup(M88,Pacing!$A$1:$H$213,3))</f>
        <v/>
      </c>
      <c r="I88" s="191">
        <f t="shared" ref="I88:M88" si="88">I87</f>
        <v>37</v>
      </c>
      <c r="J88" s="191" t="str">
        <f t="shared" si="88"/>
        <v/>
      </c>
      <c r="K88" s="191" t="str">
        <f t="shared" si="88"/>
        <v/>
      </c>
      <c r="L88" s="191" t="str">
        <f t="shared" si="88"/>
        <v/>
      </c>
      <c r="M88" s="191" t="str">
        <f t="shared" si="88"/>
        <v/>
      </c>
    </row>
    <row r="89" ht="15.75" customHeight="1">
      <c r="A89" s="178">
        <f>B89+4</f>
        <v>94</v>
      </c>
      <c r="B89" s="178">
        <f t="shared" si="87"/>
        <v>90</v>
      </c>
      <c r="C89" s="76"/>
      <c r="D89" s="185" t="str">
        <f>if(isblank(I89),"",vlookup(I89,Pacing!$A$1:$H$213,4))</f>
        <v>Demo</v>
      </c>
      <c r="E89" s="193" t="str">
        <f>if(isblank(J89),"",vlookup(J89,Pacing!$A$1:$H$213,4))</f>
        <v/>
      </c>
      <c r="F89" s="193" t="str">
        <f>if(isblank(K89),"",vlookup(K89,Pacing!$A$1:$H$213,4))</f>
        <v/>
      </c>
      <c r="G89" s="193" t="str">
        <f>if(isblank(L89),"",vlookup(L89,Pacing!$A$1:$H$213,4))</f>
        <v/>
      </c>
      <c r="H89" s="193" t="str">
        <f>if(isblank(M89),"",vlookup(M89,Pacing!$A$1:$H$213,4))</f>
        <v/>
      </c>
      <c r="I89" s="191">
        <f t="shared" ref="I89:M89" si="89">I88</f>
        <v>37</v>
      </c>
      <c r="J89" s="191" t="str">
        <f t="shared" si="89"/>
        <v/>
      </c>
      <c r="K89" s="191" t="str">
        <f t="shared" si="89"/>
        <v/>
      </c>
      <c r="L89" s="191" t="str">
        <f t="shared" si="89"/>
        <v/>
      </c>
      <c r="M89" s="191" t="str">
        <f t="shared" si="89"/>
        <v/>
      </c>
    </row>
    <row r="90" ht="15.75" customHeight="1">
      <c r="A90" s="178">
        <f>B90+5</f>
        <v>95</v>
      </c>
      <c r="B90" s="178">
        <f t="shared" si="87"/>
        <v>90</v>
      </c>
      <c r="C90" s="76"/>
      <c r="D90" s="185" t="str">
        <f>if(isblank(I90),"",vlookup(I90,Pacing!$A$1:$H$213,5))</f>
        <v>Notes</v>
      </c>
      <c r="E90" s="193" t="str">
        <f>if(isblank(J90),"",vlookup(J90,Pacing!$A$1:$H$213,5))</f>
        <v/>
      </c>
      <c r="F90" s="193" t="str">
        <f>if(isblank(K90),"",vlookup(K90,Pacing!$A$1:$H$213,5))</f>
        <v/>
      </c>
      <c r="G90" s="193" t="str">
        <f>if(isblank(L90),"",vlookup(L90,Pacing!$A$1:$H$213,5))</f>
        <v/>
      </c>
      <c r="H90" s="193" t="str">
        <f>if(isblank(M90),"",vlookup(M90,Pacing!$A$1:$H$213,5))</f>
        <v/>
      </c>
      <c r="I90" s="191">
        <f t="shared" ref="I90:M90" si="90">I89</f>
        <v>37</v>
      </c>
      <c r="J90" s="191" t="str">
        <f t="shared" si="90"/>
        <v/>
      </c>
      <c r="K90" s="191" t="str">
        <f t="shared" si="90"/>
        <v/>
      </c>
      <c r="L90" s="191" t="str">
        <f t="shared" si="90"/>
        <v/>
      </c>
      <c r="M90" s="191" t="str">
        <f t="shared" si="90"/>
        <v/>
      </c>
    </row>
    <row r="91" ht="15.75" customHeight="1">
      <c r="A91" s="178">
        <f>B91+6</f>
        <v>96</v>
      </c>
      <c r="B91" s="178">
        <f t="shared" si="87"/>
        <v>90</v>
      </c>
      <c r="C91" s="76"/>
      <c r="D91" s="185" t="str">
        <f>if(isblank(I91),"",vlookup(I91,Pacing!$A$1:$H$213,6))</f>
        <v>Investigation</v>
      </c>
      <c r="E91" s="193" t="str">
        <f>if(isblank(J91),"",vlookup(J91,Pacing!$A$1:$H$213,6))</f>
        <v/>
      </c>
      <c r="F91" s="193" t="str">
        <f>if(isblank(K91),"",vlookup(K91,Pacing!$A$1:$H$213,6))</f>
        <v/>
      </c>
      <c r="G91" s="193" t="str">
        <f>if(isblank(L91),"",vlookup(L91,Pacing!$A$1:$H$213,6))</f>
        <v/>
      </c>
      <c r="H91" s="193" t="str">
        <f>if(isblank(M91),"",vlookup(M91,Pacing!$A$1:$H$213,6))</f>
        <v/>
      </c>
      <c r="I91" s="191">
        <f t="shared" ref="I91:M91" si="91">I90</f>
        <v>37</v>
      </c>
      <c r="J91" s="191" t="str">
        <f t="shared" si="91"/>
        <v/>
      </c>
      <c r="K91" s="191" t="str">
        <f t="shared" si="91"/>
        <v/>
      </c>
      <c r="L91" s="191" t="str">
        <f t="shared" si="91"/>
        <v/>
      </c>
      <c r="M91" s="191" t="str">
        <f t="shared" si="91"/>
        <v/>
      </c>
    </row>
    <row r="92" ht="15.75" hidden="1" customHeight="1">
      <c r="A92" s="178">
        <f>B92+7</f>
        <v>97</v>
      </c>
      <c r="B92" s="178">
        <f t="shared" si="87"/>
        <v>90</v>
      </c>
      <c r="C92" s="76"/>
      <c r="D92" s="185" t="str">
        <f>if(isblank(I92),"",vlookup(I92,Pacing!$A$1:$H$213,7))</f>
        <v>Activity</v>
      </c>
      <c r="E92" s="193" t="str">
        <f>if(isblank(J92),"",vlookup(J92,Pacing!$A$1:$H$213,7))</f>
        <v/>
      </c>
      <c r="F92" s="193" t="str">
        <f>if(isblank(K92),"",vlookup(K92,Pacing!$A$1:$H$213,7))</f>
        <v/>
      </c>
      <c r="G92" s="193" t="str">
        <f>if(isblank(L92),"",vlookup(L92,Pacing!$A$1:$H$213,7))</f>
        <v/>
      </c>
      <c r="H92" s="193" t="str">
        <f>if(isblank(M92),"",vlookup(M92,Pacing!$A$1:$H$213,7))</f>
        <v/>
      </c>
      <c r="I92" s="191">
        <f t="shared" ref="I92:M92" si="92">I91</f>
        <v>37</v>
      </c>
      <c r="J92" s="191" t="str">
        <f t="shared" si="92"/>
        <v/>
      </c>
      <c r="K92" s="191" t="str">
        <f t="shared" si="92"/>
        <v/>
      </c>
      <c r="L92" s="191" t="str">
        <f t="shared" si="92"/>
        <v/>
      </c>
      <c r="M92" s="191" t="str">
        <f t="shared" si="92"/>
        <v/>
      </c>
    </row>
    <row r="93" ht="15.75" hidden="1" customHeight="1">
      <c r="A93" s="178">
        <f>B93+8</f>
        <v>98</v>
      </c>
      <c r="B93" s="178">
        <f t="shared" si="87"/>
        <v>90</v>
      </c>
      <c r="C93" s="95"/>
      <c r="D93" s="185" t="str">
        <f>if(isblank(I93),"",vlookup(I93,Pacing!$A$1:$H$213,8))</f>
        <v>Practice Set</v>
      </c>
      <c r="E93" s="193" t="str">
        <f>if(isblank(J93),"",vlookup(J93,Pacing!$A$1:$H$213,8))</f>
        <v/>
      </c>
      <c r="F93" s="193" t="str">
        <f>if(isblank(K93),"",vlookup(K93,Pacing!$A$1:$H$213,8))</f>
        <v/>
      </c>
      <c r="G93" s="193" t="str">
        <f>if(isblank(L93),"",vlookup(L93,Pacing!$A$1:$H$213,8))</f>
        <v/>
      </c>
      <c r="H93" s="193" t="str">
        <f>if(isblank(M93),"",vlookup(M93,Pacing!$A$1:$H$213,8))</f>
        <v/>
      </c>
      <c r="I93" s="191">
        <f t="shared" ref="I93:M93" si="93">I92</f>
        <v>37</v>
      </c>
      <c r="J93" s="191" t="str">
        <f t="shared" si="93"/>
        <v/>
      </c>
      <c r="K93" s="191" t="str">
        <f t="shared" si="93"/>
        <v/>
      </c>
      <c r="L93" s="191" t="str">
        <f t="shared" si="93"/>
        <v/>
      </c>
      <c r="M93" s="191" t="str">
        <f t="shared" si="93"/>
        <v/>
      </c>
    </row>
    <row r="94" ht="15.75" customHeight="1">
      <c r="A94" s="194"/>
      <c r="B94" s="194"/>
      <c r="C94" s="195"/>
      <c r="D94" s="196" t="s">
        <v>142</v>
      </c>
      <c r="E94" s="196" t="s">
        <v>143</v>
      </c>
      <c r="F94" s="196" t="s">
        <v>144</v>
      </c>
      <c r="G94" s="196" t="s">
        <v>145</v>
      </c>
      <c r="H94" s="196" t="s">
        <v>146</v>
      </c>
      <c r="I94" s="197">
        <v>38.0</v>
      </c>
      <c r="J94" s="169">
        <f t="shared" ref="J94:M94" si="94">I94+1</f>
        <v>39</v>
      </c>
      <c r="K94" s="169">
        <f t="shared" si="94"/>
        <v>40</v>
      </c>
      <c r="L94" s="169">
        <f t="shared" si="94"/>
        <v>41</v>
      </c>
      <c r="M94" s="169">
        <f t="shared" si="94"/>
        <v>42</v>
      </c>
    </row>
    <row r="95" ht="15.75" hidden="1" customHeight="1">
      <c r="A95" s="178">
        <f>B95+1</f>
        <v>101</v>
      </c>
      <c r="B95" s="178">
        <f>C$95*10</f>
        <v>100</v>
      </c>
      <c r="C95" s="198">
        <f>C86+1</f>
        <v>10</v>
      </c>
      <c r="D95" s="182">
        <f>D86+7</f>
        <v>45964</v>
      </c>
      <c r="E95" s="182">
        <f t="shared" ref="E95:H95" si="95">D95+1</f>
        <v>45965</v>
      </c>
      <c r="F95" s="182">
        <f t="shared" si="95"/>
        <v>45966</v>
      </c>
      <c r="G95" s="182">
        <f t="shared" si="95"/>
        <v>45967</v>
      </c>
      <c r="H95" s="182">
        <f t="shared" si="95"/>
        <v>45968</v>
      </c>
      <c r="I95" s="174" t="s">
        <v>42</v>
      </c>
    </row>
    <row r="96" ht="15.75" customHeight="1">
      <c r="A96" s="199">
        <f>B96+2</f>
        <v>102</v>
      </c>
      <c r="B96" s="199">
        <f t="shared" ref="B96:B102" si="97">B95</f>
        <v>100</v>
      </c>
      <c r="C96" s="76"/>
      <c r="D96" s="201" t="str">
        <f>if(isblank(I96),"",vlookup(I96,Pacing!$A$1:$H$213,2))</f>
        <v>3.1: Force &amp; Accel</v>
      </c>
      <c r="E96" s="201" t="str">
        <f>if(isblank(J96),"",vlookup(J96,Pacing!$A$1:$H$213,2))</f>
        <v>3.1: Force &amp; Accel</v>
      </c>
      <c r="F96" s="201" t="str">
        <f>if(isblank(K96),"",vlookup(K96,Pacing!$A$1:$H$213,2))</f>
        <v>3.2: Friction</v>
      </c>
      <c r="G96" s="201" t="str">
        <f>if(isblank(L96),"",vlookup(L96,Pacing!$A$1:$H$213,2))</f>
        <v>3.2: Friction</v>
      </c>
      <c r="H96" s="201" t="str">
        <f>if(isblank(M96),"",vlookup(M96,Pacing!$A$1:$H$213,2))</f>
        <v>3.2: Friction</v>
      </c>
      <c r="I96" s="202">
        <f t="shared" ref="I96:M96" si="96">I94</f>
        <v>38</v>
      </c>
      <c r="J96" s="202">
        <f t="shared" si="96"/>
        <v>39</v>
      </c>
      <c r="K96" s="202">
        <f t="shared" si="96"/>
        <v>40</v>
      </c>
      <c r="L96" s="202">
        <f t="shared" si="96"/>
        <v>41</v>
      </c>
      <c r="M96" s="202">
        <f t="shared" si="96"/>
        <v>42</v>
      </c>
    </row>
    <row r="97" ht="15.75" customHeight="1">
      <c r="A97" s="178">
        <f>B97+3</f>
        <v>103</v>
      </c>
      <c r="B97" s="178">
        <f t="shared" si="97"/>
        <v>100</v>
      </c>
      <c r="C97" s="76"/>
      <c r="D97" s="185" t="str">
        <f>if(isblank(I97),"",vlookup(I97,Pacing!$A$1:$H$213,3))</f>
        <v>Warm Up</v>
      </c>
      <c r="E97" s="185" t="str">
        <f>if(isblank(J97),"",vlookup(J97,Pacing!$A$1:$H$213,3))</f>
        <v>Warm Up</v>
      </c>
      <c r="F97" s="185" t="str">
        <f>if(isblank(K97),"",vlookup(K97,Pacing!$A$1:$H$213,3))</f>
        <v>Warm Up</v>
      </c>
      <c r="G97" s="185" t="str">
        <f>if(isblank(L97),"",vlookup(L97,Pacing!$A$1:$H$213,3))</f>
        <v>Warm Up</v>
      </c>
      <c r="H97" s="185" t="str">
        <f>if(isblank(M97),"",vlookup(M97,Pacing!$A$1:$H$213,3))</f>
        <v>Warm Up</v>
      </c>
      <c r="I97" s="191">
        <f t="shared" ref="I97:M97" si="98">I96</f>
        <v>38</v>
      </c>
      <c r="J97" s="191">
        <f t="shared" si="98"/>
        <v>39</v>
      </c>
      <c r="K97" s="191">
        <f t="shared" si="98"/>
        <v>40</v>
      </c>
      <c r="L97" s="191">
        <f t="shared" si="98"/>
        <v>41</v>
      </c>
      <c r="M97" s="191">
        <f t="shared" si="98"/>
        <v>42</v>
      </c>
    </row>
    <row r="98" ht="15.75" customHeight="1">
      <c r="A98" s="178">
        <f>B98+4</f>
        <v>104</v>
      </c>
      <c r="B98" s="178">
        <f t="shared" si="97"/>
        <v>100</v>
      </c>
      <c r="C98" s="76"/>
      <c r="D98" s="185" t="str">
        <f>if(isblank(I98),"",vlookup(I98,Pacing!$A$1:$H$213,4))</f>
        <v>Demo</v>
      </c>
      <c r="E98" s="185" t="str">
        <f>if(isblank(J98),"",vlookup(J98,Pacing!$A$1:$H$213,4))</f>
        <v>Demo</v>
      </c>
      <c r="F98" s="185" t="str">
        <f>if(isblank(K98),"",vlookup(K98,Pacing!$A$1:$H$213,4))</f>
        <v>Demo</v>
      </c>
      <c r="G98" s="185" t="str">
        <f>if(isblank(L98),"",vlookup(L98,Pacing!$A$1:$H$213,4))</f>
        <v>Demo</v>
      </c>
      <c r="H98" s="185" t="str">
        <f>if(isblank(M98),"",vlookup(M98,Pacing!$A$1:$H$213,4))</f>
        <v>Demo</v>
      </c>
      <c r="I98" s="191">
        <f t="shared" ref="I98:M98" si="99">I97</f>
        <v>38</v>
      </c>
      <c r="J98" s="191">
        <f t="shared" si="99"/>
        <v>39</v>
      </c>
      <c r="K98" s="191">
        <f t="shared" si="99"/>
        <v>40</v>
      </c>
      <c r="L98" s="191">
        <f t="shared" si="99"/>
        <v>41</v>
      </c>
      <c r="M98" s="191">
        <f t="shared" si="99"/>
        <v>42</v>
      </c>
    </row>
    <row r="99" ht="15.75" customHeight="1">
      <c r="A99" s="178">
        <f>B99+5</f>
        <v>105</v>
      </c>
      <c r="B99" s="178">
        <f t="shared" si="97"/>
        <v>100</v>
      </c>
      <c r="C99" s="76"/>
      <c r="D99" s="185" t="str">
        <f>if(isblank(I99),"",vlookup(I99,Pacing!$A$1:$H$213,5))</f>
        <v>Notes</v>
      </c>
      <c r="E99" s="185" t="str">
        <f>if(isblank(J99),"",vlookup(J99,Pacing!$A$1:$H$213,5))</f>
        <v>Notes</v>
      </c>
      <c r="F99" s="185" t="str">
        <f>if(isblank(K99),"",vlookup(K99,Pacing!$A$1:$H$213,5))</f>
        <v>Notes</v>
      </c>
      <c r="G99" s="185" t="str">
        <f>if(isblank(L99),"",vlookup(L99,Pacing!$A$1:$H$213,5))</f>
        <v>Notes</v>
      </c>
      <c r="H99" s="185" t="str">
        <f>if(isblank(M99),"",vlookup(M99,Pacing!$A$1:$H$213,5))</f>
        <v>Notes</v>
      </c>
      <c r="I99" s="191">
        <f t="shared" ref="I99:M99" si="100">I98</f>
        <v>38</v>
      </c>
      <c r="J99" s="191">
        <f t="shared" si="100"/>
        <v>39</v>
      </c>
      <c r="K99" s="191">
        <f t="shared" si="100"/>
        <v>40</v>
      </c>
      <c r="L99" s="191">
        <f t="shared" si="100"/>
        <v>41</v>
      </c>
      <c r="M99" s="191">
        <f t="shared" si="100"/>
        <v>42</v>
      </c>
    </row>
    <row r="100" ht="15.75" customHeight="1">
      <c r="A100" s="178">
        <f>B100+6</f>
        <v>106</v>
      </c>
      <c r="B100" s="178">
        <f t="shared" si="97"/>
        <v>100</v>
      </c>
      <c r="C100" s="76"/>
      <c r="D100" s="185" t="str">
        <f>if(isblank(I100),"",vlookup(I100,Pacing!$A$1:$H$213,6))</f>
        <v>Investigation</v>
      </c>
      <c r="E100" s="185" t="str">
        <f>if(isblank(J100),"",vlookup(J100,Pacing!$A$1:$H$213,6))</f>
        <v>Investigation</v>
      </c>
      <c r="F100" s="185" t="str">
        <f>if(isblank(K100),"",vlookup(K100,Pacing!$A$1:$H$213,6))</f>
        <v>Investigation</v>
      </c>
      <c r="G100" s="185" t="str">
        <f>if(isblank(L100),"",vlookup(L100,Pacing!$A$1:$H$213,6))</f>
        <v>Investigation</v>
      </c>
      <c r="H100" s="185" t="str">
        <f>if(isblank(M100),"",vlookup(M100,Pacing!$A$1:$H$213,6))</f>
        <v>Investigation</v>
      </c>
      <c r="I100" s="191">
        <f t="shared" ref="I100:M100" si="101">I99</f>
        <v>38</v>
      </c>
      <c r="J100" s="191">
        <f t="shared" si="101"/>
        <v>39</v>
      </c>
      <c r="K100" s="191">
        <f t="shared" si="101"/>
        <v>40</v>
      </c>
      <c r="L100" s="191">
        <f t="shared" si="101"/>
        <v>41</v>
      </c>
      <c r="M100" s="191">
        <f t="shared" si="101"/>
        <v>42</v>
      </c>
    </row>
    <row r="101" ht="15.75" hidden="1" customHeight="1">
      <c r="A101" s="178">
        <f>B101+7</f>
        <v>107</v>
      </c>
      <c r="B101" s="178">
        <f t="shared" si="97"/>
        <v>100</v>
      </c>
      <c r="C101" s="76"/>
      <c r="D101" s="185" t="str">
        <f>if(isblank(I101),"",vlookup(I101,Pacing!$A$1:$H$213,7))</f>
        <v>Activity</v>
      </c>
      <c r="E101" s="185" t="str">
        <f>if(isblank(J101),"",vlookup(J101,Pacing!$A$1:$H$213,7))</f>
        <v>Activity</v>
      </c>
      <c r="F101" s="185" t="str">
        <f>if(isblank(K101),"",vlookup(K101,Pacing!$A$1:$H$213,7))</f>
        <v>Activity</v>
      </c>
      <c r="G101" s="185" t="str">
        <f>if(isblank(L101),"",vlookup(L101,Pacing!$A$1:$H$213,7))</f>
        <v>Activity</v>
      </c>
      <c r="H101" s="185" t="str">
        <f>if(isblank(M101),"",vlookup(M101,Pacing!$A$1:$H$213,7))</f>
        <v>Activity</v>
      </c>
      <c r="I101" s="191">
        <f t="shared" ref="I101:M101" si="102">I100</f>
        <v>38</v>
      </c>
      <c r="J101" s="191">
        <f t="shared" si="102"/>
        <v>39</v>
      </c>
      <c r="K101" s="191">
        <f t="shared" si="102"/>
        <v>40</v>
      </c>
      <c r="L101" s="191">
        <f t="shared" si="102"/>
        <v>41</v>
      </c>
      <c r="M101" s="191">
        <f t="shared" si="102"/>
        <v>42</v>
      </c>
    </row>
    <row r="102" ht="15.75" hidden="1" customHeight="1">
      <c r="A102" s="178">
        <f>B102+8</f>
        <v>108</v>
      </c>
      <c r="B102" s="178">
        <f t="shared" si="97"/>
        <v>100</v>
      </c>
      <c r="C102" s="95"/>
      <c r="D102" s="185" t="str">
        <f>if(isblank(I102),"",vlookup(I102,Pacing!$A$1:$H$213,8))</f>
        <v>Practice Set</v>
      </c>
      <c r="E102" s="185" t="str">
        <f>if(isblank(J102),"",vlookup(J102,Pacing!$A$1:$H$213,8))</f>
        <v>Practice Set</v>
      </c>
      <c r="F102" s="185" t="str">
        <f>if(isblank(K102),"",vlookup(K102,Pacing!$A$1:$H$213,8))</f>
        <v>Practice Set</v>
      </c>
      <c r="G102" s="185" t="str">
        <f>if(isblank(L102),"",vlookup(L102,Pacing!$A$1:$H$213,8))</f>
        <v>Practice Set</v>
      </c>
      <c r="H102" s="185" t="str">
        <f>if(isblank(M102),"",vlookup(M102,Pacing!$A$1:$H$213,8))</f>
        <v>Practice Set</v>
      </c>
      <c r="I102" s="191">
        <f t="shared" ref="I102:M102" si="103">I101</f>
        <v>38</v>
      </c>
      <c r="J102" s="191">
        <f t="shared" si="103"/>
        <v>39</v>
      </c>
      <c r="K102" s="191">
        <f t="shared" si="103"/>
        <v>40</v>
      </c>
      <c r="L102" s="191">
        <f t="shared" si="103"/>
        <v>41</v>
      </c>
      <c r="M102" s="191">
        <f t="shared" si="103"/>
        <v>42</v>
      </c>
    </row>
    <row r="103" ht="15.75" customHeight="1">
      <c r="A103" s="194"/>
      <c r="B103" s="194"/>
      <c r="C103" s="195"/>
      <c r="D103" s="196" t="s">
        <v>148</v>
      </c>
      <c r="E103" s="196" t="s">
        <v>149</v>
      </c>
      <c r="F103" s="196" t="s">
        <v>150</v>
      </c>
      <c r="G103" s="196" t="s">
        <v>152</v>
      </c>
      <c r="H103" s="196" t="s">
        <v>153</v>
      </c>
      <c r="I103" s="197">
        <f>M94+1</f>
        <v>43</v>
      </c>
      <c r="J103" s="169">
        <f t="shared" ref="J103:M103" si="104">I103+1</f>
        <v>44</v>
      </c>
      <c r="K103" s="169">
        <f t="shared" si="104"/>
        <v>45</v>
      </c>
      <c r="L103" s="169">
        <f t="shared" si="104"/>
        <v>46</v>
      </c>
      <c r="M103" s="169">
        <f t="shared" si="104"/>
        <v>47</v>
      </c>
    </row>
    <row r="104" ht="15.75" hidden="1" customHeight="1">
      <c r="A104" s="178">
        <f>B104+1</f>
        <v>111</v>
      </c>
      <c r="B104" s="178">
        <f>C$104*10</f>
        <v>110</v>
      </c>
      <c r="C104" s="198">
        <f>C95+1</f>
        <v>11</v>
      </c>
      <c r="D104" s="182">
        <f>D95+7</f>
        <v>45971</v>
      </c>
      <c r="E104" s="182">
        <f t="shared" ref="E104:H104" si="105">D104+1</f>
        <v>45972</v>
      </c>
      <c r="F104" s="182">
        <f t="shared" si="105"/>
        <v>45973</v>
      </c>
      <c r="G104" s="182">
        <f t="shared" si="105"/>
        <v>45974</v>
      </c>
      <c r="H104" s="182">
        <f t="shared" si="105"/>
        <v>45975</v>
      </c>
      <c r="I104" s="174" t="s">
        <v>42</v>
      </c>
    </row>
    <row r="105" ht="15.75" customHeight="1">
      <c r="A105" s="199">
        <f>B105+2</f>
        <v>112</v>
      </c>
      <c r="B105" s="199">
        <f t="shared" ref="B105:B111" si="107">B104</f>
        <v>110</v>
      </c>
      <c r="C105" s="76"/>
      <c r="D105" s="201" t="str">
        <f>if(isblank(I105),"",vlookup(I105,Pacing!$A$1:$H$213,2))</f>
        <v>3.3: Fall &amp; Drag</v>
      </c>
      <c r="E105" s="201" t="str">
        <f>if(isblank(J105),"",vlookup(J105,Pacing!$A$1:$H$213,2))</f>
        <v>3.3: Fall &amp; Drag</v>
      </c>
      <c r="F105" s="201" t="str">
        <f>if(isblank(K105),"",vlookup(K105,Pacing!$A$1:$H$213,2))</f>
        <v>3.3: Fall &amp; Drag</v>
      </c>
      <c r="G105" s="201" t="str">
        <f>if(isblank(L105),"",vlookup(L105,Pacing!$A$1:$H$213,2))</f>
        <v>3.4: Newton's 3rd</v>
      </c>
      <c r="H105" s="201" t="str">
        <f>if(isblank(M105),"",vlookup(M105,Pacing!$A$1:$H$213,2))</f>
        <v>3.4: Newton's 3rd</v>
      </c>
      <c r="I105" s="202">
        <f t="shared" ref="I105:M105" si="106">I103</f>
        <v>43</v>
      </c>
      <c r="J105" s="202">
        <f t="shared" si="106"/>
        <v>44</v>
      </c>
      <c r="K105" s="202">
        <f t="shared" si="106"/>
        <v>45</v>
      </c>
      <c r="L105" s="202">
        <f t="shared" si="106"/>
        <v>46</v>
      </c>
      <c r="M105" s="202">
        <f t="shared" si="106"/>
        <v>47</v>
      </c>
    </row>
    <row r="106" ht="15.75" customHeight="1">
      <c r="A106" s="178">
        <f>B106+3</f>
        <v>113</v>
      </c>
      <c r="B106" s="178">
        <f t="shared" si="107"/>
        <v>110</v>
      </c>
      <c r="C106" s="76"/>
      <c r="D106" s="185" t="str">
        <f>if(isblank(I106),"",vlookup(I106,Pacing!$A$1:$H$213,3))</f>
        <v>Warm Up</v>
      </c>
      <c r="E106" s="185" t="str">
        <f>if(isblank(J106),"",vlookup(J106,Pacing!$A$1:$H$213,3))</f>
        <v>Warm Up</v>
      </c>
      <c r="F106" s="185" t="str">
        <f>if(isblank(K106),"",vlookup(K106,Pacing!$A$1:$H$213,3))</f>
        <v>Warm Up</v>
      </c>
      <c r="G106" s="185" t="str">
        <f>if(isblank(L106),"",vlookup(L106,Pacing!$A$1:$H$213,3))</f>
        <v>Warm Up</v>
      </c>
      <c r="H106" s="185" t="str">
        <f>if(isblank(M106),"",vlookup(M106,Pacing!$A$1:$H$213,3))</f>
        <v>Warm Up</v>
      </c>
      <c r="I106" s="191">
        <f t="shared" ref="I106:M106" si="108">I105</f>
        <v>43</v>
      </c>
      <c r="J106" s="191">
        <f t="shared" si="108"/>
        <v>44</v>
      </c>
      <c r="K106" s="191">
        <f t="shared" si="108"/>
        <v>45</v>
      </c>
      <c r="L106" s="191">
        <f t="shared" si="108"/>
        <v>46</v>
      </c>
      <c r="M106" s="191">
        <f t="shared" si="108"/>
        <v>47</v>
      </c>
    </row>
    <row r="107" ht="15.75" customHeight="1">
      <c r="A107" s="178">
        <f>B107+4</f>
        <v>114</v>
      </c>
      <c r="B107" s="178">
        <f t="shared" si="107"/>
        <v>110</v>
      </c>
      <c r="C107" s="76"/>
      <c r="D107" s="185" t="str">
        <f>if(isblank(I107),"",vlookup(I107,Pacing!$A$1:$H$213,4))</f>
        <v>Demo</v>
      </c>
      <c r="E107" s="185" t="str">
        <f>if(isblank(J107),"",vlookup(J107,Pacing!$A$1:$H$213,4))</f>
        <v>Demo</v>
      </c>
      <c r="F107" s="185" t="str">
        <f>if(isblank(K107),"",vlookup(K107,Pacing!$A$1:$H$213,4))</f>
        <v>Demo</v>
      </c>
      <c r="G107" s="185" t="str">
        <f>if(isblank(L107),"",vlookup(L107,Pacing!$A$1:$H$213,4))</f>
        <v>Demo</v>
      </c>
      <c r="H107" s="185" t="str">
        <f>if(isblank(M107),"",vlookup(M107,Pacing!$A$1:$H$213,4))</f>
        <v>Demo</v>
      </c>
      <c r="I107" s="191">
        <f t="shared" ref="I107:M107" si="109">I106</f>
        <v>43</v>
      </c>
      <c r="J107" s="191">
        <f t="shared" si="109"/>
        <v>44</v>
      </c>
      <c r="K107" s="191">
        <f t="shared" si="109"/>
        <v>45</v>
      </c>
      <c r="L107" s="191">
        <f t="shared" si="109"/>
        <v>46</v>
      </c>
      <c r="M107" s="191">
        <f t="shared" si="109"/>
        <v>47</v>
      </c>
    </row>
    <row r="108" ht="15.75" customHeight="1">
      <c r="A108" s="178">
        <f>B108+5</f>
        <v>115</v>
      </c>
      <c r="B108" s="178">
        <f t="shared" si="107"/>
        <v>110</v>
      </c>
      <c r="C108" s="76"/>
      <c r="D108" s="185" t="str">
        <f>if(isblank(I108),"",vlookup(I108,Pacing!$A$1:$H$213,5))</f>
        <v>Notes</v>
      </c>
      <c r="E108" s="185" t="str">
        <f>if(isblank(J108),"",vlookup(J108,Pacing!$A$1:$H$213,5))</f>
        <v>Notes</v>
      </c>
      <c r="F108" s="185" t="str">
        <f>if(isblank(K108),"",vlookup(K108,Pacing!$A$1:$H$213,5))</f>
        <v>Notes</v>
      </c>
      <c r="G108" s="185" t="str">
        <f>if(isblank(L108),"",vlookup(L108,Pacing!$A$1:$H$213,5))</f>
        <v>Notes</v>
      </c>
      <c r="H108" s="185" t="str">
        <f>if(isblank(M108),"",vlookup(M108,Pacing!$A$1:$H$213,5))</f>
        <v>Notes</v>
      </c>
      <c r="I108" s="191">
        <f t="shared" ref="I108:M108" si="110">I107</f>
        <v>43</v>
      </c>
      <c r="J108" s="191">
        <f t="shared" si="110"/>
        <v>44</v>
      </c>
      <c r="K108" s="191">
        <f t="shared" si="110"/>
        <v>45</v>
      </c>
      <c r="L108" s="191">
        <f t="shared" si="110"/>
        <v>46</v>
      </c>
      <c r="M108" s="191">
        <f t="shared" si="110"/>
        <v>47</v>
      </c>
    </row>
    <row r="109" ht="15.75" customHeight="1">
      <c r="A109" s="178">
        <f>B109+6</f>
        <v>116</v>
      </c>
      <c r="B109" s="178">
        <f t="shared" si="107"/>
        <v>110</v>
      </c>
      <c r="C109" s="76"/>
      <c r="D109" s="185" t="str">
        <f>if(isblank(I109),"",vlookup(I109,Pacing!$A$1:$H$213,6))</f>
        <v>Investigation</v>
      </c>
      <c r="E109" s="185" t="str">
        <f>if(isblank(J109),"",vlookup(J109,Pacing!$A$1:$H$213,6))</f>
        <v>Investigation</v>
      </c>
      <c r="F109" s="185" t="str">
        <f>if(isblank(K109),"",vlookup(K109,Pacing!$A$1:$H$213,6))</f>
        <v>Investigation</v>
      </c>
      <c r="G109" s="185" t="str">
        <f>if(isblank(L109),"",vlookup(L109,Pacing!$A$1:$H$213,6))</f>
        <v>Investigation</v>
      </c>
      <c r="H109" s="185" t="str">
        <f>if(isblank(M109),"",vlookup(M109,Pacing!$A$1:$H$213,6))</f>
        <v>Investigation</v>
      </c>
      <c r="I109" s="191">
        <f t="shared" ref="I109:M109" si="111">I108</f>
        <v>43</v>
      </c>
      <c r="J109" s="191">
        <f t="shared" si="111"/>
        <v>44</v>
      </c>
      <c r="K109" s="191">
        <f t="shared" si="111"/>
        <v>45</v>
      </c>
      <c r="L109" s="191">
        <f t="shared" si="111"/>
        <v>46</v>
      </c>
      <c r="M109" s="191">
        <f t="shared" si="111"/>
        <v>47</v>
      </c>
    </row>
    <row r="110" ht="15.75" hidden="1" customHeight="1">
      <c r="A110" s="178">
        <f>B110+7</f>
        <v>117</v>
      </c>
      <c r="B110" s="178">
        <f t="shared" si="107"/>
        <v>110</v>
      </c>
      <c r="C110" s="76"/>
      <c r="D110" s="185" t="str">
        <f>if(isblank(I110),"",vlookup(I110,Pacing!$A$1:$H$213,7))</f>
        <v>Activity</v>
      </c>
      <c r="E110" s="185" t="str">
        <f>if(isblank(J110),"",vlookup(J110,Pacing!$A$1:$H$213,7))</f>
        <v>Activity</v>
      </c>
      <c r="F110" s="185" t="str">
        <f>if(isblank(K110),"",vlookup(K110,Pacing!$A$1:$H$213,7))</f>
        <v>Activity</v>
      </c>
      <c r="G110" s="185" t="str">
        <f>if(isblank(L110),"",vlookup(L110,Pacing!$A$1:$H$213,7))</f>
        <v>Activity</v>
      </c>
      <c r="H110" s="185" t="str">
        <f>if(isblank(M110),"",vlookup(M110,Pacing!$A$1:$H$213,7))</f>
        <v>Activity</v>
      </c>
      <c r="I110" s="191">
        <f t="shared" ref="I110:M110" si="112">I109</f>
        <v>43</v>
      </c>
      <c r="J110" s="191">
        <f t="shared" si="112"/>
        <v>44</v>
      </c>
      <c r="K110" s="191">
        <f t="shared" si="112"/>
        <v>45</v>
      </c>
      <c r="L110" s="191">
        <f t="shared" si="112"/>
        <v>46</v>
      </c>
      <c r="M110" s="191">
        <f t="shared" si="112"/>
        <v>47</v>
      </c>
    </row>
    <row r="111" ht="15.75" hidden="1" customHeight="1">
      <c r="A111" s="178">
        <f>B111+8</f>
        <v>118</v>
      </c>
      <c r="B111" s="178">
        <f t="shared" si="107"/>
        <v>110</v>
      </c>
      <c r="C111" s="95"/>
      <c r="D111" s="185" t="str">
        <f>if(isblank(I111),"",vlookup(I111,Pacing!$A$1:$H$213,8))</f>
        <v>Practice Set</v>
      </c>
      <c r="E111" s="185" t="str">
        <f>if(isblank(J111),"",vlookup(J111,Pacing!$A$1:$H$213,8))</f>
        <v>Practice Set</v>
      </c>
      <c r="F111" s="185" t="str">
        <f>if(isblank(K111),"",vlookup(K111,Pacing!$A$1:$H$213,8))</f>
        <v>Practice Set</v>
      </c>
      <c r="G111" s="185" t="str">
        <f>if(isblank(L111),"",vlookup(L111,Pacing!$A$1:$H$213,8))</f>
        <v>Practice Set</v>
      </c>
      <c r="H111" s="185" t="str">
        <f>if(isblank(M111),"",vlookup(M111,Pacing!$A$1:$H$213,8))</f>
        <v>Practice Set</v>
      </c>
      <c r="I111" s="191">
        <f t="shared" ref="I111:M111" si="113">I110</f>
        <v>43</v>
      </c>
      <c r="J111" s="191">
        <f t="shared" si="113"/>
        <v>44</v>
      </c>
      <c r="K111" s="191">
        <f t="shared" si="113"/>
        <v>45</v>
      </c>
      <c r="L111" s="191">
        <f t="shared" si="113"/>
        <v>46</v>
      </c>
      <c r="M111" s="191">
        <f t="shared" si="113"/>
        <v>47</v>
      </c>
    </row>
    <row r="112" ht="15.75" customHeight="1">
      <c r="A112" s="194"/>
      <c r="B112" s="194"/>
      <c r="C112" s="195"/>
      <c r="D112" s="196" t="s">
        <v>156</v>
      </c>
      <c r="E112" s="196" t="s">
        <v>157</v>
      </c>
      <c r="F112" s="196" t="s">
        <v>158</v>
      </c>
      <c r="G112" s="196" t="s">
        <v>159</v>
      </c>
      <c r="H112" s="196" t="s">
        <v>160</v>
      </c>
      <c r="I112" s="197">
        <f>M103+1</f>
        <v>48</v>
      </c>
      <c r="J112" s="169">
        <f t="shared" ref="J112:M112" si="114">I112+1</f>
        <v>49</v>
      </c>
      <c r="K112" s="169">
        <f t="shared" si="114"/>
        <v>50</v>
      </c>
      <c r="L112" s="169">
        <f t="shared" si="114"/>
        <v>51</v>
      </c>
      <c r="M112" s="169">
        <f t="shared" si="114"/>
        <v>52</v>
      </c>
    </row>
    <row r="113" ht="15.75" hidden="1" customHeight="1">
      <c r="A113" s="178">
        <f>B113+1</f>
        <v>121</v>
      </c>
      <c r="B113" s="178">
        <f>C$113*10</f>
        <v>120</v>
      </c>
      <c r="C113" s="198">
        <f>C104+1</f>
        <v>12</v>
      </c>
      <c r="D113" s="182">
        <f>D104+7</f>
        <v>45978</v>
      </c>
      <c r="E113" s="182">
        <f t="shared" ref="E113:H113" si="115">D113+1</f>
        <v>45979</v>
      </c>
      <c r="F113" s="182">
        <f t="shared" si="115"/>
        <v>45980</v>
      </c>
      <c r="G113" s="182">
        <f t="shared" si="115"/>
        <v>45981</v>
      </c>
      <c r="H113" s="182">
        <f t="shared" si="115"/>
        <v>45982</v>
      </c>
      <c r="I113" s="174" t="s">
        <v>42</v>
      </c>
    </row>
    <row r="114" ht="15.75" customHeight="1">
      <c r="A114" s="199">
        <f>B114+2</f>
        <v>122</v>
      </c>
      <c r="B114" s="199">
        <f t="shared" ref="B114:B120" si="117">B113</f>
        <v>120</v>
      </c>
      <c r="C114" s="76"/>
      <c r="D114" s="201" t="str">
        <f>if(isblank(I114),"",vlookup(I114,Pacing!$A$1:$H$213,2))</f>
        <v>3.4: Newton's 3rd</v>
      </c>
      <c r="E114" s="201" t="str">
        <f>if(isblank(J114),"",vlookup(J114,Pacing!$A$1:$H$213,2))</f>
        <v>3.5: Projectile</v>
      </c>
      <c r="F114" s="201" t="str">
        <f>if(isblank(K114),"",vlookup(K114,Pacing!$A$1:$H$213,2))</f>
        <v>3.5: Projectile</v>
      </c>
      <c r="G114" s="201" t="str">
        <f>if(isblank(L114),"",vlookup(L114,Pacing!$A$1:$H$213,2))</f>
        <v>3.5: Projectile</v>
      </c>
      <c r="H114" s="201" t="str">
        <f>if(isblank(M114),"",vlookup(M114,Pacing!$A$1:$H$213,2))</f>
        <v>Unit 3 Sum Assess</v>
      </c>
      <c r="I114" s="202">
        <f t="shared" ref="I114:M114" si="116">I112</f>
        <v>48</v>
      </c>
      <c r="J114" s="202">
        <f t="shared" si="116"/>
        <v>49</v>
      </c>
      <c r="K114" s="202">
        <f t="shared" si="116"/>
        <v>50</v>
      </c>
      <c r="L114" s="202">
        <f t="shared" si="116"/>
        <v>51</v>
      </c>
      <c r="M114" s="202">
        <f t="shared" si="116"/>
        <v>52</v>
      </c>
    </row>
    <row r="115" ht="15.75" customHeight="1">
      <c r="A115" s="178">
        <f>B115+3</f>
        <v>123</v>
      </c>
      <c r="B115" s="178">
        <f t="shared" si="117"/>
        <v>120</v>
      </c>
      <c r="C115" s="76"/>
      <c r="D115" s="185" t="str">
        <f>if(isblank(I115),"",vlookup(I115,Pacing!$A$1:$H$213,3))</f>
        <v>Warm Up</v>
      </c>
      <c r="E115" s="185" t="str">
        <f>if(isblank(J115),"",vlookup(J115,Pacing!$A$1:$H$213,3))</f>
        <v>Warm Up</v>
      </c>
      <c r="F115" s="185" t="str">
        <f>if(isblank(K115),"",vlookup(K115,Pacing!$A$1:$H$213,3))</f>
        <v>Warm Up</v>
      </c>
      <c r="G115" s="185" t="str">
        <f>if(isblank(L115),"",vlookup(L115,Pacing!$A$1:$H$213,3))</f>
        <v>Warm Up</v>
      </c>
      <c r="H115" s="193" t="str">
        <f>if(isblank(M115),"",vlookup(M115,Pacing!$A$1:$H$213,3))</f>
        <v/>
      </c>
      <c r="I115" s="191">
        <f t="shared" ref="I115:M115" si="118">I114</f>
        <v>48</v>
      </c>
      <c r="J115" s="191">
        <f t="shared" si="118"/>
        <v>49</v>
      </c>
      <c r="K115" s="191">
        <f t="shared" si="118"/>
        <v>50</v>
      </c>
      <c r="L115" s="191">
        <f t="shared" si="118"/>
        <v>51</v>
      </c>
      <c r="M115" s="191">
        <f t="shared" si="118"/>
        <v>52</v>
      </c>
    </row>
    <row r="116" ht="15.75" customHeight="1">
      <c r="A116" s="178">
        <f>B116+4</f>
        <v>124</v>
      </c>
      <c r="B116" s="178">
        <f t="shared" si="117"/>
        <v>120</v>
      </c>
      <c r="C116" s="76"/>
      <c r="D116" s="185" t="str">
        <f>if(isblank(I116),"",vlookup(I116,Pacing!$A$1:$H$213,4))</f>
        <v>Demo</v>
      </c>
      <c r="E116" s="185" t="str">
        <f>if(isblank(J116),"",vlookup(J116,Pacing!$A$1:$H$213,4))</f>
        <v>Demo</v>
      </c>
      <c r="F116" s="185" t="str">
        <f>if(isblank(K116),"",vlookup(K116,Pacing!$A$1:$H$213,4))</f>
        <v>Demo</v>
      </c>
      <c r="G116" s="185" t="str">
        <f>if(isblank(L116),"",vlookup(L116,Pacing!$A$1:$H$213,4))</f>
        <v>Demo</v>
      </c>
      <c r="H116" s="193" t="str">
        <f>if(isblank(M116),"",vlookup(M116,Pacing!$A$1:$H$213,4))</f>
        <v/>
      </c>
      <c r="I116" s="191">
        <f t="shared" ref="I116:M116" si="119">I115</f>
        <v>48</v>
      </c>
      <c r="J116" s="191">
        <f t="shared" si="119"/>
        <v>49</v>
      </c>
      <c r="K116" s="191">
        <f t="shared" si="119"/>
        <v>50</v>
      </c>
      <c r="L116" s="191">
        <f t="shared" si="119"/>
        <v>51</v>
      </c>
      <c r="M116" s="191">
        <f t="shared" si="119"/>
        <v>52</v>
      </c>
    </row>
    <row r="117" ht="15.75" customHeight="1">
      <c r="A117" s="178">
        <f>B117+5</f>
        <v>125</v>
      </c>
      <c r="B117" s="178">
        <f t="shared" si="117"/>
        <v>120</v>
      </c>
      <c r="C117" s="76"/>
      <c r="D117" s="185" t="str">
        <f>if(isblank(I117),"",vlookup(I117,Pacing!$A$1:$H$213,5))</f>
        <v>Notes</v>
      </c>
      <c r="E117" s="185" t="str">
        <f>if(isblank(J117),"",vlookup(J117,Pacing!$A$1:$H$213,5))</f>
        <v>Notes</v>
      </c>
      <c r="F117" s="185" t="str">
        <f>if(isblank(K117),"",vlookup(K117,Pacing!$A$1:$H$213,5))</f>
        <v>Notes</v>
      </c>
      <c r="G117" s="185" t="str">
        <f>if(isblank(L117),"",vlookup(L117,Pacing!$A$1:$H$213,5))</f>
        <v>Notes</v>
      </c>
      <c r="H117" s="193" t="str">
        <f>if(isblank(M117),"",vlookup(M117,Pacing!$A$1:$H$213,5))</f>
        <v/>
      </c>
      <c r="I117" s="191">
        <f t="shared" ref="I117:M117" si="120">I116</f>
        <v>48</v>
      </c>
      <c r="J117" s="191">
        <f t="shared" si="120"/>
        <v>49</v>
      </c>
      <c r="K117" s="191">
        <f t="shared" si="120"/>
        <v>50</v>
      </c>
      <c r="L117" s="191">
        <f t="shared" si="120"/>
        <v>51</v>
      </c>
      <c r="M117" s="191">
        <f t="shared" si="120"/>
        <v>52</v>
      </c>
    </row>
    <row r="118" ht="15.75" customHeight="1">
      <c r="A118" s="178">
        <f>B118+6</f>
        <v>126</v>
      </c>
      <c r="B118" s="178">
        <f t="shared" si="117"/>
        <v>120</v>
      </c>
      <c r="C118" s="76"/>
      <c r="D118" s="185" t="str">
        <f>if(isblank(I118),"",vlookup(I118,Pacing!$A$1:$H$213,6))</f>
        <v>Investigation</v>
      </c>
      <c r="E118" s="185" t="str">
        <f>if(isblank(J118),"",vlookup(J118,Pacing!$A$1:$H$213,6))</f>
        <v>Investigation</v>
      </c>
      <c r="F118" s="185" t="str">
        <f>if(isblank(K118),"",vlookup(K118,Pacing!$A$1:$H$213,6))</f>
        <v>Investigation</v>
      </c>
      <c r="G118" s="185" t="str">
        <f>if(isblank(L118),"",vlookup(L118,Pacing!$A$1:$H$213,6))</f>
        <v>Investigation</v>
      </c>
      <c r="H118" s="193" t="str">
        <f>if(isblank(M118),"",vlookup(M118,Pacing!$A$1:$H$213,6))</f>
        <v/>
      </c>
      <c r="I118" s="191">
        <f t="shared" ref="I118:M118" si="121">I117</f>
        <v>48</v>
      </c>
      <c r="J118" s="191">
        <f t="shared" si="121"/>
        <v>49</v>
      </c>
      <c r="K118" s="191">
        <f t="shared" si="121"/>
        <v>50</v>
      </c>
      <c r="L118" s="191">
        <f t="shared" si="121"/>
        <v>51</v>
      </c>
      <c r="M118" s="191">
        <f t="shared" si="121"/>
        <v>52</v>
      </c>
    </row>
    <row r="119" ht="15.75" hidden="1" customHeight="1">
      <c r="A119" s="178">
        <f>B119+7</f>
        <v>127</v>
      </c>
      <c r="B119" s="178">
        <f t="shared" si="117"/>
        <v>120</v>
      </c>
      <c r="C119" s="76"/>
      <c r="D119" s="185" t="str">
        <f>if(isblank(I119),"",vlookup(I119,Pacing!$A$1:$H$213,7))</f>
        <v>Activity</v>
      </c>
      <c r="E119" s="185" t="str">
        <f>if(isblank(J119),"",vlookup(J119,Pacing!$A$1:$H$213,7))</f>
        <v>Activity</v>
      </c>
      <c r="F119" s="185" t="str">
        <f>if(isblank(K119),"",vlookup(K119,Pacing!$A$1:$H$213,7))</f>
        <v>Activity</v>
      </c>
      <c r="G119" s="185" t="str">
        <f>if(isblank(L119),"",vlookup(L119,Pacing!$A$1:$H$213,7))</f>
        <v>Activity</v>
      </c>
      <c r="H119" s="193" t="str">
        <f>if(isblank(M119),"",vlookup(M119,Pacing!$A$1:$H$213,7))</f>
        <v/>
      </c>
      <c r="I119" s="191">
        <f t="shared" ref="I119:M119" si="122">I118</f>
        <v>48</v>
      </c>
      <c r="J119" s="191">
        <f t="shared" si="122"/>
        <v>49</v>
      </c>
      <c r="K119" s="191">
        <f t="shared" si="122"/>
        <v>50</v>
      </c>
      <c r="L119" s="191">
        <f t="shared" si="122"/>
        <v>51</v>
      </c>
      <c r="M119" s="191">
        <f t="shared" si="122"/>
        <v>52</v>
      </c>
    </row>
    <row r="120" ht="15.75" hidden="1" customHeight="1">
      <c r="A120" s="178">
        <f>B120+8</f>
        <v>128</v>
      </c>
      <c r="B120" s="178">
        <f t="shared" si="117"/>
        <v>120</v>
      </c>
      <c r="C120" s="95"/>
      <c r="D120" s="185" t="str">
        <f>if(isblank(I120),"",vlookup(I120,Pacing!$A$1:$H$213,8))</f>
        <v>Practice Set</v>
      </c>
      <c r="E120" s="185" t="str">
        <f>if(isblank(J120),"",vlookup(J120,Pacing!$A$1:$H$213,8))</f>
        <v>Practice Set</v>
      </c>
      <c r="F120" s="185" t="str">
        <f>if(isblank(K120),"",vlookup(K120,Pacing!$A$1:$H$213,8))</f>
        <v>Practice Set</v>
      </c>
      <c r="G120" s="185" t="str">
        <f>if(isblank(L120),"",vlookup(L120,Pacing!$A$1:$H$213,8))</f>
        <v>Practice Set</v>
      </c>
      <c r="H120" s="193" t="str">
        <f>if(isblank(M120),"",vlookup(M120,Pacing!$A$1:$H$213,8))</f>
        <v/>
      </c>
      <c r="I120" s="191">
        <f t="shared" ref="I120:M120" si="123">I119</f>
        <v>48</v>
      </c>
      <c r="J120" s="191">
        <f t="shared" si="123"/>
        <v>49</v>
      </c>
      <c r="K120" s="191">
        <f t="shared" si="123"/>
        <v>50</v>
      </c>
      <c r="L120" s="191">
        <f t="shared" si="123"/>
        <v>51</v>
      </c>
      <c r="M120" s="191">
        <f t="shared" si="123"/>
        <v>52</v>
      </c>
    </row>
    <row r="121" ht="15.75" customHeight="1">
      <c r="A121" s="194"/>
      <c r="B121" s="194"/>
      <c r="C121" s="195"/>
      <c r="D121" s="196" t="s">
        <v>164</v>
      </c>
      <c r="E121" s="196" t="s">
        <v>165</v>
      </c>
      <c r="F121" s="196" t="s">
        <v>166</v>
      </c>
      <c r="G121" s="196" t="s">
        <v>167</v>
      </c>
      <c r="H121" s="196" t="s">
        <v>168</v>
      </c>
      <c r="I121" s="197">
        <f>M112+1</f>
        <v>53</v>
      </c>
      <c r="J121" s="169"/>
      <c r="K121" s="169"/>
      <c r="L121" s="169"/>
      <c r="M121" s="169"/>
    </row>
    <row r="122" ht="15.75" hidden="1" customHeight="1">
      <c r="A122" s="178">
        <f>B122+1</f>
        <v>131</v>
      </c>
      <c r="B122" s="178">
        <f>C$122*10</f>
        <v>130</v>
      </c>
      <c r="C122" s="198">
        <f>C113+1</f>
        <v>13</v>
      </c>
      <c r="D122" s="182">
        <f>D113+7</f>
        <v>45985</v>
      </c>
      <c r="E122" s="182">
        <f t="shared" ref="E122:H122" si="124">D122+1</f>
        <v>45986</v>
      </c>
      <c r="F122" s="182">
        <f t="shared" si="124"/>
        <v>45987</v>
      </c>
      <c r="G122" s="182">
        <f t="shared" si="124"/>
        <v>45988</v>
      </c>
      <c r="H122" s="182">
        <f t="shared" si="124"/>
        <v>45989</v>
      </c>
      <c r="I122" s="174" t="s">
        <v>42</v>
      </c>
    </row>
    <row r="123" ht="15.75" customHeight="1">
      <c r="A123" s="199">
        <f>B123+2</f>
        <v>132</v>
      </c>
      <c r="B123" s="199">
        <f t="shared" ref="B123:B129" si="126">B122</f>
        <v>130</v>
      </c>
      <c r="C123" s="76"/>
      <c r="D123" s="201" t="str">
        <f>if(isblank(I123),"",vlookup(I123,Pacing!$A$1:$H$213,2))</f>
        <v>4.1: Mom &amp; Impulse</v>
      </c>
      <c r="E123" s="201" t="str">
        <f>if(isblank(J123),"",vlookup(J123,Pacing!$A$1:$H$213,2))</f>
        <v/>
      </c>
      <c r="F123" s="201" t="str">
        <f>if(isblank(K123),"",vlookup(K123,Pacing!$A$1:$H$213,2))</f>
        <v/>
      </c>
      <c r="G123" s="201" t="str">
        <f>if(isblank(L123),"",vlookup(L123,Pacing!$A$1:$H$213,2))</f>
        <v/>
      </c>
      <c r="H123" s="201" t="str">
        <f>if(isblank(M123),"",vlookup(M123,Pacing!$A$1:$H$213,2))</f>
        <v/>
      </c>
      <c r="I123" s="202">
        <f t="shared" ref="I123:M123" si="125">I121</f>
        <v>53</v>
      </c>
      <c r="J123" s="202" t="str">
        <f t="shared" si="125"/>
        <v/>
      </c>
      <c r="K123" s="202" t="str">
        <f t="shared" si="125"/>
        <v/>
      </c>
      <c r="L123" s="202" t="str">
        <f t="shared" si="125"/>
        <v/>
      </c>
      <c r="M123" s="202" t="str">
        <f t="shared" si="125"/>
        <v/>
      </c>
    </row>
    <row r="124" ht="15.75" customHeight="1">
      <c r="A124" s="178">
        <f>B124+3</f>
        <v>133</v>
      </c>
      <c r="B124" s="178">
        <f t="shared" si="126"/>
        <v>130</v>
      </c>
      <c r="C124" s="76"/>
      <c r="D124" s="185" t="str">
        <f>if(isblank(I124),"",vlookup(I124,Pacing!$A$1:$H$213,3))</f>
        <v>Warm Up</v>
      </c>
      <c r="E124" s="193" t="str">
        <f>if(isblank(J124),"",vlookup(J124,Pacing!$A$1:$H$213,3))</f>
        <v/>
      </c>
      <c r="F124" s="193" t="str">
        <f>if(isblank(K124),"",vlookup(K124,Pacing!$A$1:$H$213,3))</f>
        <v/>
      </c>
      <c r="G124" s="193" t="str">
        <f>if(isblank(L124),"",vlookup(L124,Pacing!$A$1:$H$213,3))</f>
        <v/>
      </c>
      <c r="H124" s="193" t="str">
        <f>if(isblank(M124),"",vlookup(M124,Pacing!$A$1:$H$213,3))</f>
        <v/>
      </c>
      <c r="I124" s="191">
        <f t="shared" ref="I124:M124" si="127">I123</f>
        <v>53</v>
      </c>
      <c r="J124" s="191" t="str">
        <f t="shared" si="127"/>
        <v/>
      </c>
      <c r="K124" s="191" t="str">
        <f t="shared" si="127"/>
        <v/>
      </c>
      <c r="L124" s="191" t="str">
        <f t="shared" si="127"/>
        <v/>
      </c>
      <c r="M124" s="191" t="str">
        <f t="shared" si="127"/>
        <v/>
      </c>
    </row>
    <row r="125" ht="15.75" customHeight="1">
      <c r="A125" s="178">
        <f>B125+4</f>
        <v>134</v>
      </c>
      <c r="B125" s="178">
        <f t="shared" si="126"/>
        <v>130</v>
      </c>
      <c r="C125" s="76"/>
      <c r="D125" s="185" t="str">
        <f>if(isblank(I125),"",vlookup(I125,Pacing!$A$1:$H$213,4))</f>
        <v>Demo</v>
      </c>
      <c r="E125" s="193" t="str">
        <f>if(isblank(J125),"",vlookup(J125,Pacing!$A$1:$H$213,4))</f>
        <v/>
      </c>
      <c r="F125" s="193" t="str">
        <f>if(isblank(K125),"",vlookup(K125,Pacing!$A$1:$H$213,4))</f>
        <v/>
      </c>
      <c r="G125" s="193" t="str">
        <f>if(isblank(L125),"",vlookup(L125,Pacing!$A$1:$H$213,4))</f>
        <v/>
      </c>
      <c r="H125" s="193" t="str">
        <f>if(isblank(M125),"",vlookup(M125,Pacing!$A$1:$H$213,4))</f>
        <v/>
      </c>
      <c r="I125" s="191">
        <f t="shared" ref="I125:M125" si="128">I124</f>
        <v>53</v>
      </c>
      <c r="J125" s="191" t="str">
        <f t="shared" si="128"/>
        <v/>
      </c>
      <c r="K125" s="191" t="str">
        <f t="shared" si="128"/>
        <v/>
      </c>
      <c r="L125" s="191" t="str">
        <f t="shared" si="128"/>
        <v/>
      </c>
      <c r="M125" s="191" t="str">
        <f t="shared" si="128"/>
        <v/>
      </c>
    </row>
    <row r="126" ht="15.75" customHeight="1">
      <c r="A126" s="178">
        <f>B126+5</f>
        <v>135</v>
      </c>
      <c r="B126" s="178">
        <f t="shared" si="126"/>
        <v>130</v>
      </c>
      <c r="C126" s="76"/>
      <c r="D126" s="185" t="str">
        <f>if(isblank(I126),"",vlookup(I126,Pacing!$A$1:$H$213,5))</f>
        <v>Notes</v>
      </c>
      <c r="E126" s="193" t="str">
        <f>if(isblank(J126),"",vlookup(J126,Pacing!$A$1:$H$213,5))</f>
        <v/>
      </c>
      <c r="F126" s="193" t="str">
        <f>if(isblank(K126),"",vlookup(K126,Pacing!$A$1:$H$213,5))</f>
        <v/>
      </c>
      <c r="G126" s="193" t="str">
        <f>if(isblank(L126),"",vlookup(L126,Pacing!$A$1:$H$213,5))</f>
        <v/>
      </c>
      <c r="H126" s="193" t="str">
        <f>if(isblank(M126),"",vlookup(M126,Pacing!$A$1:$H$213,5))</f>
        <v/>
      </c>
      <c r="I126" s="191">
        <f t="shared" ref="I126:M126" si="129">I125</f>
        <v>53</v>
      </c>
      <c r="J126" s="191" t="str">
        <f t="shared" si="129"/>
        <v/>
      </c>
      <c r="K126" s="191" t="str">
        <f t="shared" si="129"/>
        <v/>
      </c>
      <c r="L126" s="191" t="str">
        <f t="shared" si="129"/>
        <v/>
      </c>
      <c r="M126" s="191" t="str">
        <f t="shared" si="129"/>
        <v/>
      </c>
    </row>
    <row r="127" ht="15.75" customHeight="1">
      <c r="A127" s="178">
        <f>B127+6</f>
        <v>136</v>
      </c>
      <c r="B127" s="178">
        <f t="shared" si="126"/>
        <v>130</v>
      </c>
      <c r="C127" s="76"/>
      <c r="D127" s="185" t="str">
        <f>if(isblank(I127),"",vlookup(I127,Pacing!$A$1:$H$213,6))</f>
        <v>Investigation</v>
      </c>
      <c r="E127" s="193" t="str">
        <f>if(isblank(J127),"",vlookup(J127,Pacing!$A$1:$H$213,6))</f>
        <v/>
      </c>
      <c r="F127" s="193" t="str">
        <f>if(isblank(K127),"",vlookup(K127,Pacing!$A$1:$H$213,6))</f>
        <v/>
      </c>
      <c r="G127" s="193" t="str">
        <f>if(isblank(L127),"",vlookup(L127,Pacing!$A$1:$H$213,6))</f>
        <v/>
      </c>
      <c r="H127" s="193" t="str">
        <f>if(isblank(M127),"",vlookup(M127,Pacing!$A$1:$H$213,6))</f>
        <v/>
      </c>
      <c r="I127" s="191">
        <f t="shared" ref="I127:M127" si="130">I126</f>
        <v>53</v>
      </c>
      <c r="J127" s="191" t="str">
        <f t="shared" si="130"/>
        <v/>
      </c>
      <c r="K127" s="191" t="str">
        <f t="shared" si="130"/>
        <v/>
      </c>
      <c r="L127" s="191" t="str">
        <f t="shared" si="130"/>
        <v/>
      </c>
      <c r="M127" s="191" t="str">
        <f t="shared" si="130"/>
        <v/>
      </c>
    </row>
    <row r="128" ht="15.75" hidden="1" customHeight="1">
      <c r="A128" s="178">
        <f>B128+7</f>
        <v>137</v>
      </c>
      <c r="B128" s="178">
        <f t="shared" si="126"/>
        <v>130</v>
      </c>
      <c r="C128" s="76"/>
      <c r="D128" s="185" t="str">
        <f>if(isblank(I128),"",vlookup(I128,Pacing!$A$1:$H$213,7))</f>
        <v>Activity</v>
      </c>
      <c r="E128" s="193" t="str">
        <f>if(isblank(J128),"",vlookup(J128,Pacing!$A$1:$H$213,7))</f>
        <v/>
      </c>
      <c r="F128" s="193" t="str">
        <f>if(isblank(K128),"",vlookup(K128,Pacing!$A$1:$H$213,7))</f>
        <v/>
      </c>
      <c r="G128" s="193" t="str">
        <f>if(isblank(L128),"",vlookup(L128,Pacing!$A$1:$H$213,7))</f>
        <v/>
      </c>
      <c r="H128" s="193" t="str">
        <f>if(isblank(M128),"",vlookup(M128,Pacing!$A$1:$H$213,7))</f>
        <v/>
      </c>
      <c r="I128" s="191">
        <f t="shared" ref="I128:M128" si="131">I127</f>
        <v>53</v>
      </c>
      <c r="J128" s="191" t="str">
        <f t="shared" si="131"/>
        <v/>
      </c>
      <c r="K128" s="191" t="str">
        <f t="shared" si="131"/>
        <v/>
      </c>
      <c r="L128" s="191" t="str">
        <f t="shared" si="131"/>
        <v/>
      </c>
      <c r="M128" s="191" t="str">
        <f t="shared" si="131"/>
        <v/>
      </c>
    </row>
    <row r="129" ht="15.75" hidden="1" customHeight="1">
      <c r="A129" s="178">
        <f>B129+8</f>
        <v>138</v>
      </c>
      <c r="B129" s="178">
        <f t="shared" si="126"/>
        <v>130</v>
      </c>
      <c r="C129" s="95"/>
      <c r="D129" s="185" t="str">
        <f>if(isblank(I129),"",vlookup(I129,Pacing!$A$1:$H$213,8))</f>
        <v>Practice Set</v>
      </c>
      <c r="E129" s="193" t="str">
        <f>if(isblank(J129),"",vlookup(J129,Pacing!$A$1:$H$213,8))</f>
        <v/>
      </c>
      <c r="F129" s="193" t="str">
        <f>if(isblank(K129),"",vlookup(K129,Pacing!$A$1:$H$213,8))</f>
        <v/>
      </c>
      <c r="G129" s="193" t="str">
        <f>if(isblank(L129),"",vlookup(L129,Pacing!$A$1:$H$213,8))</f>
        <v/>
      </c>
      <c r="H129" s="193" t="str">
        <f>if(isblank(M129),"",vlookup(M129,Pacing!$A$1:$H$213,8))</f>
        <v/>
      </c>
      <c r="I129" s="191">
        <f t="shared" ref="I129:M129" si="132">I128</f>
        <v>53</v>
      </c>
      <c r="J129" s="191" t="str">
        <f t="shared" si="132"/>
        <v/>
      </c>
      <c r="K129" s="191" t="str">
        <f t="shared" si="132"/>
        <v/>
      </c>
      <c r="L129" s="191" t="str">
        <f t="shared" si="132"/>
        <v/>
      </c>
      <c r="M129" s="191" t="str">
        <f t="shared" si="132"/>
        <v/>
      </c>
    </row>
    <row r="130" ht="15.75" customHeight="1">
      <c r="A130" s="194"/>
      <c r="B130" s="194"/>
      <c r="C130" s="195"/>
      <c r="D130" s="196" t="s">
        <v>142</v>
      </c>
      <c r="E130" s="196" t="s">
        <v>143</v>
      </c>
      <c r="F130" s="196" t="s">
        <v>144</v>
      </c>
      <c r="G130" s="196" t="s">
        <v>145</v>
      </c>
      <c r="H130" s="196" t="s">
        <v>146</v>
      </c>
      <c r="I130" s="197">
        <v>54.0</v>
      </c>
      <c r="J130" s="169">
        <f t="shared" ref="J130:M130" si="133">I130+1</f>
        <v>55</v>
      </c>
      <c r="K130" s="169">
        <f t="shared" si="133"/>
        <v>56</v>
      </c>
      <c r="L130" s="169">
        <f t="shared" si="133"/>
        <v>57</v>
      </c>
      <c r="M130" s="169">
        <f t="shared" si="133"/>
        <v>58</v>
      </c>
    </row>
    <row r="131" ht="15.75" hidden="1" customHeight="1">
      <c r="A131" s="178">
        <f>B131+1</f>
        <v>141</v>
      </c>
      <c r="B131" s="178">
        <f>C$131*10</f>
        <v>140</v>
      </c>
      <c r="C131" s="198">
        <f>C122+1</f>
        <v>14</v>
      </c>
      <c r="D131" s="182">
        <f>D122+7</f>
        <v>45992</v>
      </c>
      <c r="E131" s="182">
        <f t="shared" ref="E131:H131" si="134">D131+1</f>
        <v>45993</v>
      </c>
      <c r="F131" s="182">
        <f t="shared" si="134"/>
        <v>45994</v>
      </c>
      <c r="G131" s="182">
        <f t="shared" si="134"/>
        <v>45995</v>
      </c>
      <c r="H131" s="182">
        <f t="shared" si="134"/>
        <v>45996</v>
      </c>
      <c r="I131" s="174" t="s">
        <v>42</v>
      </c>
    </row>
    <row r="132" ht="15.75" customHeight="1">
      <c r="A132" s="199">
        <f>B132+2</f>
        <v>142</v>
      </c>
      <c r="B132" s="199">
        <f t="shared" ref="B132:B138" si="136">B131</f>
        <v>140</v>
      </c>
      <c r="C132" s="76"/>
      <c r="D132" s="201" t="str">
        <f>if(isblank(I132),"",vlookup(I132,Pacing!$A$1:$H$213,2))</f>
        <v>4.1: Mom &amp; Impulse</v>
      </c>
      <c r="E132" s="201" t="str">
        <f>if(isblank(J132),"",vlookup(J132,Pacing!$A$1:$H$213,2))</f>
        <v>4.1: Mom &amp; Impulse</v>
      </c>
      <c r="F132" s="201" t="str">
        <f>if(isblank(K132),"",vlookup(K132,Pacing!$A$1:$H$213,2))</f>
        <v>4.2: Conserve Mom</v>
      </c>
      <c r="G132" s="201" t="str">
        <f>if(isblank(L132),"",vlookup(L132,Pacing!$A$1:$H$213,2))</f>
        <v>4.2: Conserve Mom</v>
      </c>
      <c r="H132" s="201" t="str">
        <f>if(isblank(M132),"",vlookup(M132,Pacing!$A$1:$H$213,2))</f>
        <v>4.2: Conserve Mom</v>
      </c>
      <c r="I132" s="202">
        <f t="shared" ref="I132:M132" si="135">I130</f>
        <v>54</v>
      </c>
      <c r="J132" s="202">
        <f t="shared" si="135"/>
        <v>55</v>
      </c>
      <c r="K132" s="202">
        <f t="shared" si="135"/>
        <v>56</v>
      </c>
      <c r="L132" s="202">
        <f t="shared" si="135"/>
        <v>57</v>
      </c>
      <c r="M132" s="202">
        <f t="shared" si="135"/>
        <v>58</v>
      </c>
    </row>
    <row r="133" ht="15.75" customHeight="1">
      <c r="A133" s="178">
        <f>B133+3</f>
        <v>143</v>
      </c>
      <c r="B133" s="178">
        <f t="shared" si="136"/>
        <v>140</v>
      </c>
      <c r="C133" s="76"/>
      <c r="D133" s="185" t="str">
        <f>if(isblank(I133),"",vlookup(I133,Pacing!$A$1:$H$213,3))</f>
        <v>Warm Up</v>
      </c>
      <c r="E133" s="185" t="str">
        <f>if(isblank(J133),"",vlookup(J133,Pacing!$A$1:$H$213,3))</f>
        <v>Warm Up</v>
      </c>
      <c r="F133" s="185" t="str">
        <f>if(isblank(K133),"",vlookup(K133,Pacing!$A$1:$H$213,3))</f>
        <v>Warm Up</v>
      </c>
      <c r="G133" s="185" t="str">
        <f>if(isblank(L133),"",vlookup(L133,Pacing!$A$1:$H$213,3))</f>
        <v>Warm Up</v>
      </c>
      <c r="H133" s="185" t="str">
        <f>if(isblank(M133),"",vlookup(M133,Pacing!$A$1:$H$213,3))</f>
        <v>Warm Up</v>
      </c>
      <c r="I133" s="191">
        <f t="shared" ref="I133:M133" si="137">I132</f>
        <v>54</v>
      </c>
      <c r="J133" s="191">
        <f t="shared" si="137"/>
        <v>55</v>
      </c>
      <c r="K133" s="191">
        <f t="shared" si="137"/>
        <v>56</v>
      </c>
      <c r="L133" s="191">
        <f t="shared" si="137"/>
        <v>57</v>
      </c>
      <c r="M133" s="191">
        <f t="shared" si="137"/>
        <v>58</v>
      </c>
    </row>
    <row r="134" ht="15.75" customHeight="1">
      <c r="A134" s="178">
        <f>B134+4</f>
        <v>144</v>
      </c>
      <c r="B134" s="178">
        <f t="shared" si="136"/>
        <v>140</v>
      </c>
      <c r="C134" s="76"/>
      <c r="D134" s="185" t="str">
        <f>if(isblank(I134),"",vlookup(I134,Pacing!$A$1:$H$213,4))</f>
        <v>Demo</v>
      </c>
      <c r="E134" s="185" t="str">
        <f>if(isblank(J134),"",vlookup(J134,Pacing!$A$1:$H$213,4))</f>
        <v>Demo</v>
      </c>
      <c r="F134" s="185" t="str">
        <f>if(isblank(K134),"",vlookup(K134,Pacing!$A$1:$H$213,4))</f>
        <v>Demo</v>
      </c>
      <c r="G134" s="185" t="str">
        <f>if(isblank(L134),"",vlookup(L134,Pacing!$A$1:$H$213,4))</f>
        <v>Demo</v>
      </c>
      <c r="H134" s="185" t="str">
        <f>if(isblank(M134),"",vlookup(M134,Pacing!$A$1:$H$213,4))</f>
        <v>Demo</v>
      </c>
      <c r="I134" s="191">
        <f t="shared" ref="I134:M134" si="138">I133</f>
        <v>54</v>
      </c>
      <c r="J134" s="191">
        <f t="shared" si="138"/>
        <v>55</v>
      </c>
      <c r="K134" s="191">
        <f t="shared" si="138"/>
        <v>56</v>
      </c>
      <c r="L134" s="191">
        <f t="shared" si="138"/>
        <v>57</v>
      </c>
      <c r="M134" s="191">
        <f t="shared" si="138"/>
        <v>58</v>
      </c>
    </row>
    <row r="135" ht="15.75" customHeight="1">
      <c r="A135" s="178">
        <f>B135+5</f>
        <v>145</v>
      </c>
      <c r="B135" s="178">
        <f t="shared" si="136"/>
        <v>140</v>
      </c>
      <c r="C135" s="76"/>
      <c r="D135" s="185" t="str">
        <f>if(isblank(I135),"",vlookup(I135,Pacing!$A$1:$H$213,5))</f>
        <v>Notes</v>
      </c>
      <c r="E135" s="185" t="str">
        <f>if(isblank(J135),"",vlookup(J135,Pacing!$A$1:$H$213,5))</f>
        <v>Notes</v>
      </c>
      <c r="F135" s="185" t="str">
        <f>if(isblank(K135),"",vlookup(K135,Pacing!$A$1:$H$213,5))</f>
        <v>Notes</v>
      </c>
      <c r="G135" s="185" t="str">
        <f>if(isblank(L135),"",vlookup(L135,Pacing!$A$1:$H$213,5))</f>
        <v>Notes</v>
      </c>
      <c r="H135" s="185" t="str">
        <f>if(isblank(M135),"",vlookup(M135,Pacing!$A$1:$H$213,5))</f>
        <v>Notes</v>
      </c>
      <c r="I135" s="191">
        <f t="shared" ref="I135:M135" si="139">I134</f>
        <v>54</v>
      </c>
      <c r="J135" s="191">
        <f t="shared" si="139"/>
        <v>55</v>
      </c>
      <c r="K135" s="191">
        <f t="shared" si="139"/>
        <v>56</v>
      </c>
      <c r="L135" s="191">
        <f t="shared" si="139"/>
        <v>57</v>
      </c>
      <c r="M135" s="191">
        <f t="shared" si="139"/>
        <v>58</v>
      </c>
    </row>
    <row r="136" ht="15.75" customHeight="1">
      <c r="A136" s="178">
        <f>B136+6</f>
        <v>146</v>
      </c>
      <c r="B136" s="178">
        <f t="shared" si="136"/>
        <v>140</v>
      </c>
      <c r="C136" s="76"/>
      <c r="D136" s="185" t="str">
        <f>if(isblank(I136),"",vlookup(I136,Pacing!$A$1:$H$213,6))</f>
        <v>Investigation</v>
      </c>
      <c r="E136" s="185" t="str">
        <f>if(isblank(J136),"",vlookup(J136,Pacing!$A$1:$H$213,6))</f>
        <v>Investigation</v>
      </c>
      <c r="F136" s="185" t="str">
        <f>if(isblank(K136),"",vlookup(K136,Pacing!$A$1:$H$213,6))</f>
        <v>Investigation</v>
      </c>
      <c r="G136" s="185" t="str">
        <f>if(isblank(L136),"",vlookup(L136,Pacing!$A$1:$H$213,6))</f>
        <v>Investigation</v>
      </c>
      <c r="H136" s="185" t="str">
        <f>if(isblank(M136),"",vlookup(M136,Pacing!$A$1:$H$213,6))</f>
        <v>Investigation</v>
      </c>
      <c r="I136" s="191">
        <f t="shared" ref="I136:M136" si="140">I135</f>
        <v>54</v>
      </c>
      <c r="J136" s="191">
        <f t="shared" si="140"/>
        <v>55</v>
      </c>
      <c r="K136" s="191">
        <f t="shared" si="140"/>
        <v>56</v>
      </c>
      <c r="L136" s="191">
        <f t="shared" si="140"/>
        <v>57</v>
      </c>
      <c r="M136" s="191">
        <f t="shared" si="140"/>
        <v>58</v>
      </c>
    </row>
    <row r="137" ht="15.75" hidden="1" customHeight="1">
      <c r="A137" s="178">
        <f>B137+7</f>
        <v>147</v>
      </c>
      <c r="B137" s="178">
        <f t="shared" si="136"/>
        <v>140</v>
      </c>
      <c r="C137" s="76"/>
      <c r="D137" s="185" t="str">
        <f>if(isblank(I137),"",vlookup(I137,Pacing!$A$1:$H$213,7))</f>
        <v>Activity</v>
      </c>
      <c r="E137" s="185" t="str">
        <f>if(isblank(J137),"",vlookup(J137,Pacing!$A$1:$H$213,7))</f>
        <v>Activity</v>
      </c>
      <c r="F137" s="185" t="str">
        <f>if(isblank(K137),"",vlookup(K137,Pacing!$A$1:$H$213,7))</f>
        <v>Activity</v>
      </c>
      <c r="G137" s="185" t="str">
        <f>if(isblank(L137),"",vlookup(L137,Pacing!$A$1:$H$213,7))</f>
        <v>Activity</v>
      </c>
      <c r="H137" s="185" t="str">
        <f>if(isblank(M137),"",vlookup(M137,Pacing!$A$1:$H$213,7))</f>
        <v>Activity</v>
      </c>
      <c r="I137" s="191">
        <f t="shared" ref="I137:M137" si="141">I136</f>
        <v>54</v>
      </c>
      <c r="J137" s="191">
        <f t="shared" si="141"/>
        <v>55</v>
      </c>
      <c r="K137" s="191">
        <f t="shared" si="141"/>
        <v>56</v>
      </c>
      <c r="L137" s="191">
        <f t="shared" si="141"/>
        <v>57</v>
      </c>
      <c r="M137" s="191">
        <f t="shared" si="141"/>
        <v>58</v>
      </c>
    </row>
    <row r="138" ht="15.75" hidden="1" customHeight="1">
      <c r="A138" s="178">
        <f>B138+8</f>
        <v>148</v>
      </c>
      <c r="B138" s="178">
        <f t="shared" si="136"/>
        <v>140</v>
      </c>
      <c r="C138" s="95"/>
      <c r="D138" s="185" t="str">
        <f>if(isblank(I138),"",vlookup(I138,Pacing!$A$1:$H$213,8))</f>
        <v>Practice Set</v>
      </c>
      <c r="E138" s="185" t="str">
        <f>if(isblank(J138),"",vlookup(J138,Pacing!$A$1:$H$213,8))</f>
        <v>Practice Set</v>
      </c>
      <c r="F138" s="185" t="str">
        <f>if(isblank(K138),"",vlookup(K138,Pacing!$A$1:$H$213,8))</f>
        <v>Practice Set</v>
      </c>
      <c r="G138" s="185" t="str">
        <f>if(isblank(L138),"",vlookup(L138,Pacing!$A$1:$H$213,8))</f>
        <v>Practice Set</v>
      </c>
      <c r="H138" s="185" t="str">
        <f>if(isblank(M138),"",vlookup(M138,Pacing!$A$1:$H$213,8))</f>
        <v>Practice Set</v>
      </c>
      <c r="I138" s="191">
        <f t="shared" ref="I138:M138" si="142">I137</f>
        <v>54</v>
      </c>
      <c r="J138" s="191">
        <f t="shared" si="142"/>
        <v>55</v>
      </c>
      <c r="K138" s="191">
        <f t="shared" si="142"/>
        <v>56</v>
      </c>
      <c r="L138" s="191">
        <f t="shared" si="142"/>
        <v>57</v>
      </c>
      <c r="M138" s="191">
        <f t="shared" si="142"/>
        <v>58</v>
      </c>
    </row>
    <row r="139" ht="15.75" customHeight="1">
      <c r="A139" s="194"/>
      <c r="B139" s="194"/>
      <c r="C139" s="195"/>
      <c r="D139" s="196" t="s">
        <v>148</v>
      </c>
      <c r="E139" s="196" t="s">
        <v>149</v>
      </c>
      <c r="F139" s="196" t="s">
        <v>150</v>
      </c>
      <c r="G139" s="196" t="s">
        <v>152</v>
      </c>
      <c r="H139" s="196" t="s">
        <v>153</v>
      </c>
      <c r="I139" s="197">
        <f>M130+1</f>
        <v>59</v>
      </c>
      <c r="J139" s="169">
        <f t="shared" ref="J139:M139" si="143">I139+1</f>
        <v>60</v>
      </c>
      <c r="K139" s="169">
        <f t="shared" si="143"/>
        <v>61</v>
      </c>
      <c r="L139" s="169">
        <f t="shared" si="143"/>
        <v>62</v>
      </c>
      <c r="M139" s="169">
        <f t="shared" si="143"/>
        <v>63</v>
      </c>
    </row>
    <row r="140" ht="15.75" hidden="1" customHeight="1">
      <c r="A140" s="178">
        <f>B140+1</f>
        <v>151</v>
      </c>
      <c r="B140" s="178">
        <f>C$140*10</f>
        <v>150</v>
      </c>
      <c r="C140" s="198">
        <f>C131+1</f>
        <v>15</v>
      </c>
      <c r="D140" s="182">
        <f>D131+7</f>
        <v>45999</v>
      </c>
      <c r="E140" s="182">
        <f t="shared" ref="E140:H140" si="144">D140+1</f>
        <v>46000</v>
      </c>
      <c r="F140" s="182">
        <f t="shared" si="144"/>
        <v>46001</v>
      </c>
      <c r="G140" s="182">
        <f t="shared" si="144"/>
        <v>46002</v>
      </c>
      <c r="H140" s="182">
        <f t="shared" si="144"/>
        <v>46003</v>
      </c>
      <c r="I140" s="174" t="s">
        <v>42</v>
      </c>
    </row>
    <row r="141" ht="15.75" customHeight="1">
      <c r="A141" s="199">
        <f>B141+2</f>
        <v>152</v>
      </c>
      <c r="B141" s="199">
        <f t="shared" ref="B141:B147" si="146">B140</f>
        <v>150</v>
      </c>
      <c r="C141" s="76"/>
      <c r="D141" s="201" t="str">
        <f>if(isblank(I141),"",vlookup(I141,Pacing!$A$1:$H$213,2))</f>
        <v>4.3: Work &amp; Energy</v>
      </c>
      <c r="E141" s="201" t="str">
        <f>if(isblank(J141),"",vlookup(J141,Pacing!$A$1:$H$213,2))</f>
        <v>4.3: Work &amp; Energy</v>
      </c>
      <c r="F141" s="201" t="str">
        <f>if(isblank(K141),"",vlookup(K141,Pacing!$A$1:$H$213,2))</f>
        <v>4.3: Work &amp; Energy</v>
      </c>
      <c r="G141" s="201" t="str">
        <f>if(isblank(L141),"",vlookup(L141,Pacing!$A$1:$H$213,2))</f>
        <v>4.4: Conserve Energy</v>
      </c>
      <c r="H141" s="201" t="str">
        <f>if(isblank(M141),"",vlookup(M141,Pacing!$A$1:$H$213,2))</f>
        <v>4.4: Conserve Energy</v>
      </c>
      <c r="I141" s="202">
        <f t="shared" ref="I141:M141" si="145">I139</f>
        <v>59</v>
      </c>
      <c r="J141" s="202">
        <f t="shared" si="145"/>
        <v>60</v>
      </c>
      <c r="K141" s="202">
        <f t="shared" si="145"/>
        <v>61</v>
      </c>
      <c r="L141" s="202">
        <f t="shared" si="145"/>
        <v>62</v>
      </c>
      <c r="M141" s="202">
        <f t="shared" si="145"/>
        <v>63</v>
      </c>
    </row>
    <row r="142" ht="15.75" customHeight="1">
      <c r="A142" s="178">
        <f>B142+3</f>
        <v>153</v>
      </c>
      <c r="B142" s="178">
        <f t="shared" si="146"/>
        <v>150</v>
      </c>
      <c r="C142" s="76"/>
      <c r="D142" s="185" t="str">
        <f>if(isblank(I142),"",vlookup(I142,Pacing!$A$1:$H$213,3))</f>
        <v>Warm Up</v>
      </c>
      <c r="E142" s="185" t="str">
        <f>if(isblank(J142),"",vlookup(J142,Pacing!$A$1:$H$213,3))</f>
        <v>Warm Up</v>
      </c>
      <c r="F142" s="185" t="str">
        <f>if(isblank(K142),"",vlookup(K142,Pacing!$A$1:$H$213,3))</f>
        <v>Warm Up</v>
      </c>
      <c r="G142" s="185" t="str">
        <f>if(isblank(L142),"",vlookup(L142,Pacing!$A$1:$H$213,3))</f>
        <v>Warm Up</v>
      </c>
      <c r="H142" s="185" t="str">
        <f>if(isblank(M142),"",vlookup(M142,Pacing!$A$1:$H$213,3))</f>
        <v>Warm Up</v>
      </c>
      <c r="I142" s="191">
        <f t="shared" ref="I142:M142" si="147">I141</f>
        <v>59</v>
      </c>
      <c r="J142" s="191">
        <f t="shared" si="147"/>
        <v>60</v>
      </c>
      <c r="K142" s="191">
        <f t="shared" si="147"/>
        <v>61</v>
      </c>
      <c r="L142" s="191">
        <f t="shared" si="147"/>
        <v>62</v>
      </c>
      <c r="M142" s="191">
        <f t="shared" si="147"/>
        <v>63</v>
      </c>
    </row>
    <row r="143" ht="15.75" customHeight="1">
      <c r="A143" s="178">
        <f>B143+4</f>
        <v>154</v>
      </c>
      <c r="B143" s="178">
        <f t="shared" si="146"/>
        <v>150</v>
      </c>
      <c r="C143" s="76"/>
      <c r="D143" s="185" t="str">
        <f>if(isblank(I143),"",vlookup(I143,Pacing!$A$1:$H$213,4))</f>
        <v>Demo</v>
      </c>
      <c r="E143" s="185" t="str">
        <f>if(isblank(J143),"",vlookup(J143,Pacing!$A$1:$H$213,4))</f>
        <v>Demo</v>
      </c>
      <c r="F143" s="185" t="str">
        <f>if(isblank(K143),"",vlookup(K143,Pacing!$A$1:$H$213,4))</f>
        <v>Demo</v>
      </c>
      <c r="G143" s="185" t="str">
        <f>if(isblank(L143),"",vlookup(L143,Pacing!$A$1:$H$213,4))</f>
        <v>Demo</v>
      </c>
      <c r="H143" s="185" t="str">
        <f>if(isblank(M143),"",vlookup(M143,Pacing!$A$1:$H$213,4))</f>
        <v>Demo</v>
      </c>
      <c r="I143" s="191">
        <f t="shared" ref="I143:M143" si="148">I142</f>
        <v>59</v>
      </c>
      <c r="J143" s="191">
        <f t="shared" si="148"/>
        <v>60</v>
      </c>
      <c r="K143" s="191">
        <f t="shared" si="148"/>
        <v>61</v>
      </c>
      <c r="L143" s="191">
        <f t="shared" si="148"/>
        <v>62</v>
      </c>
      <c r="M143" s="191">
        <f t="shared" si="148"/>
        <v>63</v>
      </c>
    </row>
    <row r="144" ht="15.75" customHeight="1">
      <c r="A144" s="178">
        <f>B144+5</f>
        <v>155</v>
      </c>
      <c r="B144" s="178">
        <f t="shared" si="146"/>
        <v>150</v>
      </c>
      <c r="C144" s="76"/>
      <c r="D144" s="185" t="str">
        <f>if(isblank(I144),"",vlookup(I144,Pacing!$A$1:$H$213,5))</f>
        <v>Notes</v>
      </c>
      <c r="E144" s="185" t="str">
        <f>if(isblank(J144),"",vlookup(J144,Pacing!$A$1:$H$213,5))</f>
        <v>Notes</v>
      </c>
      <c r="F144" s="185" t="str">
        <f>if(isblank(K144),"",vlookup(K144,Pacing!$A$1:$H$213,5))</f>
        <v>Notes</v>
      </c>
      <c r="G144" s="185" t="str">
        <f>if(isblank(L144),"",vlookup(L144,Pacing!$A$1:$H$213,5))</f>
        <v>Notes</v>
      </c>
      <c r="H144" s="185" t="str">
        <f>if(isblank(M144),"",vlookup(M144,Pacing!$A$1:$H$213,5))</f>
        <v>Notes</v>
      </c>
      <c r="I144" s="191">
        <f t="shared" ref="I144:M144" si="149">I143</f>
        <v>59</v>
      </c>
      <c r="J144" s="191">
        <f t="shared" si="149"/>
        <v>60</v>
      </c>
      <c r="K144" s="191">
        <f t="shared" si="149"/>
        <v>61</v>
      </c>
      <c r="L144" s="191">
        <f t="shared" si="149"/>
        <v>62</v>
      </c>
      <c r="M144" s="191">
        <f t="shared" si="149"/>
        <v>63</v>
      </c>
    </row>
    <row r="145" ht="15.75" customHeight="1">
      <c r="A145" s="178">
        <f>B145+6</f>
        <v>156</v>
      </c>
      <c r="B145" s="178">
        <f t="shared" si="146"/>
        <v>150</v>
      </c>
      <c r="C145" s="76"/>
      <c r="D145" s="185" t="str">
        <f>if(isblank(I145),"",vlookup(I145,Pacing!$A$1:$H$213,6))</f>
        <v>Investigation</v>
      </c>
      <c r="E145" s="185" t="str">
        <f>if(isblank(J145),"",vlookup(J145,Pacing!$A$1:$H$213,6))</f>
        <v>Investigation</v>
      </c>
      <c r="F145" s="185" t="str">
        <f>if(isblank(K145),"",vlookup(K145,Pacing!$A$1:$H$213,6))</f>
        <v>Investigation</v>
      </c>
      <c r="G145" s="185" t="str">
        <f>if(isblank(L145),"",vlookup(L145,Pacing!$A$1:$H$213,6))</f>
        <v>Investigation</v>
      </c>
      <c r="H145" s="185" t="str">
        <f>if(isblank(M145),"",vlookup(M145,Pacing!$A$1:$H$213,6))</f>
        <v>Investigation</v>
      </c>
      <c r="I145" s="191">
        <f t="shared" ref="I145:M145" si="150">I144</f>
        <v>59</v>
      </c>
      <c r="J145" s="191">
        <f t="shared" si="150"/>
        <v>60</v>
      </c>
      <c r="K145" s="191">
        <f t="shared" si="150"/>
        <v>61</v>
      </c>
      <c r="L145" s="191">
        <f t="shared" si="150"/>
        <v>62</v>
      </c>
      <c r="M145" s="191">
        <f t="shared" si="150"/>
        <v>63</v>
      </c>
    </row>
    <row r="146" ht="15.75" hidden="1" customHeight="1">
      <c r="A146" s="178">
        <f>B146+7</f>
        <v>157</v>
      </c>
      <c r="B146" s="178">
        <f t="shared" si="146"/>
        <v>150</v>
      </c>
      <c r="C146" s="76"/>
      <c r="D146" s="185" t="str">
        <f>if(isblank(I146),"",vlookup(I146,Pacing!$A$1:$H$213,7))</f>
        <v>Activity</v>
      </c>
      <c r="E146" s="185" t="str">
        <f>if(isblank(J146),"",vlookup(J146,Pacing!$A$1:$H$213,7))</f>
        <v>Activity</v>
      </c>
      <c r="F146" s="185" t="str">
        <f>if(isblank(K146),"",vlookup(K146,Pacing!$A$1:$H$213,7))</f>
        <v>Activity</v>
      </c>
      <c r="G146" s="185" t="str">
        <f>if(isblank(L146),"",vlookup(L146,Pacing!$A$1:$H$213,7))</f>
        <v>Activity</v>
      </c>
      <c r="H146" s="185" t="str">
        <f>if(isblank(M146),"",vlookup(M146,Pacing!$A$1:$H$213,7))</f>
        <v>Activity</v>
      </c>
      <c r="I146" s="191">
        <f t="shared" ref="I146:M146" si="151">I145</f>
        <v>59</v>
      </c>
      <c r="J146" s="191">
        <f t="shared" si="151"/>
        <v>60</v>
      </c>
      <c r="K146" s="191">
        <f t="shared" si="151"/>
        <v>61</v>
      </c>
      <c r="L146" s="191">
        <f t="shared" si="151"/>
        <v>62</v>
      </c>
      <c r="M146" s="191">
        <f t="shared" si="151"/>
        <v>63</v>
      </c>
    </row>
    <row r="147" ht="15.75" hidden="1" customHeight="1">
      <c r="A147" s="178">
        <f>B147+8</f>
        <v>158</v>
      </c>
      <c r="B147" s="178">
        <f t="shared" si="146"/>
        <v>150</v>
      </c>
      <c r="C147" s="95"/>
      <c r="D147" s="185" t="str">
        <f>if(isblank(I147),"",vlookup(I147,Pacing!$A$1:$H$213,8))</f>
        <v>Practice Set</v>
      </c>
      <c r="E147" s="185" t="str">
        <f>if(isblank(J147),"",vlookup(J147,Pacing!$A$1:$H$213,8))</f>
        <v>Practice Set</v>
      </c>
      <c r="F147" s="185" t="str">
        <f>if(isblank(K147),"",vlookup(K147,Pacing!$A$1:$H$213,8))</f>
        <v>Practice Set</v>
      </c>
      <c r="G147" s="185" t="str">
        <f>if(isblank(L147),"",vlookup(L147,Pacing!$A$1:$H$213,8))</f>
        <v>Practice Set</v>
      </c>
      <c r="H147" s="185" t="str">
        <f>if(isblank(M147),"",vlookup(M147,Pacing!$A$1:$H$213,8))</f>
        <v>Practice Set</v>
      </c>
      <c r="I147" s="191">
        <f t="shared" ref="I147:M147" si="152">I146</f>
        <v>59</v>
      </c>
      <c r="J147" s="191">
        <f t="shared" si="152"/>
        <v>60</v>
      </c>
      <c r="K147" s="191">
        <f t="shared" si="152"/>
        <v>61</v>
      </c>
      <c r="L147" s="191">
        <f t="shared" si="152"/>
        <v>62</v>
      </c>
      <c r="M147" s="191">
        <f t="shared" si="152"/>
        <v>63</v>
      </c>
    </row>
    <row r="148" ht="15.75" customHeight="1">
      <c r="A148" s="194"/>
      <c r="B148" s="194"/>
      <c r="C148" s="195"/>
      <c r="D148" s="196" t="s">
        <v>156</v>
      </c>
      <c r="E148" s="196" t="s">
        <v>157</v>
      </c>
      <c r="F148" s="196" t="s">
        <v>158</v>
      </c>
      <c r="G148" s="196" t="s">
        <v>159</v>
      </c>
      <c r="H148" s="196" t="s">
        <v>160</v>
      </c>
      <c r="I148" s="197">
        <f>M139+1</f>
        <v>64</v>
      </c>
      <c r="J148" s="169">
        <f t="shared" ref="J148:M148" si="153">I148+1</f>
        <v>65</v>
      </c>
      <c r="K148" s="169">
        <f t="shared" si="153"/>
        <v>66</v>
      </c>
      <c r="L148" s="169">
        <f t="shared" si="153"/>
        <v>67</v>
      </c>
      <c r="M148" s="169">
        <f t="shared" si="153"/>
        <v>68</v>
      </c>
    </row>
    <row r="149" ht="15.75" hidden="1" customHeight="1">
      <c r="A149" s="178">
        <f>B149+1</f>
        <v>161</v>
      </c>
      <c r="B149" s="178">
        <f>C$149*10</f>
        <v>160</v>
      </c>
      <c r="C149" s="198">
        <f>C140+1</f>
        <v>16</v>
      </c>
      <c r="D149" s="182">
        <f>D140+7</f>
        <v>46006</v>
      </c>
      <c r="E149" s="182">
        <f t="shared" ref="E149:H149" si="154">D149+1</f>
        <v>46007</v>
      </c>
      <c r="F149" s="182">
        <f t="shared" si="154"/>
        <v>46008</v>
      </c>
      <c r="G149" s="182">
        <f t="shared" si="154"/>
        <v>46009</v>
      </c>
      <c r="H149" s="182">
        <f t="shared" si="154"/>
        <v>46010</v>
      </c>
      <c r="I149" s="174" t="s">
        <v>42</v>
      </c>
    </row>
    <row r="150" ht="15.75" customHeight="1">
      <c r="A150" s="199">
        <f>B150+2</f>
        <v>162</v>
      </c>
      <c r="B150" s="199">
        <f t="shared" ref="B150:B156" si="156">B149</f>
        <v>160</v>
      </c>
      <c r="C150" s="76"/>
      <c r="D150" s="201" t="str">
        <f>if(isblank(I150),"",vlookup(I150,Pacing!$A$1:$H$213,2))</f>
        <v>4.4: Conserve Energy</v>
      </c>
      <c r="E150" s="201" t="str">
        <f>if(isblank(J150),"",vlookup(J150,Pacing!$A$1:$H$213,2))</f>
        <v>4.5: Energy &amp; Society</v>
      </c>
      <c r="F150" s="201" t="str">
        <f>if(isblank(K150),"",vlookup(K150,Pacing!$A$1:$H$213,2))</f>
        <v>4.5: Energy &amp; Society</v>
      </c>
      <c r="G150" s="201" t="str">
        <f>if(isblank(L150),"",vlookup(L150,Pacing!$A$1:$H$213,2))</f>
        <v>4.5: Energy &amp; Society</v>
      </c>
      <c r="H150" s="201" t="str">
        <f>if(isblank(M150),"",vlookup(M150,Pacing!$A$1:$H$213,2))</f>
        <v>Unit 4 Sum Assess</v>
      </c>
      <c r="I150" s="202">
        <f t="shared" ref="I150:M150" si="155">I148</f>
        <v>64</v>
      </c>
      <c r="J150" s="202">
        <f t="shared" si="155"/>
        <v>65</v>
      </c>
      <c r="K150" s="202">
        <f t="shared" si="155"/>
        <v>66</v>
      </c>
      <c r="L150" s="202">
        <f t="shared" si="155"/>
        <v>67</v>
      </c>
      <c r="M150" s="202">
        <f t="shared" si="155"/>
        <v>68</v>
      </c>
    </row>
    <row r="151" ht="15.75" customHeight="1">
      <c r="A151" s="178">
        <f>B151+3</f>
        <v>163</v>
      </c>
      <c r="B151" s="178">
        <f t="shared" si="156"/>
        <v>160</v>
      </c>
      <c r="C151" s="76"/>
      <c r="D151" s="185" t="str">
        <f>if(isblank(I151),"",vlookup(I151,Pacing!$A$1:$H$213,3))</f>
        <v>Warm Up</v>
      </c>
      <c r="E151" s="185" t="str">
        <f>if(isblank(J151),"",vlookup(J151,Pacing!$A$1:$H$213,3))</f>
        <v>Warm Up</v>
      </c>
      <c r="F151" s="185" t="str">
        <f>if(isblank(K151),"",vlookup(K151,Pacing!$A$1:$H$213,3))</f>
        <v>Warm Up</v>
      </c>
      <c r="G151" s="185" t="str">
        <f>if(isblank(L151),"",vlookup(L151,Pacing!$A$1:$H$213,3))</f>
        <v>Warm Up</v>
      </c>
      <c r="H151" s="193" t="str">
        <f>if(isblank(M151),"",vlookup(M151,Pacing!$A$1:$H$213,3))</f>
        <v/>
      </c>
      <c r="I151" s="191">
        <f t="shared" ref="I151:M151" si="157">I150</f>
        <v>64</v>
      </c>
      <c r="J151" s="191">
        <f t="shared" si="157"/>
        <v>65</v>
      </c>
      <c r="K151" s="191">
        <f t="shared" si="157"/>
        <v>66</v>
      </c>
      <c r="L151" s="191">
        <f t="shared" si="157"/>
        <v>67</v>
      </c>
      <c r="M151" s="191">
        <f t="shared" si="157"/>
        <v>68</v>
      </c>
    </row>
    <row r="152" ht="15.75" customHeight="1">
      <c r="A152" s="178">
        <f>B152+4</f>
        <v>164</v>
      </c>
      <c r="B152" s="178">
        <f t="shared" si="156"/>
        <v>160</v>
      </c>
      <c r="C152" s="76"/>
      <c r="D152" s="185" t="str">
        <f>if(isblank(I152),"",vlookup(I152,Pacing!$A$1:$H$213,4))</f>
        <v>Demo</v>
      </c>
      <c r="E152" s="185" t="str">
        <f>if(isblank(J152),"",vlookup(J152,Pacing!$A$1:$H$213,4))</f>
        <v>Demo</v>
      </c>
      <c r="F152" s="185" t="str">
        <f>if(isblank(K152),"",vlookup(K152,Pacing!$A$1:$H$213,4))</f>
        <v>Demo</v>
      </c>
      <c r="G152" s="185" t="str">
        <f>if(isblank(L152),"",vlookup(L152,Pacing!$A$1:$H$213,4))</f>
        <v>Demo</v>
      </c>
      <c r="H152" s="193" t="str">
        <f>if(isblank(M152),"",vlookup(M152,Pacing!$A$1:$H$213,4))</f>
        <v/>
      </c>
      <c r="I152" s="191">
        <f t="shared" ref="I152:M152" si="158">I151</f>
        <v>64</v>
      </c>
      <c r="J152" s="191">
        <f t="shared" si="158"/>
        <v>65</v>
      </c>
      <c r="K152" s="191">
        <f t="shared" si="158"/>
        <v>66</v>
      </c>
      <c r="L152" s="191">
        <f t="shared" si="158"/>
        <v>67</v>
      </c>
      <c r="M152" s="191">
        <f t="shared" si="158"/>
        <v>68</v>
      </c>
    </row>
    <row r="153" ht="15.75" customHeight="1">
      <c r="A153" s="178">
        <f>B153+5</f>
        <v>165</v>
      </c>
      <c r="B153" s="178">
        <f t="shared" si="156"/>
        <v>160</v>
      </c>
      <c r="C153" s="76"/>
      <c r="D153" s="185" t="str">
        <f>if(isblank(I153),"",vlookup(I153,Pacing!$A$1:$H$213,5))</f>
        <v>Notes</v>
      </c>
      <c r="E153" s="185" t="str">
        <f>if(isblank(J153),"",vlookup(J153,Pacing!$A$1:$H$213,5))</f>
        <v>Notes</v>
      </c>
      <c r="F153" s="185" t="str">
        <f>if(isblank(K153),"",vlookup(K153,Pacing!$A$1:$H$213,5))</f>
        <v>Notes</v>
      </c>
      <c r="G153" s="185" t="str">
        <f>if(isblank(L153),"",vlookup(L153,Pacing!$A$1:$H$213,5))</f>
        <v>Notes</v>
      </c>
      <c r="H153" s="193" t="str">
        <f>if(isblank(M153),"",vlookup(M153,Pacing!$A$1:$H$213,5))</f>
        <v/>
      </c>
      <c r="I153" s="191">
        <f t="shared" ref="I153:M153" si="159">I152</f>
        <v>64</v>
      </c>
      <c r="J153" s="191">
        <f t="shared" si="159"/>
        <v>65</v>
      </c>
      <c r="K153" s="191">
        <f t="shared" si="159"/>
        <v>66</v>
      </c>
      <c r="L153" s="191">
        <f t="shared" si="159"/>
        <v>67</v>
      </c>
      <c r="M153" s="191">
        <f t="shared" si="159"/>
        <v>68</v>
      </c>
    </row>
    <row r="154" ht="15.75" customHeight="1">
      <c r="A154" s="178">
        <f>B154+6</f>
        <v>166</v>
      </c>
      <c r="B154" s="178">
        <f t="shared" si="156"/>
        <v>160</v>
      </c>
      <c r="C154" s="76"/>
      <c r="D154" s="185" t="str">
        <f>if(isblank(I154),"",vlookup(I154,Pacing!$A$1:$H$213,6))</f>
        <v>Investigation</v>
      </c>
      <c r="E154" s="185" t="str">
        <f>if(isblank(J154),"",vlookup(J154,Pacing!$A$1:$H$213,6))</f>
        <v>Investigation</v>
      </c>
      <c r="F154" s="185" t="str">
        <f>if(isblank(K154),"",vlookup(K154,Pacing!$A$1:$H$213,6))</f>
        <v>Investigation</v>
      </c>
      <c r="G154" s="185" t="str">
        <f>if(isblank(L154),"",vlookup(L154,Pacing!$A$1:$H$213,6))</f>
        <v>Investigation</v>
      </c>
      <c r="H154" s="193" t="str">
        <f>if(isblank(M154),"",vlookup(M154,Pacing!$A$1:$H$213,6))</f>
        <v/>
      </c>
      <c r="I154" s="191">
        <f t="shared" ref="I154:M154" si="160">I153</f>
        <v>64</v>
      </c>
      <c r="J154" s="191">
        <f t="shared" si="160"/>
        <v>65</v>
      </c>
      <c r="K154" s="191">
        <f t="shared" si="160"/>
        <v>66</v>
      </c>
      <c r="L154" s="191">
        <f t="shared" si="160"/>
        <v>67</v>
      </c>
      <c r="M154" s="191">
        <f t="shared" si="160"/>
        <v>68</v>
      </c>
    </row>
    <row r="155" ht="15.75" hidden="1" customHeight="1">
      <c r="A155" s="178">
        <f>B155+7</f>
        <v>167</v>
      </c>
      <c r="B155" s="178">
        <f t="shared" si="156"/>
        <v>160</v>
      </c>
      <c r="C155" s="76"/>
      <c r="D155" s="185" t="str">
        <f>if(isblank(I155),"",vlookup(I155,Pacing!$A$1:$H$213,7))</f>
        <v>Activity</v>
      </c>
      <c r="E155" s="185" t="str">
        <f>if(isblank(J155),"",vlookup(J155,Pacing!$A$1:$H$213,7))</f>
        <v>Activity</v>
      </c>
      <c r="F155" s="185" t="str">
        <f>if(isblank(K155),"",vlookup(K155,Pacing!$A$1:$H$213,7))</f>
        <v>Activity</v>
      </c>
      <c r="G155" s="185" t="str">
        <f>if(isblank(L155),"",vlookup(L155,Pacing!$A$1:$H$213,7))</f>
        <v>Activity</v>
      </c>
      <c r="H155" s="193" t="str">
        <f>if(isblank(M155),"",vlookup(M155,Pacing!$A$1:$H$213,7))</f>
        <v/>
      </c>
      <c r="I155" s="191">
        <f t="shared" ref="I155:M155" si="161">I154</f>
        <v>64</v>
      </c>
      <c r="J155" s="191">
        <f t="shared" si="161"/>
        <v>65</v>
      </c>
      <c r="K155" s="191">
        <f t="shared" si="161"/>
        <v>66</v>
      </c>
      <c r="L155" s="191">
        <f t="shared" si="161"/>
        <v>67</v>
      </c>
      <c r="M155" s="191">
        <f t="shared" si="161"/>
        <v>68</v>
      </c>
    </row>
    <row r="156" ht="15.75" hidden="1" customHeight="1">
      <c r="A156" s="178">
        <f>B156+8</f>
        <v>168</v>
      </c>
      <c r="B156" s="178">
        <f t="shared" si="156"/>
        <v>160</v>
      </c>
      <c r="C156" s="95"/>
      <c r="D156" s="185" t="str">
        <f>if(isblank(I156),"",vlookup(I156,Pacing!$A$1:$H$213,8))</f>
        <v>Practice Set</v>
      </c>
      <c r="E156" s="185" t="str">
        <f>if(isblank(J156),"",vlookup(J156,Pacing!$A$1:$H$213,8))</f>
        <v>Practice Set</v>
      </c>
      <c r="F156" s="185" t="str">
        <f>if(isblank(K156),"",vlookup(K156,Pacing!$A$1:$H$213,8))</f>
        <v>Practice Set</v>
      </c>
      <c r="G156" s="185" t="str">
        <f>if(isblank(L156),"",vlookup(L156,Pacing!$A$1:$H$213,8))</f>
        <v>Practice Set</v>
      </c>
      <c r="H156" s="193" t="str">
        <f>if(isblank(M156),"",vlookup(M156,Pacing!$A$1:$H$213,8))</f>
        <v/>
      </c>
      <c r="I156" s="191">
        <f t="shared" ref="I156:M156" si="162">I155</f>
        <v>64</v>
      </c>
      <c r="J156" s="191">
        <f t="shared" si="162"/>
        <v>65</v>
      </c>
      <c r="K156" s="191">
        <f t="shared" si="162"/>
        <v>66</v>
      </c>
      <c r="L156" s="191">
        <f t="shared" si="162"/>
        <v>67</v>
      </c>
      <c r="M156" s="191">
        <f t="shared" si="162"/>
        <v>68</v>
      </c>
    </row>
    <row r="157" ht="15.75" customHeight="1">
      <c r="A157" s="194"/>
      <c r="B157" s="194"/>
      <c r="C157" s="195"/>
      <c r="D157" s="196" t="s">
        <v>164</v>
      </c>
      <c r="E157" s="196" t="s">
        <v>165</v>
      </c>
      <c r="F157" s="196" t="s">
        <v>166</v>
      </c>
      <c r="G157" s="196" t="s">
        <v>167</v>
      </c>
      <c r="H157" s="196" t="s">
        <v>168</v>
      </c>
      <c r="I157" s="197">
        <f>M148+1</f>
        <v>69</v>
      </c>
      <c r="J157" s="169"/>
      <c r="K157" s="169"/>
      <c r="L157" s="169"/>
      <c r="M157" s="169"/>
    </row>
    <row r="158" ht="15.75" hidden="1" customHeight="1">
      <c r="A158" s="178">
        <f>B158+1</f>
        <v>171</v>
      </c>
      <c r="B158" s="178">
        <f>C$158*10</f>
        <v>170</v>
      </c>
      <c r="C158" s="198">
        <f>C149+1</f>
        <v>17</v>
      </c>
      <c r="D158" s="182">
        <f>D149+7</f>
        <v>46013</v>
      </c>
      <c r="E158" s="182">
        <f t="shared" ref="E158:H158" si="163">D158+1</f>
        <v>46014</v>
      </c>
      <c r="F158" s="182">
        <f t="shared" si="163"/>
        <v>46015</v>
      </c>
      <c r="G158" s="182">
        <f t="shared" si="163"/>
        <v>46016</v>
      </c>
      <c r="H158" s="182">
        <f t="shared" si="163"/>
        <v>46017</v>
      </c>
      <c r="I158" s="174" t="s">
        <v>42</v>
      </c>
    </row>
    <row r="159" ht="15.75" customHeight="1">
      <c r="A159" s="199">
        <f>B159+2</f>
        <v>172</v>
      </c>
      <c r="B159" s="199">
        <f t="shared" ref="B159:B165" si="165">B158</f>
        <v>170</v>
      </c>
      <c r="C159" s="76"/>
      <c r="D159" s="201" t="str">
        <f>if(isblank(I159),"",vlookup(I159,Pacing!$A$1:$H$213,2))</f>
        <v>5.1: Waves &amp; Vibr</v>
      </c>
      <c r="E159" s="201" t="str">
        <f>if(isblank(J159),"",vlookup(J159,Pacing!$A$1:$H$213,2))</f>
        <v/>
      </c>
      <c r="F159" s="201" t="str">
        <f>if(isblank(K159),"",vlookup(K159,Pacing!$A$1:$H$213,2))</f>
        <v/>
      </c>
      <c r="G159" s="201" t="str">
        <f>if(isblank(L159),"",vlookup(L159,Pacing!$A$1:$H$213,2))</f>
        <v/>
      </c>
      <c r="H159" s="201" t="str">
        <f>if(isblank(M159),"",vlookup(M159,Pacing!$A$1:$H$213,2))</f>
        <v/>
      </c>
      <c r="I159" s="202">
        <f t="shared" ref="I159:M159" si="164">I157</f>
        <v>69</v>
      </c>
      <c r="J159" s="202" t="str">
        <f t="shared" si="164"/>
        <v/>
      </c>
      <c r="K159" s="202" t="str">
        <f t="shared" si="164"/>
        <v/>
      </c>
      <c r="L159" s="202" t="str">
        <f t="shared" si="164"/>
        <v/>
      </c>
      <c r="M159" s="202" t="str">
        <f t="shared" si="164"/>
        <v/>
      </c>
    </row>
    <row r="160" ht="15.75" customHeight="1">
      <c r="A160" s="178">
        <f>B160+3</f>
        <v>173</v>
      </c>
      <c r="B160" s="178">
        <f t="shared" si="165"/>
        <v>170</v>
      </c>
      <c r="C160" s="76"/>
      <c r="D160" s="185" t="str">
        <f>if(isblank(I160),"",vlookup(I160,Pacing!$A$1:$H$213,3))</f>
        <v>Warm Up</v>
      </c>
      <c r="E160" s="193" t="str">
        <f>if(isblank(J160),"",vlookup(J160,Pacing!$A$1:$H$213,3))</f>
        <v/>
      </c>
      <c r="F160" s="193" t="str">
        <f>if(isblank(K160),"",vlookup(K160,Pacing!$A$1:$H$213,3))</f>
        <v/>
      </c>
      <c r="G160" s="193" t="str">
        <f>if(isblank(L160),"",vlookup(L160,Pacing!$A$1:$H$213,3))</f>
        <v/>
      </c>
      <c r="H160" s="193" t="str">
        <f>if(isblank(M160),"",vlookup(M160,Pacing!$A$1:$H$213,3))</f>
        <v/>
      </c>
      <c r="I160" s="191">
        <f t="shared" ref="I160:M160" si="166">I159</f>
        <v>69</v>
      </c>
      <c r="J160" s="191" t="str">
        <f t="shared" si="166"/>
        <v/>
      </c>
      <c r="K160" s="191" t="str">
        <f t="shared" si="166"/>
        <v/>
      </c>
      <c r="L160" s="191" t="str">
        <f t="shared" si="166"/>
        <v/>
      </c>
      <c r="M160" s="191" t="str">
        <f t="shared" si="166"/>
        <v/>
      </c>
    </row>
    <row r="161" ht="15.75" customHeight="1">
      <c r="A161" s="178">
        <f>B161+4</f>
        <v>174</v>
      </c>
      <c r="B161" s="178">
        <f t="shared" si="165"/>
        <v>170</v>
      </c>
      <c r="C161" s="76"/>
      <c r="D161" s="185" t="str">
        <f>if(isblank(I161),"",vlookup(I161,Pacing!$A$1:$H$213,4))</f>
        <v>Demo</v>
      </c>
      <c r="E161" s="193" t="str">
        <f>if(isblank(J161),"",vlookup(J161,Pacing!$A$1:$H$213,4))</f>
        <v/>
      </c>
      <c r="F161" s="193" t="str">
        <f>if(isblank(K161),"",vlookup(K161,Pacing!$A$1:$H$213,4))</f>
        <v/>
      </c>
      <c r="G161" s="193" t="str">
        <f>if(isblank(L161),"",vlookup(L161,Pacing!$A$1:$H$213,4))</f>
        <v/>
      </c>
      <c r="H161" s="193" t="str">
        <f>if(isblank(M161),"",vlookup(M161,Pacing!$A$1:$H$213,4))</f>
        <v/>
      </c>
      <c r="I161" s="191">
        <f t="shared" ref="I161:M161" si="167">I160</f>
        <v>69</v>
      </c>
      <c r="J161" s="191" t="str">
        <f t="shared" si="167"/>
        <v/>
      </c>
      <c r="K161" s="191" t="str">
        <f t="shared" si="167"/>
        <v/>
      </c>
      <c r="L161" s="191" t="str">
        <f t="shared" si="167"/>
        <v/>
      </c>
      <c r="M161" s="191" t="str">
        <f t="shared" si="167"/>
        <v/>
      </c>
    </row>
    <row r="162" ht="15.75" customHeight="1">
      <c r="A162" s="178">
        <f>B162+5</f>
        <v>175</v>
      </c>
      <c r="B162" s="178">
        <f t="shared" si="165"/>
        <v>170</v>
      </c>
      <c r="C162" s="76"/>
      <c r="D162" s="185" t="str">
        <f>if(isblank(I162),"",vlookup(I162,Pacing!$A$1:$H$213,5))</f>
        <v>Notes</v>
      </c>
      <c r="E162" s="193" t="str">
        <f>if(isblank(J162),"",vlookup(J162,Pacing!$A$1:$H$213,5))</f>
        <v/>
      </c>
      <c r="F162" s="193" t="str">
        <f>if(isblank(K162),"",vlookup(K162,Pacing!$A$1:$H$213,5))</f>
        <v/>
      </c>
      <c r="G162" s="193" t="str">
        <f>if(isblank(L162),"",vlookup(L162,Pacing!$A$1:$H$213,5))</f>
        <v/>
      </c>
      <c r="H162" s="193" t="str">
        <f>if(isblank(M162),"",vlookup(M162,Pacing!$A$1:$H$213,5))</f>
        <v/>
      </c>
      <c r="I162" s="191">
        <f t="shared" ref="I162:M162" si="168">I161</f>
        <v>69</v>
      </c>
      <c r="J162" s="191" t="str">
        <f t="shared" si="168"/>
        <v/>
      </c>
      <c r="K162" s="191" t="str">
        <f t="shared" si="168"/>
        <v/>
      </c>
      <c r="L162" s="191" t="str">
        <f t="shared" si="168"/>
        <v/>
      </c>
      <c r="M162" s="191" t="str">
        <f t="shared" si="168"/>
        <v/>
      </c>
    </row>
    <row r="163" ht="15.75" customHeight="1">
      <c r="A163" s="178">
        <f>B163+6</f>
        <v>176</v>
      </c>
      <c r="B163" s="178">
        <f t="shared" si="165"/>
        <v>170</v>
      </c>
      <c r="C163" s="76"/>
      <c r="D163" s="213" t="str">
        <f>if(isblank(I163),"",vlookup(I163,Pacing!$A$1:$H$213,6))</f>
        <v>Investigation</v>
      </c>
      <c r="E163" s="214" t="str">
        <f>if(isblank(J163),"",vlookup(J163,Pacing!$A$1:$H$213,6))</f>
        <v/>
      </c>
      <c r="F163" s="214" t="str">
        <f>if(isblank(K163),"",vlookup(K163,Pacing!$A$1:$H$213,6))</f>
        <v/>
      </c>
      <c r="G163" s="214" t="str">
        <f>if(isblank(L163),"",vlookup(L163,Pacing!$A$1:$H$213,6))</f>
        <v/>
      </c>
      <c r="H163" s="214" t="str">
        <f>if(isblank(M163),"",vlookup(M163,Pacing!$A$1:$H$213,6))</f>
        <v/>
      </c>
      <c r="I163" s="191">
        <f t="shared" ref="I163:M163" si="169">I162</f>
        <v>69</v>
      </c>
      <c r="J163" s="191" t="str">
        <f t="shared" si="169"/>
        <v/>
      </c>
      <c r="K163" s="191" t="str">
        <f t="shared" si="169"/>
        <v/>
      </c>
      <c r="L163" s="191" t="str">
        <f t="shared" si="169"/>
        <v/>
      </c>
      <c r="M163" s="191" t="str">
        <f t="shared" si="169"/>
        <v/>
      </c>
    </row>
    <row r="164" ht="15.75" hidden="1" customHeight="1">
      <c r="A164" s="178">
        <f>B164+7</f>
        <v>177</v>
      </c>
      <c r="B164" s="178">
        <f t="shared" si="165"/>
        <v>170</v>
      </c>
      <c r="C164" s="76"/>
      <c r="D164" s="185" t="str">
        <f>if(isblank(I164),"",vlookup(I164,Pacing!$A$1:$H$213,7))</f>
        <v>Activity</v>
      </c>
      <c r="E164" s="193" t="str">
        <f>if(isblank(J164),"",vlookup(J164,Pacing!$A$1:$H$213,7))</f>
        <v/>
      </c>
      <c r="F164" s="193" t="str">
        <f>if(isblank(K164),"",vlookup(K164,Pacing!$A$1:$H$213,7))</f>
        <v/>
      </c>
      <c r="G164" s="193" t="str">
        <f>if(isblank(L164),"",vlookup(L164,Pacing!$A$1:$H$213,7))</f>
        <v/>
      </c>
      <c r="H164" s="193" t="str">
        <f>if(isblank(M164),"",vlookup(M164,Pacing!$A$1:$H$213,7))</f>
        <v/>
      </c>
      <c r="I164" s="191">
        <f t="shared" ref="I164:M164" si="170">I163</f>
        <v>69</v>
      </c>
      <c r="J164" s="191" t="str">
        <f t="shared" si="170"/>
        <v/>
      </c>
      <c r="K164" s="191" t="str">
        <f t="shared" si="170"/>
        <v/>
      </c>
      <c r="L164" s="191" t="str">
        <f t="shared" si="170"/>
        <v/>
      </c>
      <c r="M164" s="191" t="str">
        <f t="shared" si="170"/>
        <v/>
      </c>
    </row>
    <row r="165" ht="15.75" hidden="1" customHeight="1">
      <c r="A165" s="178">
        <f>B165+8</f>
        <v>178</v>
      </c>
      <c r="B165" s="178">
        <f t="shared" si="165"/>
        <v>170</v>
      </c>
      <c r="C165" s="95"/>
      <c r="D165" s="185" t="str">
        <f>if(isblank(I165),"",vlookup(I165,Pacing!$A$1:$H$213,8))</f>
        <v>Practice Set</v>
      </c>
      <c r="E165" s="193" t="str">
        <f>if(isblank(J165),"",vlookup(J165,Pacing!$A$1:$H$213,8))</f>
        <v/>
      </c>
      <c r="F165" s="193" t="str">
        <f>if(isblank(K165),"",vlookup(K165,Pacing!$A$1:$H$213,8))</f>
        <v/>
      </c>
      <c r="G165" s="193" t="str">
        <f>if(isblank(L165),"",vlookup(L165,Pacing!$A$1:$H$213,8))</f>
        <v/>
      </c>
      <c r="H165" s="193" t="str">
        <f>if(isblank(M165),"",vlookup(M165,Pacing!$A$1:$H$213,8))</f>
        <v/>
      </c>
      <c r="I165" s="191">
        <f t="shared" ref="I165:M165" si="171">I164</f>
        <v>69</v>
      </c>
      <c r="J165" s="191" t="str">
        <f t="shared" si="171"/>
        <v/>
      </c>
      <c r="K165" s="191" t="str">
        <f t="shared" si="171"/>
        <v/>
      </c>
      <c r="L165" s="191" t="str">
        <f t="shared" si="171"/>
        <v/>
      </c>
      <c r="M165" s="191" t="str">
        <f t="shared" si="171"/>
        <v/>
      </c>
    </row>
    <row r="166" ht="15.75" customHeight="1">
      <c r="A166" s="194"/>
      <c r="B166" s="194"/>
      <c r="C166" s="195"/>
      <c r="D166" s="196" t="s">
        <v>142</v>
      </c>
      <c r="E166" s="196" t="s">
        <v>143</v>
      </c>
      <c r="F166" s="196" t="s">
        <v>144</v>
      </c>
      <c r="G166" s="196" t="s">
        <v>145</v>
      </c>
      <c r="H166" s="196" t="s">
        <v>146</v>
      </c>
      <c r="I166" s="197">
        <v>70.0</v>
      </c>
      <c r="J166" s="169">
        <f t="shared" ref="J166:M166" si="172">I166+1</f>
        <v>71</v>
      </c>
      <c r="K166" s="169">
        <f t="shared" si="172"/>
        <v>72</v>
      </c>
      <c r="L166" s="169">
        <f t="shared" si="172"/>
        <v>73</v>
      </c>
      <c r="M166" s="169">
        <f t="shared" si="172"/>
        <v>74</v>
      </c>
    </row>
    <row r="167" ht="15.75" hidden="1" customHeight="1">
      <c r="A167" s="178">
        <f>B167+1</f>
        <v>181</v>
      </c>
      <c r="B167" s="178">
        <f>C$167*10</f>
        <v>180</v>
      </c>
      <c r="C167" s="198">
        <f>C158+1</f>
        <v>18</v>
      </c>
      <c r="D167" s="182">
        <f>D158+7</f>
        <v>46020</v>
      </c>
      <c r="E167" s="182">
        <f t="shared" ref="E167:H167" si="173">D167+1</f>
        <v>46021</v>
      </c>
      <c r="F167" s="182">
        <f t="shared" si="173"/>
        <v>46022</v>
      </c>
      <c r="G167" s="182">
        <f t="shared" si="173"/>
        <v>46023</v>
      </c>
      <c r="H167" s="182">
        <f t="shared" si="173"/>
        <v>46024</v>
      </c>
      <c r="I167" s="174" t="s">
        <v>42</v>
      </c>
    </row>
    <row r="168" ht="15.75" customHeight="1">
      <c r="A168" s="199">
        <f>B168+2</f>
        <v>182</v>
      </c>
      <c r="B168" s="199">
        <f t="shared" ref="B168:B174" si="175">B167</f>
        <v>180</v>
      </c>
      <c r="C168" s="76"/>
      <c r="D168" s="201" t="str">
        <f>if(isblank(I168),"",vlookup(I168,Pacing!$A$1:$H$213,2))</f>
        <v>5.1: Waves &amp; Vibr</v>
      </c>
      <c r="E168" s="201" t="str">
        <f>if(isblank(J168),"",vlookup(J168,Pacing!$A$1:$H$213,2))</f>
        <v>5.1: Waves &amp; Vibr</v>
      </c>
      <c r="F168" s="201" t="str">
        <f>if(isblank(K168),"",vlookup(K168,Pacing!$A$1:$H$213,2))</f>
        <v>5.2: Wave Interact</v>
      </c>
      <c r="G168" s="201" t="str">
        <f>if(isblank(L168),"",vlookup(L168,Pacing!$A$1:$H$213,2))</f>
        <v>5.2: Wave Interact</v>
      </c>
      <c r="H168" s="201" t="str">
        <f>if(isblank(M168),"",vlookup(M168,Pacing!$A$1:$H$213,2))</f>
        <v>5.2: Wave Interact</v>
      </c>
      <c r="I168" s="202">
        <f t="shared" ref="I168:M168" si="174">I166</f>
        <v>70</v>
      </c>
      <c r="J168" s="202">
        <f t="shared" si="174"/>
        <v>71</v>
      </c>
      <c r="K168" s="202">
        <f t="shared" si="174"/>
        <v>72</v>
      </c>
      <c r="L168" s="202">
        <f t="shared" si="174"/>
        <v>73</v>
      </c>
      <c r="M168" s="202">
        <f t="shared" si="174"/>
        <v>74</v>
      </c>
    </row>
    <row r="169" ht="15.75" customHeight="1">
      <c r="A169" s="178">
        <f>B169+3</f>
        <v>183</v>
      </c>
      <c r="B169" s="178">
        <f t="shared" si="175"/>
        <v>180</v>
      </c>
      <c r="C169" s="76"/>
      <c r="D169" s="185" t="str">
        <f>if(isblank(I169),"",vlookup(I169,Pacing!$A$1:$H$213,3))</f>
        <v>Warm Up</v>
      </c>
      <c r="E169" s="185" t="str">
        <f>if(isblank(J169),"",vlookup(J169,Pacing!$A$1:$H$213,3))</f>
        <v>Warm Up</v>
      </c>
      <c r="F169" s="185" t="str">
        <f>if(isblank(K169),"",vlookup(K169,Pacing!$A$1:$H$213,3))</f>
        <v>Warm Up</v>
      </c>
      <c r="G169" s="185" t="str">
        <f>if(isblank(L169),"",vlookup(L169,Pacing!$A$1:$H$213,3))</f>
        <v>Warm Up</v>
      </c>
      <c r="H169" s="185" t="str">
        <f>if(isblank(M169),"",vlookup(M169,Pacing!$A$1:$H$213,3))</f>
        <v>Warm Up</v>
      </c>
      <c r="I169" s="191">
        <f t="shared" ref="I169:M169" si="176">I168</f>
        <v>70</v>
      </c>
      <c r="J169" s="191">
        <f t="shared" si="176"/>
        <v>71</v>
      </c>
      <c r="K169" s="191">
        <f t="shared" si="176"/>
        <v>72</v>
      </c>
      <c r="L169" s="191">
        <f t="shared" si="176"/>
        <v>73</v>
      </c>
      <c r="M169" s="191">
        <f t="shared" si="176"/>
        <v>74</v>
      </c>
    </row>
    <row r="170" ht="15.75" customHeight="1">
      <c r="A170" s="178">
        <f>B170+4</f>
        <v>184</v>
      </c>
      <c r="B170" s="178">
        <f t="shared" si="175"/>
        <v>180</v>
      </c>
      <c r="C170" s="76"/>
      <c r="D170" s="185" t="str">
        <f>if(isblank(I170),"",vlookup(I170,Pacing!$A$1:$H$213,4))</f>
        <v>Demo</v>
      </c>
      <c r="E170" s="185" t="str">
        <f>if(isblank(J170),"",vlookup(J170,Pacing!$A$1:$H$213,4))</f>
        <v>Demo</v>
      </c>
      <c r="F170" s="185" t="str">
        <f>if(isblank(K170),"",vlookup(K170,Pacing!$A$1:$H$213,4))</f>
        <v>Demo</v>
      </c>
      <c r="G170" s="185" t="str">
        <f>if(isblank(L170),"",vlookup(L170,Pacing!$A$1:$H$213,4))</f>
        <v>Demo</v>
      </c>
      <c r="H170" s="185" t="str">
        <f>if(isblank(M170),"",vlookup(M170,Pacing!$A$1:$H$213,4))</f>
        <v>Demo</v>
      </c>
      <c r="I170" s="191">
        <f t="shared" ref="I170:M170" si="177">I169</f>
        <v>70</v>
      </c>
      <c r="J170" s="191">
        <f t="shared" si="177"/>
        <v>71</v>
      </c>
      <c r="K170" s="191">
        <f t="shared" si="177"/>
        <v>72</v>
      </c>
      <c r="L170" s="191">
        <f t="shared" si="177"/>
        <v>73</v>
      </c>
      <c r="M170" s="191">
        <f t="shared" si="177"/>
        <v>74</v>
      </c>
    </row>
    <row r="171" ht="15.75" customHeight="1">
      <c r="A171" s="178">
        <f>B171+5</f>
        <v>185</v>
      </c>
      <c r="B171" s="178">
        <f t="shared" si="175"/>
        <v>180</v>
      </c>
      <c r="C171" s="76"/>
      <c r="D171" s="185" t="str">
        <f>if(isblank(I171),"",vlookup(I171,Pacing!$A$1:$H$213,5))</f>
        <v>Notes</v>
      </c>
      <c r="E171" s="185" t="str">
        <f>if(isblank(J171),"",vlookup(J171,Pacing!$A$1:$H$213,5))</f>
        <v>Notes</v>
      </c>
      <c r="F171" s="185" t="str">
        <f>if(isblank(K171),"",vlookup(K171,Pacing!$A$1:$H$213,5))</f>
        <v>Notes</v>
      </c>
      <c r="G171" s="185" t="str">
        <f>if(isblank(L171),"",vlookup(L171,Pacing!$A$1:$H$213,5))</f>
        <v>Notes</v>
      </c>
      <c r="H171" s="185" t="str">
        <f>if(isblank(M171),"",vlookup(M171,Pacing!$A$1:$H$213,5))</f>
        <v>Notes</v>
      </c>
      <c r="I171" s="191">
        <f t="shared" ref="I171:M171" si="178">I170</f>
        <v>70</v>
      </c>
      <c r="J171" s="191">
        <f t="shared" si="178"/>
        <v>71</v>
      </c>
      <c r="K171" s="191">
        <f t="shared" si="178"/>
        <v>72</v>
      </c>
      <c r="L171" s="191">
        <f t="shared" si="178"/>
        <v>73</v>
      </c>
      <c r="M171" s="191">
        <f t="shared" si="178"/>
        <v>74</v>
      </c>
    </row>
    <row r="172" ht="15.75" customHeight="1">
      <c r="A172" s="178">
        <f>B172+6</f>
        <v>186</v>
      </c>
      <c r="B172" s="178">
        <f t="shared" si="175"/>
        <v>180</v>
      </c>
      <c r="C172" s="76"/>
      <c r="D172" s="185" t="str">
        <f>if(isblank(I172),"",vlookup(I172,Pacing!$A$1:$H$213,6))</f>
        <v>Investigation</v>
      </c>
      <c r="E172" s="185" t="str">
        <f>if(isblank(J172),"",vlookup(J172,Pacing!$A$1:$H$213,6))</f>
        <v>Investigation</v>
      </c>
      <c r="F172" s="185" t="str">
        <f>if(isblank(K172),"",vlookup(K172,Pacing!$A$1:$H$213,6))</f>
        <v>Investigation</v>
      </c>
      <c r="G172" s="185" t="str">
        <f>if(isblank(L172),"",vlookup(L172,Pacing!$A$1:$H$213,6))</f>
        <v>Investigation</v>
      </c>
      <c r="H172" s="185" t="str">
        <f>if(isblank(M172),"",vlookup(M172,Pacing!$A$1:$H$213,6))</f>
        <v>Investigation</v>
      </c>
      <c r="I172" s="191">
        <f t="shared" ref="I172:M172" si="179">I171</f>
        <v>70</v>
      </c>
      <c r="J172" s="191">
        <f t="shared" si="179"/>
        <v>71</v>
      </c>
      <c r="K172" s="191">
        <f t="shared" si="179"/>
        <v>72</v>
      </c>
      <c r="L172" s="191">
        <f t="shared" si="179"/>
        <v>73</v>
      </c>
      <c r="M172" s="191">
        <f t="shared" si="179"/>
        <v>74</v>
      </c>
    </row>
    <row r="173" ht="15.75" hidden="1" customHeight="1">
      <c r="A173" s="178">
        <f>B173+7</f>
        <v>187</v>
      </c>
      <c r="B173" s="178">
        <f t="shared" si="175"/>
        <v>180</v>
      </c>
      <c r="C173" s="76"/>
      <c r="D173" s="185" t="str">
        <f>if(isblank(I173),"",vlookup(I173,Pacing!$A$1:$H$213,7))</f>
        <v>Activity</v>
      </c>
      <c r="E173" s="185" t="str">
        <f>if(isblank(J173),"",vlookup(J173,Pacing!$A$1:$H$213,7))</f>
        <v>Activity</v>
      </c>
      <c r="F173" s="185" t="str">
        <f>if(isblank(K173),"",vlookup(K173,Pacing!$A$1:$H$213,7))</f>
        <v>Activity</v>
      </c>
      <c r="G173" s="185" t="str">
        <f>if(isblank(L173),"",vlookup(L173,Pacing!$A$1:$H$213,7))</f>
        <v>Activity</v>
      </c>
      <c r="H173" s="185" t="str">
        <f>if(isblank(M173),"",vlookup(M173,Pacing!$A$1:$H$213,7))</f>
        <v>Activity</v>
      </c>
      <c r="I173" s="191">
        <f t="shared" ref="I173:M173" si="180">I172</f>
        <v>70</v>
      </c>
      <c r="J173" s="191">
        <f t="shared" si="180"/>
        <v>71</v>
      </c>
      <c r="K173" s="191">
        <f t="shared" si="180"/>
        <v>72</v>
      </c>
      <c r="L173" s="191">
        <f t="shared" si="180"/>
        <v>73</v>
      </c>
      <c r="M173" s="191">
        <f t="shared" si="180"/>
        <v>74</v>
      </c>
    </row>
    <row r="174" ht="15.75" hidden="1" customHeight="1">
      <c r="A174" s="178">
        <f>B174+8</f>
        <v>188</v>
      </c>
      <c r="B174" s="178">
        <f t="shared" si="175"/>
        <v>180</v>
      </c>
      <c r="C174" s="95"/>
      <c r="D174" s="185" t="str">
        <f>if(isblank(I174),"",vlookup(I174,Pacing!$A$1:$H$213,8))</f>
        <v>Practice Set</v>
      </c>
      <c r="E174" s="185" t="str">
        <f>if(isblank(J174),"",vlookup(J174,Pacing!$A$1:$H$213,8))</f>
        <v>Practice Set</v>
      </c>
      <c r="F174" s="185" t="str">
        <f>if(isblank(K174),"",vlookup(K174,Pacing!$A$1:$H$213,8))</f>
        <v>Practice Set</v>
      </c>
      <c r="G174" s="185" t="str">
        <f>if(isblank(L174),"",vlookup(L174,Pacing!$A$1:$H$213,8))</f>
        <v>Practice Set</v>
      </c>
      <c r="H174" s="185" t="str">
        <f>if(isblank(M174),"",vlookup(M174,Pacing!$A$1:$H$213,8))</f>
        <v>Practice Set</v>
      </c>
      <c r="I174" s="191">
        <f t="shared" ref="I174:M174" si="181">I173</f>
        <v>70</v>
      </c>
      <c r="J174" s="191">
        <f t="shared" si="181"/>
        <v>71</v>
      </c>
      <c r="K174" s="191">
        <f t="shared" si="181"/>
        <v>72</v>
      </c>
      <c r="L174" s="191">
        <f t="shared" si="181"/>
        <v>73</v>
      </c>
      <c r="M174" s="191">
        <f t="shared" si="181"/>
        <v>74</v>
      </c>
    </row>
    <row r="175" ht="15.75" customHeight="1">
      <c r="A175" s="194"/>
      <c r="B175" s="194"/>
      <c r="C175" s="195"/>
      <c r="D175" s="196" t="s">
        <v>148</v>
      </c>
      <c r="E175" s="196" t="s">
        <v>149</v>
      </c>
      <c r="F175" s="196" t="s">
        <v>150</v>
      </c>
      <c r="G175" s="196" t="s">
        <v>152</v>
      </c>
      <c r="H175" s="196" t="s">
        <v>153</v>
      </c>
      <c r="I175" s="197">
        <f>M166+1</f>
        <v>75</v>
      </c>
      <c r="J175" s="169">
        <f t="shared" ref="J175:M175" si="182">I175+1</f>
        <v>76</v>
      </c>
      <c r="K175" s="169">
        <f t="shared" si="182"/>
        <v>77</v>
      </c>
      <c r="L175" s="169">
        <f t="shared" si="182"/>
        <v>78</v>
      </c>
      <c r="M175" s="169">
        <f t="shared" si="182"/>
        <v>79</v>
      </c>
    </row>
    <row r="176" ht="15.75" hidden="1" customHeight="1">
      <c r="A176" s="178">
        <f>B176+1</f>
        <v>191</v>
      </c>
      <c r="B176" s="178">
        <f>C$176*10</f>
        <v>190</v>
      </c>
      <c r="C176" s="198">
        <f>C167+1</f>
        <v>19</v>
      </c>
      <c r="D176" s="182">
        <f>D167+7</f>
        <v>46027</v>
      </c>
      <c r="E176" s="182">
        <f t="shared" ref="E176:H176" si="183">D176+1</f>
        <v>46028</v>
      </c>
      <c r="F176" s="182">
        <f t="shared" si="183"/>
        <v>46029</v>
      </c>
      <c r="G176" s="182">
        <f t="shared" si="183"/>
        <v>46030</v>
      </c>
      <c r="H176" s="182">
        <f t="shared" si="183"/>
        <v>46031</v>
      </c>
      <c r="I176" s="174" t="s">
        <v>42</v>
      </c>
    </row>
    <row r="177" ht="15.75" customHeight="1">
      <c r="A177" s="199">
        <f>B177+2</f>
        <v>192</v>
      </c>
      <c r="B177" s="199">
        <f t="shared" ref="B177:B183" si="185">B176</f>
        <v>190</v>
      </c>
      <c r="C177" s="76"/>
      <c r="D177" s="201" t="str">
        <f>if(isblank(I177),"",vlookup(I177,Pacing!$A$1:$H$213,2))</f>
        <v>5.3: Sound</v>
      </c>
      <c r="E177" s="201" t="str">
        <f>if(isblank(J177),"",vlookup(J177,Pacing!$A$1:$H$213,2))</f>
        <v>5.3: Sound</v>
      </c>
      <c r="F177" s="201" t="str">
        <f>if(isblank(K177),"",vlookup(K177,Pacing!$A$1:$H$213,2))</f>
        <v>5.3: Sound</v>
      </c>
      <c r="G177" s="201" t="str">
        <f>if(isblank(L177),"",vlookup(L177,Pacing!$A$1:$H$213,2))</f>
        <v>5.4: Refl/Refr/Res</v>
      </c>
      <c r="H177" s="201" t="str">
        <f>if(isblank(M177),"",vlookup(M177,Pacing!$A$1:$H$213,2))</f>
        <v>5.4: Refl/Refr/Res</v>
      </c>
      <c r="I177" s="202">
        <f t="shared" ref="I177:M177" si="184">I175</f>
        <v>75</v>
      </c>
      <c r="J177" s="202">
        <f t="shared" si="184"/>
        <v>76</v>
      </c>
      <c r="K177" s="202">
        <f t="shared" si="184"/>
        <v>77</v>
      </c>
      <c r="L177" s="202">
        <f t="shared" si="184"/>
        <v>78</v>
      </c>
      <c r="M177" s="202">
        <f t="shared" si="184"/>
        <v>79</v>
      </c>
    </row>
    <row r="178" ht="15.75" customHeight="1">
      <c r="A178" s="178">
        <f>B178+3</f>
        <v>193</v>
      </c>
      <c r="B178" s="178">
        <f t="shared" si="185"/>
        <v>190</v>
      </c>
      <c r="C178" s="76"/>
      <c r="D178" s="185" t="str">
        <f>if(isblank(I178),"",vlookup(I178,Pacing!$A$1:$H$213,3))</f>
        <v>Warm Up</v>
      </c>
      <c r="E178" s="185" t="str">
        <f>if(isblank(J178),"",vlookup(J178,Pacing!$A$1:$H$213,3))</f>
        <v>Warm Up</v>
      </c>
      <c r="F178" s="185" t="str">
        <f>if(isblank(K178),"",vlookup(K178,Pacing!$A$1:$H$213,3))</f>
        <v>Warm Up</v>
      </c>
      <c r="G178" s="185" t="str">
        <f>if(isblank(L178),"",vlookup(L178,Pacing!$A$1:$H$213,3))</f>
        <v>Warm Up</v>
      </c>
      <c r="H178" s="185" t="str">
        <f>if(isblank(M178),"",vlookup(M178,Pacing!$A$1:$H$213,3))</f>
        <v>Warm Up</v>
      </c>
      <c r="I178" s="191">
        <f t="shared" ref="I178:M178" si="186">I177</f>
        <v>75</v>
      </c>
      <c r="J178" s="191">
        <f t="shared" si="186"/>
        <v>76</v>
      </c>
      <c r="K178" s="191">
        <f t="shared" si="186"/>
        <v>77</v>
      </c>
      <c r="L178" s="191">
        <f t="shared" si="186"/>
        <v>78</v>
      </c>
      <c r="M178" s="191">
        <f t="shared" si="186"/>
        <v>79</v>
      </c>
    </row>
    <row r="179" ht="15.75" customHeight="1">
      <c r="A179" s="178">
        <f>B179+4</f>
        <v>194</v>
      </c>
      <c r="B179" s="178">
        <f t="shared" si="185"/>
        <v>190</v>
      </c>
      <c r="C179" s="76"/>
      <c r="D179" s="185" t="str">
        <f>if(isblank(I179),"",vlookup(I179,Pacing!$A$1:$H$213,4))</f>
        <v>Demo</v>
      </c>
      <c r="E179" s="185" t="str">
        <f>if(isblank(J179),"",vlookup(J179,Pacing!$A$1:$H$213,4))</f>
        <v>Demo</v>
      </c>
      <c r="F179" s="185" t="str">
        <f>if(isblank(K179),"",vlookup(K179,Pacing!$A$1:$H$213,4))</f>
        <v>Demo</v>
      </c>
      <c r="G179" s="185" t="str">
        <f>if(isblank(L179),"",vlookup(L179,Pacing!$A$1:$H$213,4))</f>
        <v>Demo</v>
      </c>
      <c r="H179" s="185" t="str">
        <f>if(isblank(M179),"",vlookup(M179,Pacing!$A$1:$H$213,4))</f>
        <v>Demo</v>
      </c>
      <c r="I179" s="191">
        <f t="shared" ref="I179:M179" si="187">I178</f>
        <v>75</v>
      </c>
      <c r="J179" s="191">
        <f t="shared" si="187"/>
        <v>76</v>
      </c>
      <c r="K179" s="191">
        <f t="shared" si="187"/>
        <v>77</v>
      </c>
      <c r="L179" s="191">
        <f t="shared" si="187"/>
        <v>78</v>
      </c>
      <c r="M179" s="191">
        <f t="shared" si="187"/>
        <v>79</v>
      </c>
    </row>
    <row r="180" ht="15.75" customHeight="1">
      <c r="A180" s="178">
        <f>B180+5</f>
        <v>195</v>
      </c>
      <c r="B180" s="178">
        <f t="shared" si="185"/>
        <v>190</v>
      </c>
      <c r="C180" s="76"/>
      <c r="D180" s="185" t="str">
        <f>if(isblank(I180),"",vlookup(I180,Pacing!$A$1:$H$213,5))</f>
        <v>Notes</v>
      </c>
      <c r="E180" s="185" t="str">
        <f>if(isblank(J180),"",vlookup(J180,Pacing!$A$1:$H$213,5))</f>
        <v>Notes</v>
      </c>
      <c r="F180" s="185" t="str">
        <f>if(isblank(K180),"",vlookup(K180,Pacing!$A$1:$H$213,5))</f>
        <v>Notes</v>
      </c>
      <c r="G180" s="185" t="str">
        <f>if(isblank(L180),"",vlookup(L180,Pacing!$A$1:$H$213,5))</f>
        <v>Notes</v>
      </c>
      <c r="H180" s="185" t="str">
        <f>if(isblank(M180),"",vlookup(M180,Pacing!$A$1:$H$213,5))</f>
        <v>Notes</v>
      </c>
      <c r="I180" s="191">
        <f t="shared" ref="I180:M180" si="188">I179</f>
        <v>75</v>
      </c>
      <c r="J180" s="191">
        <f t="shared" si="188"/>
        <v>76</v>
      </c>
      <c r="K180" s="191">
        <f t="shared" si="188"/>
        <v>77</v>
      </c>
      <c r="L180" s="191">
        <f t="shared" si="188"/>
        <v>78</v>
      </c>
      <c r="M180" s="191">
        <f t="shared" si="188"/>
        <v>79</v>
      </c>
    </row>
    <row r="181" ht="15.75" customHeight="1">
      <c r="A181" s="178">
        <f>B181+6</f>
        <v>196</v>
      </c>
      <c r="B181" s="178">
        <f t="shared" si="185"/>
        <v>190</v>
      </c>
      <c r="C181" s="76"/>
      <c r="D181" s="185" t="str">
        <f>if(isblank(I181),"",vlookup(I181,Pacing!$A$1:$H$213,6))</f>
        <v>Investigation</v>
      </c>
      <c r="E181" s="185" t="str">
        <f>if(isblank(J181),"",vlookup(J181,Pacing!$A$1:$H$213,6))</f>
        <v>Investigation</v>
      </c>
      <c r="F181" s="185" t="str">
        <f>if(isblank(K181),"",vlookup(K181,Pacing!$A$1:$H$213,6))</f>
        <v>Investigation</v>
      </c>
      <c r="G181" s="185" t="str">
        <f>if(isblank(L181),"",vlookup(L181,Pacing!$A$1:$H$213,6))</f>
        <v>Investigation</v>
      </c>
      <c r="H181" s="185" t="str">
        <f>if(isblank(M181),"",vlookup(M181,Pacing!$A$1:$H$213,6))</f>
        <v>Investigation</v>
      </c>
      <c r="I181" s="191">
        <f t="shared" ref="I181:M181" si="189">I180</f>
        <v>75</v>
      </c>
      <c r="J181" s="191">
        <f t="shared" si="189"/>
        <v>76</v>
      </c>
      <c r="K181" s="191">
        <f t="shared" si="189"/>
        <v>77</v>
      </c>
      <c r="L181" s="191">
        <f t="shared" si="189"/>
        <v>78</v>
      </c>
      <c r="M181" s="191">
        <f t="shared" si="189"/>
        <v>79</v>
      </c>
    </row>
    <row r="182" ht="15.75" hidden="1" customHeight="1">
      <c r="A182" s="178">
        <f>B182+7</f>
        <v>197</v>
      </c>
      <c r="B182" s="178">
        <f t="shared" si="185"/>
        <v>190</v>
      </c>
      <c r="C182" s="76"/>
      <c r="D182" s="185" t="str">
        <f>if(isblank(I182),"",vlookup(I182,Pacing!$A$1:$H$213,7))</f>
        <v>Activity</v>
      </c>
      <c r="E182" s="185" t="str">
        <f>if(isblank(J182),"",vlookup(J182,Pacing!$A$1:$H$213,7))</f>
        <v>Activity</v>
      </c>
      <c r="F182" s="185" t="str">
        <f>if(isblank(K182),"",vlookup(K182,Pacing!$A$1:$H$213,7))</f>
        <v>Activity</v>
      </c>
      <c r="G182" s="185" t="str">
        <f>if(isblank(L182),"",vlookup(L182,Pacing!$A$1:$H$213,7))</f>
        <v>Activity</v>
      </c>
      <c r="H182" s="185" t="str">
        <f>if(isblank(M182),"",vlookup(M182,Pacing!$A$1:$H$213,7))</f>
        <v>Activity</v>
      </c>
      <c r="I182" s="191">
        <f t="shared" ref="I182:M182" si="190">I181</f>
        <v>75</v>
      </c>
      <c r="J182" s="191">
        <f t="shared" si="190"/>
        <v>76</v>
      </c>
      <c r="K182" s="191">
        <f t="shared" si="190"/>
        <v>77</v>
      </c>
      <c r="L182" s="191">
        <f t="shared" si="190"/>
        <v>78</v>
      </c>
      <c r="M182" s="191">
        <f t="shared" si="190"/>
        <v>79</v>
      </c>
    </row>
    <row r="183" ht="15.75" hidden="1" customHeight="1">
      <c r="A183" s="178">
        <f>B183+8</f>
        <v>198</v>
      </c>
      <c r="B183" s="178">
        <f t="shared" si="185"/>
        <v>190</v>
      </c>
      <c r="C183" s="95"/>
      <c r="D183" s="185" t="str">
        <f>if(isblank(I183),"",vlookup(I183,Pacing!$A$1:$H$213,8))</f>
        <v>Practice Set</v>
      </c>
      <c r="E183" s="185" t="str">
        <f>if(isblank(J183),"",vlookup(J183,Pacing!$A$1:$H$213,8))</f>
        <v>Practice Set</v>
      </c>
      <c r="F183" s="185" t="str">
        <f>if(isblank(K183),"",vlookup(K183,Pacing!$A$1:$H$213,8))</f>
        <v>Practice Set</v>
      </c>
      <c r="G183" s="185" t="str">
        <f>if(isblank(L183),"",vlookup(L183,Pacing!$A$1:$H$213,8))</f>
        <v>Practice Set</v>
      </c>
      <c r="H183" s="185" t="str">
        <f>if(isblank(M183),"",vlookup(M183,Pacing!$A$1:$H$213,8))</f>
        <v>Practice Set</v>
      </c>
      <c r="I183" s="191">
        <f t="shared" ref="I183:M183" si="191">I182</f>
        <v>75</v>
      </c>
      <c r="J183" s="191">
        <f t="shared" si="191"/>
        <v>76</v>
      </c>
      <c r="K183" s="191">
        <f t="shared" si="191"/>
        <v>77</v>
      </c>
      <c r="L183" s="191">
        <f t="shared" si="191"/>
        <v>78</v>
      </c>
      <c r="M183" s="191">
        <f t="shared" si="191"/>
        <v>79</v>
      </c>
    </row>
    <row r="184" ht="15.75" customHeight="1">
      <c r="A184" s="194"/>
      <c r="B184" s="194"/>
      <c r="C184" s="195"/>
      <c r="D184" s="196" t="s">
        <v>156</v>
      </c>
      <c r="E184" s="196" t="s">
        <v>157</v>
      </c>
      <c r="F184" s="196" t="s">
        <v>158</v>
      </c>
      <c r="G184" s="196" t="s">
        <v>159</v>
      </c>
      <c r="H184" s="196" t="s">
        <v>160</v>
      </c>
      <c r="I184" s="197">
        <f>M175+1</f>
        <v>80</v>
      </c>
      <c r="J184" s="169">
        <f t="shared" ref="J184:M184" si="192">I184+1</f>
        <v>81</v>
      </c>
      <c r="K184" s="169">
        <f t="shared" si="192"/>
        <v>82</v>
      </c>
      <c r="L184" s="169">
        <f t="shared" si="192"/>
        <v>83</v>
      </c>
      <c r="M184" s="169">
        <f t="shared" si="192"/>
        <v>84</v>
      </c>
    </row>
    <row r="185" ht="15.75" hidden="1" customHeight="1">
      <c r="A185" s="178">
        <f>B185+1</f>
        <v>201</v>
      </c>
      <c r="B185" s="178">
        <f>C185*10</f>
        <v>200</v>
      </c>
      <c r="C185" s="198">
        <f>C176+1</f>
        <v>20</v>
      </c>
      <c r="D185" s="182">
        <f>D176+7</f>
        <v>46034</v>
      </c>
      <c r="E185" s="182">
        <f t="shared" ref="E185:H185" si="193">D185+1</f>
        <v>46035</v>
      </c>
      <c r="F185" s="182">
        <f t="shared" si="193"/>
        <v>46036</v>
      </c>
      <c r="G185" s="182">
        <f t="shared" si="193"/>
        <v>46037</v>
      </c>
      <c r="H185" s="182">
        <f t="shared" si="193"/>
        <v>46038</v>
      </c>
      <c r="I185" s="174" t="s">
        <v>42</v>
      </c>
    </row>
    <row r="186" ht="15.75" customHeight="1">
      <c r="A186" s="199">
        <f>B186+2</f>
        <v>202</v>
      </c>
      <c r="B186" s="199">
        <f t="shared" ref="B186:B192" si="195">B185</f>
        <v>200</v>
      </c>
      <c r="C186" s="76"/>
      <c r="D186" s="201" t="str">
        <f>if(isblank(I186),"",vlookup(I186,Pacing!$A$1:$H$213,2))</f>
        <v>5.4: Refl/Refr/Res</v>
      </c>
      <c r="E186" s="201" t="str">
        <f>if(isblank(J186),"",vlookup(J186,Pacing!$A$1:$H$213,2))</f>
        <v>5.5: Beats &amp; Interf</v>
      </c>
      <c r="F186" s="201" t="str">
        <f>if(isblank(K186),"",vlookup(K186,Pacing!$A$1:$H$213,2))</f>
        <v>5.5: Beats &amp; Interf</v>
      </c>
      <c r="G186" s="201" t="str">
        <f>if(isblank(L186),"",vlookup(L186,Pacing!$A$1:$H$213,2))</f>
        <v>5.5: Beats &amp; Interf</v>
      </c>
      <c r="H186" s="201" t="str">
        <f>if(isblank(M186),"",vlookup(M186,Pacing!$A$1:$H$213,2))</f>
        <v>Unit 5 Sum Assess</v>
      </c>
      <c r="I186" s="202">
        <f t="shared" ref="I186:M186" si="194">I184</f>
        <v>80</v>
      </c>
      <c r="J186" s="202">
        <f t="shared" si="194"/>
        <v>81</v>
      </c>
      <c r="K186" s="202">
        <f t="shared" si="194"/>
        <v>82</v>
      </c>
      <c r="L186" s="202">
        <f t="shared" si="194"/>
        <v>83</v>
      </c>
      <c r="M186" s="202">
        <f t="shared" si="194"/>
        <v>84</v>
      </c>
    </row>
    <row r="187" ht="15.75" customHeight="1">
      <c r="A187" s="178">
        <f>B187+3</f>
        <v>203</v>
      </c>
      <c r="B187" s="178">
        <f t="shared" si="195"/>
        <v>200</v>
      </c>
      <c r="C187" s="76"/>
      <c r="D187" s="185" t="str">
        <f>if(isblank(I187),"",vlookup(I187,Pacing!$A$1:$H$213,3))</f>
        <v>Warm Up</v>
      </c>
      <c r="E187" s="185" t="str">
        <f>if(isblank(J187),"",vlookup(J187,Pacing!$A$1:$H$213,3))</f>
        <v>Warm Up</v>
      </c>
      <c r="F187" s="185" t="str">
        <f>if(isblank(K187),"",vlookup(K187,Pacing!$A$1:$H$213,3))</f>
        <v>Warm Up</v>
      </c>
      <c r="G187" s="185" t="str">
        <f>if(isblank(L187),"",vlookup(L187,Pacing!$A$1:$H$213,3))</f>
        <v>Warm Up</v>
      </c>
      <c r="H187" s="193" t="str">
        <f>if(isblank(M187),"",vlookup(M187,Pacing!$A$1:$H$213,3))</f>
        <v/>
      </c>
      <c r="I187" s="191">
        <f t="shared" ref="I187:M187" si="196">I186</f>
        <v>80</v>
      </c>
      <c r="J187" s="191">
        <f t="shared" si="196"/>
        <v>81</v>
      </c>
      <c r="K187" s="191">
        <f t="shared" si="196"/>
        <v>82</v>
      </c>
      <c r="L187" s="191">
        <f t="shared" si="196"/>
        <v>83</v>
      </c>
      <c r="M187" s="191">
        <f t="shared" si="196"/>
        <v>84</v>
      </c>
    </row>
    <row r="188" ht="15.75" customHeight="1">
      <c r="A188" s="178">
        <f>B188+4</f>
        <v>204</v>
      </c>
      <c r="B188" s="178">
        <f t="shared" si="195"/>
        <v>200</v>
      </c>
      <c r="C188" s="76"/>
      <c r="D188" s="185" t="str">
        <f>if(isblank(I188),"",vlookup(I188,Pacing!$A$1:$H$213,4))</f>
        <v>Demo</v>
      </c>
      <c r="E188" s="185" t="str">
        <f>if(isblank(J188),"",vlookup(J188,Pacing!$A$1:$H$213,4))</f>
        <v>Demo</v>
      </c>
      <c r="F188" s="185" t="str">
        <f>if(isblank(K188),"",vlookup(K188,Pacing!$A$1:$H$213,4))</f>
        <v>Demo</v>
      </c>
      <c r="G188" s="185" t="str">
        <f>if(isblank(L188),"",vlookup(L188,Pacing!$A$1:$H$213,4))</f>
        <v>Demo</v>
      </c>
      <c r="H188" s="193" t="str">
        <f>if(isblank(M188),"",vlookup(M188,Pacing!$A$1:$H$213,4))</f>
        <v/>
      </c>
      <c r="I188" s="191">
        <f t="shared" ref="I188:M188" si="197">I187</f>
        <v>80</v>
      </c>
      <c r="J188" s="191">
        <f t="shared" si="197"/>
        <v>81</v>
      </c>
      <c r="K188" s="191">
        <f t="shared" si="197"/>
        <v>82</v>
      </c>
      <c r="L188" s="191">
        <f t="shared" si="197"/>
        <v>83</v>
      </c>
      <c r="M188" s="191">
        <f t="shared" si="197"/>
        <v>84</v>
      </c>
    </row>
    <row r="189" ht="15.75" customHeight="1">
      <c r="A189" s="178">
        <f>B189+5</f>
        <v>205</v>
      </c>
      <c r="B189" s="178">
        <f t="shared" si="195"/>
        <v>200</v>
      </c>
      <c r="C189" s="76"/>
      <c r="D189" s="185" t="str">
        <f>if(isblank(I189),"",vlookup(I189,Pacing!$A$1:$H$213,5))</f>
        <v>Notes</v>
      </c>
      <c r="E189" s="185" t="str">
        <f>if(isblank(J189),"",vlookup(J189,Pacing!$A$1:$H$213,5))</f>
        <v>Notes</v>
      </c>
      <c r="F189" s="185" t="str">
        <f>if(isblank(K189),"",vlookup(K189,Pacing!$A$1:$H$213,5))</f>
        <v>Notes</v>
      </c>
      <c r="G189" s="185" t="str">
        <f>if(isblank(L189),"",vlookup(L189,Pacing!$A$1:$H$213,5))</f>
        <v>Notes</v>
      </c>
      <c r="H189" s="193" t="str">
        <f>if(isblank(M189),"",vlookup(M189,Pacing!$A$1:$H$213,5))</f>
        <v/>
      </c>
      <c r="I189" s="191">
        <f t="shared" ref="I189:M189" si="198">I188</f>
        <v>80</v>
      </c>
      <c r="J189" s="191">
        <f t="shared" si="198"/>
        <v>81</v>
      </c>
      <c r="K189" s="191">
        <f t="shared" si="198"/>
        <v>82</v>
      </c>
      <c r="L189" s="191">
        <f t="shared" si="198"/>
        <v>83</v>
      </c>
      <c r="M189" s="191">
        <f t="shared" si="198"/>
        <v>84</v>
      </c>
    </row>
    <row r="190" ht="15.75" customHeight="1">
      <c r="A190" s="178">
        <f>B190+6</f>
        <v>206</v>
      </c>
      <c r="B190" s="178">
        <f t="shared" si="195"/>
        <v>200</v>
      </c>
      <c r="C190" s="76"/>
      <c r="D190" s="185" t="str">
        <f>if(isblank(I190),"",vlookup(I190,Pacing!$A$1:$H$213,6))</f>
        <v>Investigation</v>
      </c>
      <c r="E190" s="185" t="str">
        <f>if(isblank(J190),"",vlookup(J190,Pacing!$A$1:$H$213,6))</f>
        <v>Investigation</v>
      </c>
      <c r="F190" s="185" t="str">
        <f>if(isblank(K190),"",vlookup(K190,Pacing!$A$1:$H$213,6))</f>
        <v>Investigation</v>
      </c>
      <c r="G190" s="185" t="str">
        <f>if(isblank(L190),"",vlookup(L190,Pacing!$A$1:$H$213,6))</f>
        <v>Investigation</v>
      </c>
      <c r="H190" s="193" t="str">
        <f>if(isblank(M190),"",vlookup(M190,Pacing!$A$1:$H$213,6))</f>
        <v/>
      </c>
      <c r="I190" s="191">
        <f t="shared" ref="I190:M190" si="199">I189</f>
        <v>80</v>
      </c>
      <c r="J190" s="191">
        <f t="shared" si="199"/>
        <v>81</v>
      </c>
      <c r="K190" s="191">
        <f t="shared" si="199"/>
        <v>82</v>
      </c>
      <c r="L190" s="191">
        <f t="shared" si="199"/>
        <v>83</v>
      </c>
      <c r="M190" s="191">
        <f t="shared" si="199"/>
        <v>84</v>
      </c>
    </row>
    <row r="191" ht="15.75" hidden="1" customHeight="1">
      <c r="A191" s="178">
        <f>B191+7</f>
        <v>207</v>
      </c>
      <c r="B191" s="178">
        <f t="shared" si="195"/>
        <v>200</v>
      </c>
      <c r="C191" s="76"/>
      <c r="D191" s="185" t="str">
        <f>if(isblank(I191),"",vlookup(I191,Pacing!$A$1:$H$213,7))</f>
        <v>Activity</v>
      </c>
      <c r="E191" s="185" t="str">
        <f>if(isblank(J191),"",vlookup(J191,Pacing!$A$1:$H$213,7))</f>
        <v>Activity</v>
      </c>
      <c r="F191" s="185" t="str">
        <f>if(isblank(K191),"",vlookup(K191,Pacing!$A$1:$H$213,7))</f>
        <v>Activity</v>
      </c>
      <c r="G191" s="185" t="str">
        <f>if(isblank(L191),"",vlookup(L191,Pacing!$A$1:$H$213,7))</f>
        <v>Activity</v>
      </c>
      <c r="H191" s="193" t="str">
        <f>if(isblank(M191),"",vlookup(M191,Pacing!$A$1:$H$213,7))</f>
        <v/>
      </c>
      <c r="I191" s="191">
        <f t="shared" ref="I191:M191" si="200">I190</f>
        <v>80</v>
      </c>
      <c r="J191" s="191">
        <f t="shared" si="200"/>
        <v>81</v>
      </c>
      <c r="K191" s="191">
        <f t="shared" si="200"/>
        <v>82</v>
      </c>
      <c r="L191" s="191">
        <f t="shared" si="200"/>
        <v>83</v>
      </c>
      <c r="M191" s="191">
        <f t="shared" si="200"/>
        <v>84</v>
      </c>
    </row>
    <row r="192" ht="15.75" hidden="1" customHeight="1">
      <c r="A192" s="178">
        <f>B192+8</f>
        <v>208</v>
      </c>
      <c r="B192" s="178">
        <f t="shared" si="195"/>
        <v>200</v>
      </c>
      <c r="C192" s="95"/>
      <c r="D192" s="185" t="str">
        <f>if(isblank(I192),"",vlookup(I192,Pacing!$A$1:$H$213,8))</f>
        <v>Practice Set</v>
      </c>
      <c r="E192" s="185" t="str">
        <f>if(isblank(J192),"",vlookup(J192,Pacing!$A$1:$H$213,8))</f>
        <v>Practice Set</v>
      </c>
      <c r="F192" s="185" t="str">
        <f>if(isblank(K192),"",vlookup(K192,Pacing!$A$1:$H$213,8))</f>
        <v>Practice Set</v>
      </c>
      <c r="G192" s="185" t="str">
        <f>if(isblank(L192),"",vlookup(L192,Pacing!$A$1:$H$213,8))</f>
        <v>Practice Set</v>
      </c>
      <c r="H192" s="193" t="str">
        <f>if(isblank(M192),"",vlookup(M192,Pacing!$A$1:$H$213,8))</f>
        <v/>
      </c>
      <c r="I192" s="191">
        <f t="shared" ref="I192:M192" si="201">I191</f>
        <v>80</v>
      </c>
      <c r="J192" s="191">
        <f t="shared" si="201"/>
        <v>81</v>
      </c>
      <c r="K192" s="191">
        <f t="shared" si="201"/>
        <v>82</v>
      </c>
      <c r="L192" s="191">
        <f t="shared" si="201"/>
        <v>83</v>
      </c>
      <c r="M192" s="191">
        <f t="shared" si="201"/>
        <v>84</v>
      </c>
    </row>
    <row r="193" ht="15.75" customHeight="1">
      <c r="A193" s="194"/>
      <c r="B193" s="194"/>
      <c r="C193" s="195"/>
      <c r="D193" s="196" t="s">
        <v>164</v>
      </c>
      <c r="E193" s="196" t="s">
        <v>165</v>
      </c>
      <c r="F193" s="196" t="s">
        <v>166</v>
      </c>
      <c r="G193" s="196" t="s">
        <v>167</v>
      </c>
      <c r="H193" s="196" t="s">
        <v>168</v>
      </c>
      <c r="I193" s="197">
        <f>M184+1</f>
        <v>85</v>
      </c>
      <c r="J193" s="169"/>
      <c r="K193" s="169"/>
      <c r="L193" s="169"/>
      <c r="M193" s="169"/>
    </row>
    <row r="194" ht="15.75" hidden="1" customHeight="1">
      <c r="A194" s="178">
        <f>B194+1</f>
        <v>211</v>
      </c>
      <c r="B194" s="178">
        <f>C194*10</f>
        <v>210</v>
      </c>
      <c r="C194" s="198">
        <v>21.0</v>
      </c>
      <c r="D194" s="182">
        <f>D185+7</f>
        <v>46041</v>
      </c>
      <c r="E194" s="182">
        <f t="shared" ref="E194:H194" si="202">D194+1</f>
        <v>46042</v>
      </c>
      <c r="F194" s="182">
        <f t="shared" si="202"/>
        <v>46043</v>
      </c>
      <c r="G194" s="182">
        <f t="shared" si="202"/>
        <v>46044</v>
      </c>
      <c r="H194" s="182">
        <f t="shared" si="202"/>
        <v>46045</v>
      </c>
      <c r="I194" s="174" t="s">
        <v>42</v>
      </c>
    </row>
    <row r="195" ht="15.75" customHeight="1">
      <c r="A195" s="199">
        <f>B195+2</f>
        <v>212</v>
      </c>
      <c r="B195" s="199">
        <f t="shared" ref="B195:B201" si="204">B194</f>
        <v>210</v>
      </c>
      <c r="C195" s="76"/>
      <c r="D195" s="201" t="str">
        <f>if(isblank(I195),"",vlookup(I195,Pacing!$A$1:$H$213,2))</f>
        <v>6.1: Nature of Light</v>
      </c>
      <c r="E195" s="201" t="str">
        <f>if(isblank(J195),"",vlookup(J195,Pacing!$A$1:$H$213,2))</f>
        <v/>
      </c>
      <c r="F195" s="201" t="str">
        <f>if(isblank(K195),"",vlookup(K195,Pacing!$A$1:$H$213,2))</f>
        <v/>
      </c>
      <c r="G195" s="201" t="str">
        <f>if(isblank(L195),"",vlookup(L195,Pacing!$A$1:$H$213,2))</f>
        <v/>
      </c>
      <c r="H195" s="201" t="str">
        <f>if(isblank(M195),"",vlookup(M195,Pacing!$A$1:$H$213,2))</f>
        <v/>
      </c>
      <c r="I195" s="202">
        <f t="shared" ref="I195:M195" si="203">I193</f>
        <v>85</v>
      </c>
      <c r="J195" s="202" t="str">
        <f t="shared" si="203"/>
        <v/>
      </c>
      <c r="K195" s="202" t="str">
        <f t="shared" si="203"/>
        <v/>
      </c>
      <c r="L195" s="202" t="str">
        <f t="shared" si="203"/>
        <v/>
      </c>
      <c r="M195" s="202" t="str">
        <f t="shared" si="203"/>
        <v/>
      </c>
    </row>
    <row r="196" ht="15.75" customHeight="1">
      <c r="A196" s="178">
        <f>B196+3</f>
        <v>213</v>
      </c>
      <c r="B196" s="178">
        <f t="shared" si="204"/>
        <v>210</v>
      </c>
      <c r="C196" s="76"/>
      <c r="D196" s="185" t="str">
        <f>if(isblank(I196),"",vlookup(I196,Pacing!$A$1:$H$213,3))</f>
        <v>Warm Up</v>
      </c>
      <c r="E196" s="193" t="str">
        <f>if(isblank(J196),"",vlookup(J196,Pacing!$A$1:$H$213,3))</f>
        <v/>
      </c>
      <c r="F196" s="193" t="str">
        <f>if(isblank(K196),"",vlookup(K196,Pacing!$A$1:$H$213,3))</f>
        <v/>
      </c>
      <c r="G196" s="193" t="str">
        <f>if(isblank(L196),"",vlookup(L196,Pacing!$A$1:$H$213,3))</f>
        <v/>
      </c>
      <c r="H196" s="193" t="str">
        <f>if(isblank(M196),"",vlookup(M196,Pacing!$A$1:$H$213,3))</f>
        <v/>
      </c>
      <c r="I196" s="191">
        <f t="shared" ref="I196:M196" si="205">I195</f>
        <v>85</v>
      </c>
      <c r="J196" s="191" t="str">
        <f t="shared" si="205"/>
        <v/>
      </c>
      <c r="K196" s="191" t="str">
        <f t="shared" si="205"/>
        <v/>
      </c>
      <c r="L196" s="191" t="str">
        <f t="shared" si="205"/>
        <v/>
      </c>
      <c r="M196" s="191" t="str">
        <f t="shared" si="205"/>
        <v/>
      </c>
    </row>
    <row r="197" ht="15.75" customHeight="1">
      <c r="A197" s="178">
        <f>B197+4</f>
        <v>214</v>
      </c>
      <c r="B197" s="178">
        <f t="shared" si="204"/>
        <v>210</v>
      </c>
      <c r="C197" s="76"/>
      <c r="D197" s="185" t="str">
        <f>if(isblank(I197),"",vlookup(I197,Pacing!$A$1:$H$213,4))</f>
        <v>Demo</v>
      </c>
      <c r="E197" s="193" t="str">
        <f>if(isblank(J197),"",vlookup(J197,Pacing!$A$1:$H$213,4))</f>
        <v/>
      </c>
      <c r="F197" s="193" t="str">
        <f>if(isblank(K197),"",vlookup(K197,Pacing!$A$1:$H$213,4))</f>
        <v/>
      </c>
      <c r="G197" s="193" t="str">
        <f>if(isblank(L197),"",vlookup(L197,Pacing!$A$1:$H$213,4))</f>
        <v/>
      </c>
      <c r="H197" s="193" t="str">
        <f>if(isblank(M197),"",vlookup(M197,Pacing!$A$1:$H$213,4))</f>
        <v/>
      </c>
      <c r="I197" s="191">
        <f t="shared" ref="I197:M197" si="206">I196</f>
        <v>85</v>
      </c>
      <c r="J197" s="191" t="str">
        <f t="shared" si="206"/>
        <v/>
      </c>
      <c r="K197" s="191" t="str">
        <f t="shared" si="206"/>
        <v/>
      </c>
      <c r="L197" s="191" t="str">
        <f t="shared" si="206"/>
        <v/>
      </c>
      <c r="M197" s="191" t="str">
        <f t="shared" si="206"/>
        <v/>
      </c>
    </row>
    <row r="198" ht="15.75" customHeight="1">
      <c r="A198" s="178">
        <f>B198+5</f>
        <v>215</v>
      </c>
      <c r="B198" s="178">
        <f t="shared" si="204"/>
        <v>210</v>
      </c>
      <c r="C198" s="76"/>
      <c r="D198" s="185" t="str">
        <f>if(isblank(I198),"",vlookup(I198,Pacing!$A$1:$H$213,5))</f>
        <v>Notes</v>
      </c>
      <c r="E198" s="193" t="str">
        <f>if(isblank(J198),"",vlookup(J198,Pacing!$A$1:$H$213,5))</f>
        <v/>
      </c>
      <c r="F198" s="193" t="str">
        <f>if(isblank(K198),"",vlookup(K198,Pacing!$A$1:$H$213,5))</f>
        <v/>
      </c>
      <c r="G198" s="193" t="str">
        <f>if(isblank(L198),"",vlookup(L198,Pacing!$A$1:$H$213,5))</f>
        <v/>
      </c>
      <c r="H198" s="193" t="str">
        <f>if(isblank(M198),"",vlookup(M198,Pacing!$A$1:$H$213,5))</f>
        <v/>
      </c>
      <c r="I198" s="191">
        <f t="shared" ref="I198:M198" si="207">I197</f>
        <v>85</v>
      </c>
      <c r="J198" s="191" t="str">
        <f t="shared" si="207"/>
        <v/>
      </c>
      <c r="K198" s="191" t="str">
        <f t="shared" si="207"/>
        <v/>
      </c>
      <c r="L198" s="191" t="str">
        <f t="shared" si="207"/>
        <v/>
      </c>
      <c r="M198" s="191" t="str">
        <f t="shared" si="207"/>
        <v/>
      </c>
    </row>
    <row r="199" ht="15.75" customHeight="1">
      <c r="A199" s="178">
        <f>B199+6</f>
        <v>216</v>
      </c>
      <c r="B199" s="178">
        <f t="shared" si="204"/>
        <v>210</v>
      </c>
      <c r="C199" s="76"/>
      <c r="D199" s="213" t="str">
        <f>if(isblank(I199),"",vlookup(I199,Pacing!$A$1:$H$213,6))</f>
        <v>Investigation</v>
      </c>
      <c r="E199" s="214" t="str">
        <f>if(isblank(J199),"",vlookup(J199,Pacing!$A$1:$H$213,6))</f>
        <v/>
      </c>
      <c r="F199" s="214" t="str">
        <f>if(isblank(K199),"",vlookup(K199,Pacing!$A$1:$H$213,6))</f>
        <v/>
      </c>
      <c r="G199" s="214" t="str">
        <f>if(isblank(L199),"",vlookup(L199,Pacing!$A$1:$H$213,6))</f>
        <v/>
      </c>
      <c r="H199" s="214" t="str">
        <f>if(isblank(M199),"",vlookup(M199,Pacing!$A$1:$H$213,6))</f>
        <v/>
      </c>
      <c r="I199" s="191">
        <f t="shared" ref="I199:M199" si="208">I198</f>
        <v>85</v>
      </c>
      <c r="J199" s="191" t="str">
        <f t="shared" si="208"/>
        <v/>
      </c>
      <c r="K199" s="191" t="str">
        <f t="shared" si="208"/>
        <v/>
      </c>
      <c r="L199" s="191" t="str">
        <f t="shared" si="208"/>
        <v/>
      </c>
      <c r="M199" s="191" t="str">
        <f t="shared" si="208"/>
        <v/>
      </c>
    </row>
    <row r="200" ht="15.75" hidden="1" customHeight="1">
      <c r="A200" s="178">
        <f>B200+7</f>
        <v>217</v>
      </c>
      <c r="B200" s="178">
        <f t="shared" si="204"/>
        <v>210</v>
      </c>
      <c r="C200" s="76"/>
      <c r="D200" s="185" t="str">
        <f>if(isblank(I200),"",vlookup(I200,Pacing!$A$1:$H$213,7))</f>
        <v>Activity</v>
      </c>
      <c r="E200" s="193" t="str">
        <f>if(isblank(J200),"",vlookup(J200,Pacing!$A$1:$H$213,7))</f>
        <v/>
      </c>
      <c r="F200" s="193" t="str">
        <f>if(isblank(K200),"",vlookup(K200,Pacing!$A$1:$H$213,7))</f>
        <v/>
      </c>
      <c r="G200" s="193" t="str">
        <f>if(isblank(L200),"",vlookup(L200,Pacing!$A$1:$H$213,7))</f>
        <v/>
      </c>
      <c r="H200" s="193" t="str">
        <f>if(isblank(M200),"",vlookup(M200,Pacing!$A$1:$H$213,7))</f>
        <v/>
      </c>
      <c r="I200" s="191">
        <f t="shared" ref="I200:M200" si="209">I199</f>
        <v>85</v>
      </c>
      <c r="J200" s="191" t="str">
        <f t="shared" si="209"/>
        <v/>
      </c>
      <c r="K200" s="191" t="str">
        <f t="shared" si="209"/>
        <v/>
      </c>
      <c r="L200" s="191" t="str">
        <f t="shared" si="209"/>
        <v/>
      </c>
      <c r="M200" s="191" t="str">
        <f t="shared" si="209"/>
        <v/>
      </c>
    </row>
    <row r="201" ht="15.75" hidden="1" customHeight="1">
      <c r="A201" s="178">
        <f>B201+8</f>
        <v>218</v>
      </c>
      <c r="B201" s="178">
        <f t="shared" si="204"/>
        <v>210</v>
      </c>
      <c r="C201" s="95"/>
      <c r="D201" s="185" t="str">
        <f>if(isblank(I201),"",vlookup(I201,Pacing!$A$1:$H$213,8))</f>
        <v>Practice Set</v>
      </c>
      <c r="E201" s="193" t="str">
        <f>if(isblank(J201),"",vlookup(J201,Pacing!$A$1:$H$213,8))</f>
        <v/>
      </c>
      <c r="F201" s="193" t="str">
        <f>if(isblank(K201),"",vlookup(K201,Pacing!$A$1:$H$213,8))</f>
        <v/>
      </c>
      <c r="G201" s="193" t="str">
        <f>if(isblank(L201),"",vlookup(L201,Pacing!$A$1:$H$213,8))</f>
        <v/>
      </c>
      <c r="H201" s="193" t="str">
        <f>if(isblank(M201),"",vlookup(M201,Pacing!$A$1:$H$213,8))</f>
        <v/>
      </c>
      <c r="I201" s="191">
        <f t="shared" ref="I201:M201" si="210">I200</f>
        <v>85</v>
      </c>
      <c r="J201" s="191" t="str">
        <f t="shared" si="210"/>
        <v/>
      </c>
      <c r="K201" s="191" t="str">
        <f t="shared" si="210"/>
        <v/>
      </c>
      <c r="L201" s="191" t="str">
        <f t="shared" si="210"/>
        <v/>
      </c>
      <c r="M201" s="191" t="str">
        <f t="shared" si="210"/>
        <v/>
      </c>
    </row>
    <row r="202" ht="15.75" customHeight="1">
      <c r="A202" s="194"/>
      <c r="B202" s="194"/>
      <c r="C202" s="195"/>
      <c r="D202" s="196" t="s">
        <v>142</v>
      </c>
      <c r="E202" s="196" t="s">
        <v>143</v>
      </c>
      <c r="F202" s="196" t="s">
        <v>144</v>
      </c>
      <c r="G202" s="196" t="s">
        <v>145</v>
      </c>
      <c r="H202" s="196" t="s">
        <v>146</v>
      </c>
      <c r="I202" s="197">
        <v>86.0</v>
      </c>
      <c r="J202" s="169">
        <f t="shared" ref="J202:M202" si="211">I202+1</f>
        <v>87</v>
      </c>
      <c r="K202" s="169">
        <f t="shared" si="211"/>
        <v>88</v>
      </c>
      <c r="L202" s="169">
        <f t="shared" si="211"/>
        <v>89</v>
      </c>
      <c r="M202" s="169">
        <f t="shared" si="211"/>
        <v>90</v>
      </c>
    </row>
    <row r="203" ht="15.75" hidden="1" customHeight="1">
      <c r="A203" s="178">
        <f>B203+1</f>
        <v>221</v>
      </c>
      <c r="B203" s="178">
        <f>C203*10</f>
        <v>220</v>
      </c>
      <c r="C203" s="198">
        <f>C194+1</f>
        <v>22</v>
      </c>
      <c r="D203" s="182">
        <f>D194+7</f>
        <v>46048</v>
      </c>
      <c r="E203" s="182">
        <f t="shared" ref="E203:H203" si="212">D203+1</f>
        <v>46049</v>
      </c>
      <c r="F203" s="182">
        <f t="shared" si="212"/>
        <v>46050</v>
      </c>
      <c r="G203" s="182">
        <f t="shared" si="212"/>
        <v>46051</v>
      </c>
      <c r="H203" s="182">
        <f t="shared" si="212"/>
        <v>46052</v>
      </c>
      <c r="I203" s="174" t="s">
        <v>42</v>
      </c>
    </row>
    <row r="204" ht="15.75" customHeight="1">
      <c r="A204" s="199">
        <f>B204+2</f>
        <v>222</v>
      </c>
      <c r="B204" s="199">
        <f t="shared" ref="B204:B210" si="214">B203</f>
        <v>220</v>
      </c>
      <c r="C204" s="76"/>
      <c r="D204" s="201" t="str">
        <f>if(isblank(I204),"",vlookup(I204,Pacing!$A$1:$H$213,2))</f>
        <v>6.1: Nature of Light</v>
      </c>
      <c r="E204" s="201" t="str">
        <f>if(isblank(J204),"",vlookup(J204,Pacing!$A$1:$H$213,2))</f>
        <v>6.1: Nature of Light</v>
      </c>
      <c r="F204" s="201" t="str">
        <f>if(isblank(K204),"",vlookup(K204,Pacing!$A$1:$H$213,2))</f>
        <v>6.2: Refl &amp; Mirrors</v>
      </c>
      <c r="G204" s="201" t="str">
        <f>if(isblank(L204),"",vlookup(L204,Pacing!$A$1:$H$213,2))</f>
        <v>6.2: Refl &amp; Mirrors</v>
      </c>
      <c r="H204" s="201" t="str">
        <f>if(isblank(M204),"",vlookup(M204,Pacing!$A$1:$H$213,2))</f>
        <v>6.2: Refl &amp; Mirrors</v>
      </c>
      <c r="I204" s="202">
        <f t="shared" ref="I204:M204" si="213">I202</f>
        <v>86</v>
      </c>
      <c r="J204" s="202">
        <f t="shared" si="213"/>
        <v>87</v>
      </c>
      <c r="K204" s="202">
        <f t="shared" si="213"/>
        <v>88</v>
      </c>
      <c r="L204" s="202">
        <f t="shared" si="213"/>
        <v>89</v>
      </c>
      <c r="M204" s="202">
        <f t="shared" si="213"/>
        <v>90</v>
      </c>
    </row>
    <row r="205" ht="15.75" customHeight="1">
      <c r="A205" s="178">
        <f>B205+3</f>
        <v>223</v>
      </c>
      <c r="B205" s="178">
        <f t="shared" si="214"/>
        <v>220</v>
      </c>
      <c r="C205" s="76"/>
      <c r="D205" s="185" t="str">
        <f>if(isblank(I205),"",vlookup(I205,Pacing!$A$1:$H$213,3))</f>
        <v>Warm Up</v>
      </c>
      <c r="E205" s="185" t="str">
        <f>if(isblank(J205),"",vlookup(J205,Pacing!$A$1:$H$213,3))</f>
        <v>Warm Up</v>
      </c>
      <c r="F205" s="185" t="str">
        <f>if(isblank(K205),"",vlookup(K205,Pacing!$A$1:$H$213,3))</f>
        <v>Warm Up</v>
      </c>
      <c r="G205" s="185" t="str">
        <f>if(isblank(L205),"",vlookup(L205,Pacing!$A$1:$H$213,3))</f>
        <v>Warm Up</v>
      </c>
      <c r="H205" s="185" t="str">
        <f>if(isblank(M205),"",vlookup(M205,Pacing!$A$1:$H$213,3))</f>
        <v>Warm Up</v>
      </c>
      <c r="I205" s="191">
        <f t="shared" ref="I205:M205" si="215">I204</f>
        <v>86</v>
      </c>
      <c r="J205" s="191">
        <f t="shared" si="215"/>
        <v>87</v>
      </c>
      <c r="K205" s="191">
        <f t="shared" si="215"/>
        <v>88</v>
      </c>
      <c r="L205" s="191">
        <f t="shared" si="215"/>
        <v>89</v>
      </c>
      <c r="M205" s="191">
        <f t="shared" si="215"/>
        <v>90</v>
      </c>
    </row>
    <row r="206" ht="15.75" customHeight="1">
      <c r="A206" s="178">
        <f>B206+4</f>
        <v>224</v>
      </c>
      <c r="B206" s="178">
        <f t="shared" si="214"/>
        <v>220</v>
      </c>
      <c r="C206" s="76"/>
      <c r="D206" s="185" t="str">
        <f>if(isblank(I206),"",vlookup(I206,Pacing!$A$1:$H$213,4))</f>
        <v>Demo</v>
      </c>
      <c r="E206" s="185" t="str">
        <f>if(isblank(J206),"",vlookup(J206,Pacing!$A$1:$H$213,4))</f>
        <v>Demo</v>
      </c>
      <c r="F206" s="185" t="str">
        <f>if(isblank(K206),"",vlookup(K206,Pacing!$A$1:$H$213,4))</f>
        <v>Demo</v>
      </c>
      <c r="G206" s="185" t="str">
        <f>if(isblank(L206),"",vlookup(L206,Pacing!$A$1:$H$213,4))</f>
        <v>Demo</v>
      </c>
      <c r="H206" s="185" t="str">
        <f>if(isblank(M206),"",vlookup(M206,Pacing!$A$1:$H$213,4))</f>
        <v>Demo</v>
      </c>
      <c r="I206" s="191">
        <f t="shared" ref="I206:M206" si="216">I205</f>
        <v>86</v>
      </c>
      <c r="J206" s="191">
        <f t="shared" si="216"/>
        <v>87</v>
      </c>
      <c r="K206" s="191">
        <f t="shared" si="216"/>
        <v>88</v>
      </c>
      <c r="L206" s="191">
        <f t="shared" si="216"/>
        <v>89</v>
      </c>
      <c r="M206" s="191">
        <f t="shared" si="216"/>
        <v>90</v>
      </c>
    </row>
    <row r="207" ht="15.75" customHeight="1">
      <c r="A207" s="178">
        <f>B207+5</f>
        <v>225</v>
      </c>
      <c r="B207" s="178">
        <f t="shared" si="214"/>
        <v>220</v>
      </c>
      <c r="C207" s="76"/>
      <c r="D207" s="185" t="str">
        <f>if(isblank(I207),"",vlookup(I207,Pacing!$A$1:$H$213,5))</f>
        <v>Notes</v>
      </c>
      <c r="E207" s="185" t="str">
        <f>if(isblank(J207),"",vlookup(J207,Pacing!$A$1:$H$213,5))</f>
        <v>Notes</v>
      </c>
      <c r="F207" s="185" t="str">
        <f>if(isblank(K207),"",vlookup(K207,Pacing!$A$1:$H$213,5))</f>
        <v>Notes</v>
      </c>
      <c r="G207" s="185" t="str">
        <f>if(isblank(L207),"",vlookup(L207,Pacing!$A$1:$H$213,5))</f>
        <v>Notes</v>
      </c>
      <c r="H207" s="185" t="str">
        <f>if(isblank(M207),"",vlookup(M207,Pacing!$A$1:$H$213,5))</f>
        <v>Notes</v>
      </c>
      <c r="I207" s="191">
        <f t="shared" ref="I207:M207" si="217">I206</f>
        <v>86</v>
      </c>
      <c r="J207" s="191">
        <f t="shared" si="217"/>
        <v>87</v>
      </c>
      <c r="K207" s="191">
        <f t="shared" si="217"/>
        <v>88</v>
      </c>
      <c r="L207" s="191">
        <f t="shared" si="217"/>
        <v>89</v>
      </c>
      <c r="M207" s="191">
        <f t="shared" si="217"/>
        <v>90</v>
      </c>
    </row>
    <row r="208" ht="15.75" customHeight="1">
      <c r="A208" s="178">
        <f>B208+6</f>
        <v>226</v>
      </c>
      <c r="B208" s="178">
        <f t="shared" si="214"/>
        <v>220</v>
      </c>
      <c r="C208" s="76"/>
      <c r="D208" s="185" t="str">
        <f>if(isblank(I208),"",vlookup(I208,Pacing!$A$1:$H$213,6))</f>
        <v>Investigation</v>
      </c>
      <c r="E208" s="185" t="str">
        <f>if(isblank(J208),"",vlookup(J208,Pacing!$A$1:$H$213,6))</f>
        <v>Investigation</v>
      </c>
      <c r="F208" s="185" t="str">
        <f>if(isblank(K208),"",vlookup(K208,Pacing!$A$1:$H$213,6))</f>
        <v>Investigation</v>
      </c>
      <c r="G208" s="185" t="str">
        <f>if(isblank(L208),"",vlookup(L208,Pacing!$A$1:$H$213,6))</f>
        <v>Investigation</v>
      </c>
      <c r="H208" s="185" t="str">
        <f>if(isblank(M208),"",vlookup(M208,Pacing!$A$1:$H$213,6))</f>
        <v>Investigation</v>
      </c>
      <c r="I208" s="191">
        <f t="shared" ref="I208:M208" si="218">I207</f>
        <v>86</v>
      </c>
      <c r="J208" s="191">
        <f t="shared" si="218"/>
        <v>87</v>
      </c>
      <c r="K208" s="191">
        <f t="shared" si="218"/>
        <v>88</v>
      </c>
      <c r="L208" s="191">
        <f t="shared" si="218"/>
        <v>89</v>
      </c>
      <c r="M208" s="191">
        <f t="shared" si="218"/>
        <v>90</v>
      </c>
    </row>
    <row r="209" ht="15.75" hidden="1" customHeight="1">
      <c r="A209" s="178">
        <f>B209+7</f>
        <v>227</v>
      </c>
      <c r="B209" s="178">
        <f t="shared" si="214"/>
        <v>220</v>
      </c>
      <c r="C209" s="76"/>
      <c r="D209" s="185" t="str">
        <f>if(isblank(I209),"",vlookup(I209,Pacing!$A$1:$H$213,7))</f>
        <v>Activity</v>
      </c>
      <c r="E209" s="185" t="str">
        <f>if(isblank(J209),"",vlookup(J209,Pacing!$A$1:$H$213,7))</f>
        <v>Activity</v>
      </c>
      <c r="F209" s="185" t="str">
        <f>if(isblank(K209),"",vlookup(K209,Pacing!$A$1:$H$213,7))</f>
        <v>Activity</v>
      </c>
      <c r="G209" s="185" t="str">
        <f>if(isblank(L209),"",vlookup(L209,Pacing!$A$1:$H$213,7))</f>
        <v>Activity</v>
      </c>
      <c r="H209" s="185" t="str">
        <f>if(isblank(M209),"",vlookup(M209,Pacing!$A$1:$H$213,7))</f>
        <v>Activity</v>
      </c>
      <c r="I209" s="191">
        <f t="shared" ref="I209:M209" si="219">I208</f>
        <v>86</v>
      </c>
      <c r="J209" s="191">
        <f t="shared" si="219"/>
        <v>87</v>
      </c>
      <c r="K209" s="191">
        <f t="shared" si="219"/>
        <v>88</v>
      </c>
      <c r="L209" s="191">
        <f t="shared" si="219"/>
        <v>89</v>
      </c>
      <c r="M209" s="191">
        <f t="shared" si="219"/>
        <v>90</v>
      </c>
    </row>
    <row r="210" ht="15.75" hidden="1" customHeight="1">
      <c r="A210" s="178">
        <f>B210+8</f>
        <v>228</v>
      </c>
      <c r="B210" s="178">
        <f t="shared" si="214"/>
        <v>220</v>
      </c>
      <c r="C210" s="95"/>
      <c r="D210" s="185" t="str">
        <f>if(isblank(I210),"",vlookup(I210,Pacing!$A$1:$H$213,8))</f>
        <v>Practice Set</v>
      </c>
      <c r="E210" s="185" t="str">
        <f>if(isblank(J210),"",vlookup(J210,Pacing!$A$1:$H$213,8))</f>
        <v>Practice Set</v>
      </c>
      <c r="F210" s="185" t="str">
        <f>if(isblank(K210),"",vlookup(K210,Pacing!$A$1:$H$213,8))</f>
        <v>Practice Set</v>
      </c>
      <c r="G210" s="185" t="str">
        <f>if(isblank(L210),"",vlookup(L210,Pacing!$A$1:$H$213,8))</f>
        <v>Practice Set</v>
      </c>
      <c r="H210" s="185" t="str">
        <f>if(isblank(M210),"",vlookup(M210,Pacing!$A$1:$H$213,8))</f>
        <v>Practice Set</v>
      </c>
      <c r="I210" s="191">
        <f t="shared" ref="I210:M210" si="220">I209</f>
        <v>86</v>
      </c>
      <c r="J210" s="191">
        <f t="shared" si="220"/>
        <v>87</v>
      </c>
      <c r="K210" s="191">
        <f t="shared" si="220"/>
        <v>88</v>
      </c>
      <c r="L210" s="191">
        <f t="shared" si="220"/>
        <v>89</v>
      </c>
      <c r="M210" s="191">
        <f t="shared" si="220"/>
        <v>90</v>
      </c>
    </row>
    <row r="211" ht="15.75" customHeight="1">
      <c r="A211" s="194"/>
      <c r="B211" s="194"/>
      <c r="C211" s="195"/>
      <c r="D211" s="196" t="s">
        <v>148</v>
      </c>
      <c r="E211" s="196" t="s">
        <v>149</v>
      </c>
      <c r="F211" s="196" t="s">
        <v>150</v>
      </c>
      <c r="G211" s="196" t="s">
        <v>152</v>
      </c>
      <c r="H211" s="196" t="s">
        <v>153</v>
      </c>
      <c r="I211" s="197">
        <f>M202+1</f>
        <v>91</v>
      </c>
      <c r="J211" s="169">
        <f t="shared" ref="J211:M211" si="221">I211+1</f>
        <v>92</v>
      </c>
      <c r="K211" s="169">
        <f t="shared" si="221"/>
        <v>93</v>
      </c>
      <c r="L211" s="169">
        <f t="shared" si="221"/>
        <v>94</v>
      </c>
      <c r="M211" s="169">
        <f t="shared" si="221"/>
        <v>95</v>
      </c>
    </row>
    <row r="212" ht="15.75" hidden="1" customHeight="1">
      <c r="A212" s="178">
        <f>B212+1</f>
        <v>231</v>
      </c>
      <c r="B212" s="178">
        <f>C212*10</f>
        <v>230</v>
      </c>
      <c r="C212" s="198">
        <f>C203+1</f>
        <v>23</v>
      </c>
      <c r="D212" s="182">
        <f>D203+7</f>
        <v>46055</v>
      </c>
      <c r="E212" s="182">
        <f t="shared" ref="E212:H212" si="222">D212+1</f>
        <v>46056</v>
      </c>
      <c r="F212" s="182">
        <f t="shared" si="222"/>
        <v>46057</v>
      </c>
      <c r="G212" s="182">
        <f t="shared" si="222"/>
        <v>46058</v>
      </c>
      <c r="H212" s="182">
        <f t="shared" si="222"/>
        <v>46059</v>
      </c>
      <c r="I212" s="174" t="s">
        <v>42</v>
      </c>
    </row>
    <row r="213" ht="15.75" customHeight="1">
      <c r="A213" s="199">
        <f>B213+2</f>
        <v>232</v>
      </c>
      <c r="B213" s="199">
        <f t="shared" ref="B213:B219" si="224">B212</f>
        <v>230</v>
      </c>
      <c r="C213" s="76"/>
      <c r="D213" s="201" t="str">
        <f>if(isblank(I213),"",vlookup(I213,Pacing!$A$1:$H$213,2))</f>
        <v>6.3: Refraction &amp; TIR</v>
      </c>
      <c r="E213" s="201" t="str">
        <f>if(isblank(J213),"",vlookup(J213,Pacing!$A$1:$H$213,2))</f>
        <v>6.3: Refraction &amp; TIR</v>
      </c>
      <c r="F213" s="201" t="str">
        <f>if(isblank(K213),"",vlookup(K213,Pacing!$A$1:$H$213,2))</f>
        <v>6.3: Refraction &amp; TIR</v>
      </c>
      <c r="G213" s="201" t="str">
        <f>if(isblank(L213),"",vlookup(L213,Pacing!$A$1:$H$213,2))</f>
        <v>6.4: Lenses &amp; Optics</v>
      </c>
      <c r="H213" s="201" t="str">
        <f>if(isblank(M213),"",vlookup(M213,Pacing!$A$1:$H$213,2))</f>
        <v>6.4: Lenses &amp; Optics</v>
      </c>
      <c r="I213" s="202">
        <f t="shared" ref="I213:M213" si="223">I211</f>
        <v>91</v>
      </c>
      <c r="J213" s="202">
        <f t="shared" si="223"/>
        <v>92</v>
      </c>
      <c r="K213" s="202">
        <f t="shared" si="223"/>
        <v>93</v>
      </c>
      <c r="L213" s="202">
        <f t="shared" si="223"/>
        <v>94</v>
      </c>
      <c r="M213" s="202">
        <f t="shared" si="223"/>
        <v>95</v>
      </c>
    </row>
    <row r="214" ht="15.75" customHeight="1">
      <c r="A214" s="178">
        <f>B214+3</f>
        <v>233</v>
      </c>
      <c r="B214" s="178">
        <f t="shared" si="224"/>
        <v>230</v>
      </c>
      <c r="C214" s="76"/>
      <c r="D214" s="185" t="str">
        <f>if(isblank(I214),"",vlookup(I214,Pacing!$A$1:$H$213,3))</f>
        <v>Warm Up</v>
      </c>
      <c r="E214" s="185" t="str">
        <f>if(isblank(J214),"",vlookup(J214,Pacing!$A$1:$H$213,3))</f>
        <v>Warm Up</v>
      </c>
      <c r="F214" s="185" t="str">
        <f>if(isblank(K214),"",vlookup(K214,Pacing!$A$1:$H$213,3))</f>
        <v>Warm Up</v>
      </c>
      <c r="G214" s="185" t="str">
        <f>if(isblank(L214),"",vlookup(L214,Pacing!$A$1:$H$213,3))</f>
        <v>Warm Up</v>
      </c>
      <c r="H214" s="185" t="str">
        <f>if(isblank(M214),"",vlookup(M214,Pacing!$A$1:$H$213,3))</f>
        <v>Warm Up</v>
      </c>
      <c r="I214" s="191">
        <f t="shared" ref="I214:M214" si="225">I213</f>
        <v>91</v>
      </c>
      <c r="J214" s="191">
        <f t="shared" si="225"/>
        <v>92</v>
      </c>
      <c r="K214" s="191">
        <f t="shared" si="225"/>
        <v>93</v>
      </c>
      <c r="L214" s="191">
        <f t="shared" si="225"/>
        <v>94</v>
      </c>
      <c r="M214" s="191">
        <f t="shared" si="225"/>
        <v>95</v>
      </c>
    </row>
    <row r="215" ht="15.75" customHeight="1">
      <c r="A215" s="178">
        <f>B215+4</f>
        <v>234</v>
      </c>
      <c r="B215" s="178">
        <f t="shared" si="224"/>
        <v>230</v>
      </c>
      <c r="C215" s="76"/>
      <c r="D215" s="185" t="str">
        <f>if(isblank(I215),"",vlookup(I215,Pacing!$A$1:$H$213,4))</f>
        <v>Demo</v>
      </c>
      <c r="E215" s="185" t="str">
        <f>if(isblank(J215),"",vlookup(J215,Pacing!$A$1:$H$213,4))</f>
        <v>Demo</v>
      </c>
      <c r="F215" s="185" t="str">
        <f>if(isblank(K215),"",vlookup(K215,Pacing!$A$1:$H$213,4))</f>
        <v>Demo</v>
      </c>
      <c r="G215" s="185" t="str">
        <f>if(isblank(L215),"",vlookup(L215,Pacing!$A$1:$H$213,4))</f>
        <v>Demo</v>
      </c>
      <c r="H215" s="185" t="str">
        <f>if(isblank(M215),"",vlookup(M215,Pacing!$A$1:$H$213,4))</f>
        <v>Demo</v>
      </c>
      <c r="I215" s="191">
        <f t="shared" ref="I215:M215" si="226">I214</f>
        <v>91</v>
      </c>
      <c r="J215" s="191">
        <f t="shared" si="226"/>
        <v>92</v>
      </c>
      <c r="K215" s="191">
        <f t="shared" si="226"/>
        <v>93</v>
      </c>
      <c r="L215" s="191">
        <f t="shared" si="226"/>
        <v>94</v>
      </c>
      <c r="M215" s="191">
        <f t="shared" si="226"/>
        <v>95</v>
      </c>
    </row>
    <row r="216" ht="15.75" customHeight="1">
      <c r="A216" s="178">
        <f>B216+5</f>
        <v>235</v>
      </c>
      <c r="B216" s="178">
        <f t="shared" si="224"/>
        <v>230</v>
      </c>
      <c r="C216" s="76"/>
      <c r="D216" s="185" t="str">
        <f>if(isblank(I216),"",vlookup(I216,Pacing!$A$1:$H$213,5))</f>
        <v>Notes</v>
      </c>
      <c r="E216" s="185" t="str">
        <f>if(isblank(J216),"",vlookup(J216,Pacing!$A$1:$H$213,5))</f>
        <v>Notes</v>
      </c>
      <c r="F216" s="185" t="str">
        <f>if(isblank(K216),"",vlookup(K216,Pacing!$A$1:$H$213,5))</f>
        <v>Notes</v>
      </c>
      <c r="G216" s="185" t="str">
        <f>if(isblank(L216),"",vlookup(L216,Pacing!$A$1:$H$213,5))</f>
        <v>Notes</v>
      </c>
      <c r="H216" s="185" t="str">
        <f>if(isblank(M216),"",vlookup(M216,Pacing!$A$1:$H$213,5))</f>
        <v>Notes</v>
      </c>
      <c r="I216" s="191">
        <f t="shared" ref="I216:M216" si="227">I215</f>
        <v>91</v>
      </c>
      <c r="J216" s="191">
        <f t="shared" si="227"/>
        <v>92</v>
      </c>
      <c r="K216" s="191">
        <f t="shared" si="227"/>
        <v>93</v>
      </c>
      <c r="L216" s="191">
        <f t="shared" si="227"/>
        <v>94</v>
      </c>
      <c r="M216" s="191">
        <f t="shared" si="227"/>
        <v>95</v>
      </c>
    </row>
    <row r="217" ht="15.75" customHeight="1">
      <c r="A217" s="178">
        <f>B217+6</f>
        <v>236</v>
      </c>
      <c r="B217" s="178">
        <f t="shared" si="224"/>
        <v>230</v>
      </c>
      <c r="C217" s="76"/>
      <c r="D217" s="185" t="str">
        <f>if(isblank(I217),"",vlookup(I217,Pacing!$A$1:$H$213,6))</f>
        <v>Investigation</v>
      </c>
      <c r="E217" s="185" t="str">
        <f>if(isblank(J217),"",vlookup(J217,Pacing!$A$1:$H$213,6))</f>
        <v>Investigation</v>
      </c>
      <c r="F217" s="185" t="str">
        <f>if(isblank(K217),"",vlookup(K217,Pacing!$A$1:$H$213,6))</f>
        <v>Investigation</v>
      </c>
      <c r="G217" s="185" t="str">
        <f>if(isblank(L217),"",vlookup(L217,Pacing!$A$1:$H$213,6))</f>
        <v>Investigation</v>
      </c>
      <c r="H217" s="185" t="str">
        <f>if(isblank(M217),"",vlookup(M217,Pacing!$A$1:$H$213,6))</f>
        <v>Investigation</v>
      </c>
      <c r="I217" s="191">
        <f t="shared" ref="I217:M217" si="228">I216</f>
        <v>91</v>
      </c>
      <c r="J217" s="191">
        <f t="shared" si="228"/>
        <v>92</v>
      </c>
      <c r="K217" s="191">
        <f t="shared" si="228"/>
        <v>93</v>
      </c>
      <c r="L217" s="191">
        <f t="shared" si="228"/>
        <v>94</v>
      </c>
      <c r="M217" s="191">
        <f t="shared" si="228"/>
        <v>95</v>
      </c>
    </row>
    <row r="218" ht="15.75" hidden="1" customHeight="1">
      <c r="A218" s="178">
        <f>B218+7</f>
        <v>237</v>
      </c>
      <c r="B218" s="178">
        <f t="shared" si="224"/>
        <v>230</v>
      </c>
      <c r="C218" s="76"/>
      <c r="D218" s="185" t="str">
        <f>if(isblank(I218),"",vlookup(I218,Pacing!$A$1:$H$213,7))</f>
        <v>Activity</v>
      </c>
      <c r="E218" s="185" t="str">
        <f>if(isblank(J218),"",vlookup(J218,Pacing!$A$1:$H$213,7))</f>
        <v>Activity</v>
      </c>
      <c r="F218" s="185" t="str">
        <f>if(isblank(K218),"",vlookup(K218,Pacing!$A$1:$H$213,7))</f>
        <v>Activity</v>
      </c>
      <c r="G218" s="185" t="str">
        <f>if(isblank(L218),"",vlookup(L218,Pacing!$A$1:$H$213,7))</f>
        <v>Activity</v>
      </c>
      <c r="H218" s="185" t="str">
        <f>if(isblank(M218),"",vlookup(M218,Pacing!$A$1:$H$213,7))</f>
        <v>Activity</v>
      </c>
      <c r="I218" s="191">
        <f t="shared" ref="I218:M218" si="229">I217</f>
        <v>91</v>
      </c>
      <c r="J218" s="191">
        <f t="shared" si="229"/>
        <v>92</v>
      </c>
      <c r="K218" s="191">
        <f t="shared" si="229"/>
        <v>93</v>
      </c>
      <c r="L218" s="191">
        <f t="shared" si="229"/>
        <v>94</v>
      </c>
      <c r="M218" s="191">
        <f t="shared" si="229"/>
        <v>95</v>
      </c>
    </row>
    <row r="219" ht="15.75" hidden="1" customHeight="1">
      <c r="A219" s="178">
        <f>B219+8</f>
        <v>238</v>
      </c>
      <c r="B219" s="178">
        <f t="shared" si="224"/>
        <v>230</v>
      </c>
      <c r="C219" s="95"/>
      <c r="D219" s="185" t="str">
        <f>if(isblank(I219),"",vlookup(I219,Pacing!$A$1:$H$213,8))</f>
        <v>Practice Set</v>
      </c>
      <c r="E219" s="185" t="str">
        <f>if(isblank(J219),"",vlookup(J219,Pacing!$A$1:$H$213,8))</f>
        <v>Practice Set</v>
      </c>
      <c r="F219" s="185" t="str">
        <f>if(isblank(K219),"",vlookup(K219,Pacing!$A$1:$H$213,8))</f>
        <v>Practice Set</v>
      </c>
      <c r="G219" s="185" t="str">
        <f>if(isblank(L219),"",vlookup(L219,Pacing!$A$1:$H$213,8))</f>
        <v>Practice Set</v>
      </c>
      <c r="H219" s="185" t="str">
        <f>if(isblank(M219),"",vlookup(M219,Pacing!$A$1:$H$213,8))</f>
        <v>Practice Set</v>
      </c>
      <c r="I219" s="191">
        <f t="shared" ref="I219:M219" si="230">I218</f>
        <v>91</v>
      </c>
      <c r="J219" s="191">
        <f t="shared" si="230"/>
        <v>92</v>
      </c>
      <c r="K219" s="191">
        <f t="shared" si="230"/>
        <v>93</v>
      </c>
      <c r="L219" s="191">
        <f t="shared" si="230"/>
        <v>94</v>
      </c>
      <c r="M219" s="191">
        <f t="shared" si="230"/>
        <v>95</v>
      </c>
    </row>
    <row r="220" ht="15.75" customHeight="1">
      <c r="A220" s="194"/>
      <c r="B220" s="194"/>
      <c r="C220" s="195"/>
      <c r="D220" s="196" t="s">
        <v>156</v>
      </c>
      <c r="E220" s="196" t="s">
        <v>157</v>
      </c>
      <c r="F220" s="196" t="s">
        <v>158</v>
      </c>
      <c r="G220" s="196" t="s">
        <v>159</v>
      </c>
      <c r="H220" s="196" t="s">
        <v>160</v>
      </c>
      <c r="I220" s="197">
        <f>M211+1</f>
        <v>96</v>
      </c>
      <c r="J220" s="169">
        <f t="shared" ref="J220:M220" si="231">I220+1</f>
        <v>97</v>
      </c>
      <c r="K220" s="169">
        <f t="shared" si="231"/>
        <v>98</v>
      </c>
      <c r="L220" s="169">
        <f t="shared" si="231"/>
        <v>99</v>
      </c>
      <c r="M220" s="169">
        <f t="shared" si="231"/>
        <v>100</v>
      </c>
    </row>
    <row r="221" ht="15.75" hidden="1" customHeight="1">
      <c r="A221" s="178">
        <f>B221+1</f>
        <v>241</v>
      </c>
      <c r="B221" s="178">
        <f>C221*10</f>
        <v>240</v>
      </c>
      <c r="C221" s="198">
        <f>C212+1</f>
        <v>24</v>
      </c>
      <c r="D221" s="182">
        <f>D212+7</f>
        <v>46062</v>
      </c>
      <c r="E221" s="182">
        <f t="shared" ref="E221:H221" si="232">D221+1</f>
        <v>46063</v>
      </c>
      <c r="F221" s="182">
        <f t="shared" si="232"/>
        <v>46064</v>
      </c>
      <c r="G221" s="182">
        <f t="shared" si="232"/>
        <v>46065</v>
      </c>
      <c r="H221" s="182">
        <f t="shared" si="232"/>
        <v>46066</v>
      </c>
      <c r="I221" s="174" t="s">
        <v>42</v>
      </c>
    </row>
    <row r="222" ht="15.75" customHeight="1">
      <c r="A222" s="199">
        <f>B222+2</f>
        <v>242</v>
      </c>
      <c r="B222" s="199">
        <f t="shared" ref="B222:B228" si="234">B221</f>
        <v>240</v>
      </c>
      <c r="C222" s="76"/>
      <c r="D222" s="201" t="str">
        <f>if(isblank(I222),"",vlookup(I222,Pacing!$A$1:$H$213,2))</f>
        <v>6.4: Lenses &amp; Optics</v>
      </c>
      <c r="E222" s="201" t="str">
        <f>if(isblank(J222),"",vlookup(J222,Pacing!$A$1:$H$213,2))</f>
        <v>6.5: Optical Apps</v>
      </c>
      <c r="F222" s="201" t="str">
        <f>if(isblank(K222),"",vlookup(K222,Pacing!$A$1:$H$213,2))</f>
        <v>6.5: Optical Apps</v>
      </c>
      <c r="G222" s="201" t="str">
        <f>if(isblank(L222),"",vlookup(L222,Pacing!$A$1:$H$213,2))</f>
        <v>6.5: Optical Apps</v>
      </c>
      <c r="H222" s="201" t="str">
        <f>if(isblank(M222),"",vlookup(M222,Pacing!$A$1:$H$213,2))</f>
        <v>Unit 6 Sum Assess</v>
      </c>
      <c r="I222" s="202">
        <f t="shared" ref="I222:M222" si="233">I220</f>
        <v>96</v>
      </c>
      <c r="J222" s="202">
        <f t="shared" si="233"/>
        <v>97</v>
      </c>
      <c r="K222" s="202">
        <f t="shared" si="233"/>
        <v>98</v>
      </c>
      <c r="L222" s="202">
        <f t="shared" si="233"/>
        <v>99</v>
      </c>
      <c r="M222" s="202">
        <f t="shared" si="233"/>
        <v>100</v>
      </c>
    </row>
    <row r="223" ht="15.75" customHeight="1">
      <c r="A223" s="178">
        <f>B223+3</f>
        <v>243</v>
      </c>
      <c r="B223" s="178">
        <f t="shared" si="234"/>
        <v>240</v>
      </c>
      <c r="C223" s="76"/>
      <c r="D223" s="185" t="str">
        <f>if(isblank(I223),"",vlookup(I223,Pacing!$A$1:$H$213,3))</f>
        <v>Warm Up</v>
      </c>
      <c r="E223" s="185" t="str">
        <f>if(isblank(J223),"",vlookup(J223,Pacing!$A$1:$H$213,3))</f>
        <v>Warm Up</v>
      </c>
      <c r="F223" s="185" t="str">
        <f>if(isblank(K223),"",vlookup(K223,Pacing!$A$1:$H$213,3))</f>
        <v>Warm Up</v>
      </c>
      <c r="G223" s="185" t="str">
        <f>if(isblank(L223),"",vlookup(L223,Pacing!$A$1:$H$213,3))</f>
        <v>Warm Up</v>
      </c>
      <c r="H223" s="193" t="str">
        <f>if(isblank(M223),"",vlookup(M223,Pacing!$A$1:$H$213,3))</f>
        <v/>
      </c>
      <c r="I223" s="191">
        <f t="shared" ref="I223:M223" si="235">I222</f>
        <v>96</v>
      </c>
      <c r="J223" s="191">
        <f t="shared" si="235"/>
        <v>97</v>
      </c>
      <c r="K223" s="191">
        <f t="shared" si="235"/>
        <v>98</v>
      </c>
      <c r="L223" s="191">
        <f t="shared" si="235"/>
        <v>99</v>
      </c>
      <c r="M223" s="191">
        <f t="shared" si="235"/>
        <v>100</v>
      </c>
    </row>
    <row r="224" ht="15.75" customHeight="1">
      <c r="A224" s="178">
        <f>B224+4</f>
        <v>244</v>
      </c>
      <c r="B224" s="178">
        <f t="shared" si="234"/>
        <v>240</v>
      </c>
      <c r="C224" s="76"/>
      <c r="D224" s="185" t="str">
        <f>if(isblank(I224),"",vlookup(I224,Pacing!$A$1:$H$213,4))</f>
        <v>Demo</v>
      </c>
      <c r="E224" s="185" t="str">
        <f>if(isblank(J224),"",vlookup(J224,Pacing!$A$1:$H$213,4))</f>
        <v>Demo</v>
      </c>
      <c r="F224" s="185" t="str">
        <f>if(isblank(K224),"",vlookup(K224,Pacing!$A$1:$H$213,4))</f>
        <v>Demo</v>
      </c>
      <c r="G224" s="185" t="str">
        <f>if(isblank(L224),"",vlookup(L224,Pacing!$A$1:$H$213,4))</f>
        <v>Demo</v>
      </c>
      <c r="H224" s="193" t="str">
        <f>if(isblank(M224),"",vlookup(M224,Pacing!$A$1:$H$213,4))</f>
        <v/>
      </c>
      <c r="I224" s="191">
        <f t="shared" ref="I224:M224" si="236">I223</f>
        <v>96</v>
      </c>
      <c r="J224" s="191">
        <f t="shared" si="236"/>
        <v>97</v>
      </c>
      <c r="K224" s="191">
        <f t="shared" si="236"/>
        <v>98</v>
      </c>
      <c r="L224" s="191">
        <f t="shared" si="236"/>
        <v>99</v>
      </c>
      <c r="M224" s="191">
        <f t="shared" si="236"/>
        <v>100</v>
      </c>
    </row>
    <row r="225" ht="15.75" customHeight="1">
      <c r="A225" s="178">
        <f>B225+5</f>
        <v>245</v>
      </c>
      <c r="B225" s="178">
        <f t="shared" si="234"/>
        <v>240</v>
      </c>
      <c r="C225" s="76"/>
      <c r="D225" s="185" t="str">
        <f>if(isblank(I225),"",vlookup(I225,Pacing!$A$1:$H$213,5))</f>
        <v>Notes</v>
      </c>
      <c r="E225" s="185" t="str">
        <f>if(isblank(J225),"",vlookup(J225,Pacing!$A$1:$H$213,5))</f>
        <v>Notes</v>
      </c>
      <c r="F225" s="185" t="str">
        <f>if(isblank(K225),"",vlookup(K225,Pacing!$A$1:$H$213,5))</f>
        <v>Notes</v>
      </c>
      <c r="G225" s="185" t="str">
        <f>if(isblank(L225),"",vlookup(L225,Pacing!$A$1:$H$213,5))</f>
        <v>Notes</v>
      </c>
      <c r="H225" s="193" t="str">
        <f>if(isblank(M225),"",vlookup(M225,Pacing!$A$1:$H$213,5))</f>
        <v/>
      </c>
      <c r="I225" s="191">
        <f t="shared" ref="I225:M225" si="237">I224</f>
        <v>96</v>
      </c>
      <c r="J225" s="191">
        <f t="shared" si="237"/>
        <v>97</v>
      </c>
      <c r="K225" s="191">
        <f t="shared" si="237"/>
        <v>98</v>
      </c>
      <c r="L225" s="191">
        <f t="shared" si="237"/>
        <v>99</v>
      </c>
      <c r="M225" s="191">
        <f t="shared" si="237"/>
        <v>100</v>
      </c>
    </row>
    <row r="226" ht="15.75" customHeight="1">
      <c r="A226" s="178">
        <f>B226+6</f>
        <v>246</v>
      </c>
      <c r="B226" s="178">
        <f t="shared" si="234"/>
        <v>240</v>
      </c>
      <c r="C226" s="76"/>
      <c r="D226" s="185" t="str">
        <f>if(isblank(I226),"",vlookup(I226,Pacing!$A$1:$H$213,6))</f>
        <v>Investigation</v>
      </c>
      <c r="E226" s="185" t="str">
        <f>if(isblank(J226),"",vlookup(J226,Pacing!$A$1:$H$213,6))</f>
        <v>Investigation</v>
      </c>
      <c r="F226" s="185" t="str">
        <f>if(isblank(K226),"",vlookup(K226,Pacing!$A$1:$H$213,6))</f>
        <v>Investigation</v>
      </c>
      <c r="G226" s="185" t="str">
        <f>if(isblank(L226),"",vlookup(L226,Pacing!$A$1:$H$213,6))</f>
        <v>Investigation</v>
      </c>
      <c r="H226" s="193" t="str">
        <f>if(isblank(M226),"",vlookup(M226,Pacing!$A$1:$H$213,6))</f>
        <v/>
      </c>
      <c r="I226" s="191">
        <f t="shared" ref="I226:M226" si="238">I225</f>
        <v>96</v>
      </c>
      <c r="J226" s="191">
        <f t="shared" si="238"/>
        <v>97</v>
      </c>
      <c r="K226" s="191">
        <f t="shared" si="238"/>
        <v>98</v>
      </c>
      <c r="L226" s="191">
        <f t="shared" si="238"/>
        <v>99</v>
      </c>
      <c r="M226" s="191">
        <f t="shared" si="238"/>
        <v>100</v>
      </c>
    </row>
    <row r="227" ht="15.75" hidden="1" customHeight="1">
      <c r="A227" s="178">
        <f>B227+7</f>
        <v>247</v>
      </c>
      <c r="B227" s="178">
        <f t="shared" si="234"/>
        <v>240</v>
      </c>
      <c r="C227" s="76"/>
      <c r="D227" s="185" t="str">
        <f>if(isblank(I227),"",vlookup(I227,Pacing!$A$1:$H$213,7))</f>
        <v>Activity</v>
      </c>
      <c r="E227" s="185" t="str">
        <f>if(isblank(J227),"",vlookup(J227,Pacing!$A$1:$H$213,7))</f>
        <v>Activity</v>
      </c>
      <c r="F227" s="185" t="str">
        <f>if(isblank(K227),"",vlookup(K227,Pacing!$A$1:$H$213,7))</f>
        <v>Activity</v>
      </c>
      <c r="G227" s="185" t="str">
        <f>if(isblank(L227),"",vlookup(L227,Pacing!$A$1:$H$213,7))</f>
        <v>Activity</v>
      </c>
      <c r="H227" s="193" t="str">
        <f>if(isblank(M227),"",vlookup(M227,Pacing!$A$1:$H$213,7))</f>
        <v/>
      </c>
      <c r="I227" s="191">
        <f t="shared" ref="I227:M227" si="239">I226</f>
        <v>96</v>
      </c>
      <c r="J227" s="191">
        <f t="shared" si="239"/>
        <v>97</v>
      </c>
      <c r="K227" s="191">
        <f t="shared" si="239"/>
        <v>98</v>
      </c>
      <c r="L227" s="191">
        <f t="shared" si="239"/>
        <v>99</v>
      </c>
      <c r="M227" s="191">
        <f t="shared" si="239"/>
        <v>100</v>
      </c>
    </row>
    <row r="228" ht="15.75" hidden="1" customHeight="1">
      <c r="A228" s="178">
        <f>B228+8</f>
        <v>248</v>
      </c>
      <c r="B228" s="178">
        <f t="shared" si="234"/>
        <v>240</v>
      </c>
      <c r="C228" s="95"/>
      <c r="D228" s="185" t="str">
        <f>if(isblank(I228),"",vlookup(I228,Pacing!$A$1:$H$213,8))</f>
        <v>Practice Set</v>
      </c>
      <c r="E228" s="185" t="str">
        <f>if(isblank(J228),"",vlookup(J228,Pacing!$A$1:$H$213,8))</f>
        <v>Practice Set</v>
      </c>
      <c r="F228" s="185" t="str">
        <f>if(isblank(K228),"",vlookup(K228,Pacing!$A$1:$H$213,8))</f>
        <v>Practice Set</v>
      </c>
      <c r="G228" s="185" t="str">
        <f>if(isblank(L228),"",vlookup(L228,Pacing!$A$1:$H$213,8))</f>
        <v>Practice Set</v>
      </c>
      <c r="H228" s="193" t="str">
        <f>if(isblank(M228),"",vlookup(M228,Pacing!$A$1:$H$213,8))</f>
        <v/>
      </c>
      <c r="I228" s="191">
        <f t="shared" ref="I228:M228" si="240">I227</f>
        <v>96</v>
      </c>
      <c r="J228" s="191">
        <f t="shared" si="240"/>
        <v>97</v>
      </c>
      <c r="K228" s="191">
        <f t="shared" si="240"/>
        <v>98</v>
      </c>
      <c r="L228" s="191">
        <f t="shared" si="240"/>
        <v>99</v>
      </c>
      <c r="M228" s="191">
        <f t="shared" si="240"/>
        <v>100</v>
      </c>
    </row>
    <row r="229" ht="15.75" customHeight="1">
      <c r="A229" s="194"/>
      <c r="B229" s="194"/>
      <c r="C229" s="195"/>
      <c r="D229" s="196" t="s">
        <v>164</v>
      </c>
      <c r="E229" s="196" t="s">
        <v>165</v>
      </c>
      <c r="F229" s="196" t="s">
        <v>166</v>
      </c>
      <c r="G229" s="196" t="s">
        <v>167</v>
      </c>
      <c r="H229" s="196" t="s">
        <v>168</v>
      </c>
      <c r="I229" s="197">
        <f>M220+1</f>
        <v>101</v>
      </c>
      <c r="J229" s="169"/>
      <c r="K229" s="169"/>
      <c r="L229" s="169"/>
      <c r="M229" s="169"/>
    </row>
    <row r="230" ht="15.75" hidden="1" customHeight="1">
      <c r="A230" s="178">
        <f>B230+1</f>
        <v>251</v>
      </c>
      <c r="B230" s="178">
        <f>C230*10</f>
        <v>250</v>
      </c>
      <c r="C230" s="198">
        <f>C221+1</f>
        <v>25</v>
      </c>
      <c r="D230" s="182">
        <f>D221+7</f>
        <v>46069</v>
      </c>
      <c r="E230" s="182">
        <f t="shared" ref="E230:H230" si="241">D230+1</f>
        <v>46070</v>
      </c>
      <c r="F230" s="182">
        <f t="shared" si="241"/>
        <v>46071</v>
      </c>
      <c r="G230" s="182">
        <f t="shared" si="241"/>
        <v>46072</v>
      </c>
      <c r="H230" s="182">
        <f t="shared" si="241"/>
        <v>46073</v>
      </c>
      <c r="I230" s="174" t="s">
        <v>42</v>
      </c>
    </row>
    <row r="231" ht="15.75" customHeight="1">
      <c r="A231" s="199">
        <f>B231+2</f>
        <v>252</v>
      </c>
      <c r="B231" s="199">
        <f t="shared" ref="B231:B237" si="243">B230</f>
        <v>250</v>
      </c>
      <c r="C231" s="76"/>
      <c r="D231" s="201" t="str">
        <f>if(isblank(I231),"",vlookup(I231,Pacing!$A$1:$H$213,2))</f>
        <v>7.1: Charge &amp; Forces</v>
      </c>
      <c r="E231" s="201" t="str">
        <f>if(isblank(J231),"",vlookup(J231,Pacing!$A$1:$H$213,2))</f>
        <v/>
      </c>
      <c r="F231" s="201" t="str">
        <f>if(isblank(K231),"",vlookup(K231,Pacing!$A$1:$H$213,2))</f>
        <v/>
      </c>
      <c r="G231" s="201" t="str">
        <f>if(isblank(L231),"",vlookup(L231,Pacing!$A$1:$H$213,2))</f>
        <v/>
      </c>
      <c r="H231" s="201" t="str">
        <f>if(isblank(M231),"",vlookup(M231,Pacing!$A$1:$H$213,2))</f>
        <v/>
      </c>
      <c r="I231" s="202">
        <f t="shared" ref="I231:M231" si="242">I229</f>
        <v>101</v>
      </c>
      <c r="J231" s="202" t="str">
        <f t="shared" si="242"/>
        <v/>
      </c>
      <c r="K231" s="202" t="str">
        <f t="shared" si="242"/>
        <v/>
      </c>
      <c r="L231" s="202" t="str">
        <f t="shared" si="242"/>
        <v/>
      </c>
      <c r="M231" s="202" t="str">
        <f t="shared" si="242"/>
        <v/>
      </c>
    </row>
    <row r="232" ht="15.75" customHeight="1">
      <c r="A232" s="178">
        <f>B232+3</f>
        <v>253</v>
      </c>
      <c r="B232" s="178">
        <f t="shared" si="243"/>
        <v>250</v>
      </c>
      <c r="C232" s="76"/>
      <c r="D232" s="185" t="str">
        <f>if(isblank(I232),"",vlookup(I232,Pacing!$A$1:$H$213,3))</f>
        <v>Warm Up</v>
      </c>
      <c r="E232" s="193" t="str">
        <f>if(isblank(J232),"",vlookup(J232,Pacing!$A$1:$H$213,3))</f>
        <v/>
      </c>
      <c r="F232" s="193" t="str">
        <f>if(isblank(K232),"",vlookup(K232,Pacing!$A$1:$H$213,3))</f>
        <v/>
      </c>
      <c r="G232" s="193" t="str">
        <f>if(isblank(L232),"",vlookup(L232,Pacing!$A$1:$H$213,3))</f>
        <v/>
      </c>
      <c r="H232" s="193" t="str">
        <f>if(isblank(M232),"",vlookup(M232,Pacing!$A$1:$H$213,3))</f>
        <v/>
      </c>
      <c r="I232" s="191">
        <f t="shared" ref="I232:M232" si="244">I231</f>
        <v>101</v>
      </c>
      <c r="J232" s="191" t="str">
        <f t="shared" si="244"/>
        <v/>
      </c>
      <c r="K232" s="191" t="str">
        <f t="shared" si="244"/>
        <v/>
      </c>
      <c r="L232" s="191" t="str">
        <f t="shared" si="244"/>
        <v/>
      </c>
      <c r="M232" s="191" t="str">
        <f t="shared" si="244"/>
        <v/>
      </c>
    </row>
    <row r="233" ht="15.75" customHeight="1">
      <c r="A233" s="178">
        <f>B233+4</f>
        <v>254</v>
      </c>
      <c r="B233" s="178">
        <f t="shared" si="243"/>
        <v>250</v>
      </c>
      <c r="C233" s="76"/>
      <c r="D233" s="185" t="str">
        <f>if(isblank(I233),"",vlookup(I233,Pacing!$A$1:$H$213,4))</f>
        <v>Demo</v>
      </c>
      <c r="E233" s="193" t="str">
        <f>if(isblank(J233),"",vlookup(J233,Pacing!$A$1:$H$213,4))</f>
        <v/>
      </c>
      <c r="F233" s="193" t="str">
        <f>if(isblank(K233),"",vlookup(K233,Pacing!$A$1:$H$213,4))</f>
        <v/>
      </c>
      <c r="G233" s="193" t="str">
        <f>if(isblank(L233),"",vlookup(L233,Pacing!$A$1:$H$213,4))</f>
        <v/>
      </c>
      <c r="H233" s="193" t="str">
        <f>if(isblank(M233),"",vlookup(M233,Pacing!$A$1:$H$213,4))</f>
        <v/>
      </c>
      <c r="I233" s="191">
        <f t="shared" ref="I233:M233" si="245">I232</f>
        <v>101</v>
      </c>
      <c r="J233" s="191" t="str">
        <f t="shared" si="245"/>
        <v/>
      </c>
      <c r="K233" s="191" t="str">
        <f t="shared" si="245"/>
        <v/>
      </c>
      <c r="L233" s="191" t="str">
        <f t="shared" si="245"/>
        <v/>
      </c>
      <c r="M233" s="191" t="str">
        <f t="shared" si="245"/>
        <v/>
      </c>
    </row>
    <row r="234" ht="15.75" customHeight="1">
      <c r="A234" s="178">
        <f>B234+5</f>
        <v>255</v>
      </c>
      <c r="B234" s="178">
        <f t="shared" si="243"/>
        <v>250</v>
      </c>
      <c r="C234" s="76"/>
      <c r="D234" s="185" t="str">
        <f>if(isblank(I234),"",vlookup(I234,Pacing!$A$1:$H$213,5))</f>
        <v>Notes</v>
      </c>
      <c r="E234" s="193" t="str">
        <f>if(isblank(J234),"",vlookup(J234,Pacing!$A$1:$H$213,5))</f>
        <v/>
      </c>
      <c r="F234" s="193" t="str">
        <f>if(isblank(K234),"",vlookup(K234,Pacing!$A$1:$H$213,5))</f>
        <v/>
      </c>
      <c r="G234" s="193" t="str">
        <f>if(isblank(L234),"",vlookup(L234,Pacing!$A$1:$H$213,5))</f>
        <v/>
      </c>
      <c r="H234" s="193" t="str">
        <f>if(isblank(M234),"",vlookup(M234,Pacing!$A$1:$H$213,5))</f>
        <v/>
      </c>
      <c r="I234" s="191">
        <f t="shared" ref="I234:M234" si="246">I233</f>
        <v>101</v>
      </c>
      <c r="J234" s="191" t="str">
        <f t="shared" si="246"/>
        <v/>
      </c>
      <c r="K234" s="191" t="str">
        <f t="shared" si="246"/>
        <v/>
      </c>
      <c r="L234" s="191" t="str">
        <f t="shared" si="246"/>
        <v/>
      </c>
      <c r="M234" s="191" t="str">
        <f t="shared" si="246"/>
        <v/>
      </c>
    </row>
    <row r="235" ht="15.75" customHeight="1">
      <c r="A235" s="178">
        <f>B235+6</f>
        <v>256</v>
      </c>
      <c r="B235" s="178">
        <f t="shared" si="243"/>
        <v>250</v>
      </c>
      <c r="C235" s="76"/>
      <c r="D235" s="213" t="str">
        <f>if(isblank(I235),"",vlookup(I235,Pacing!$A$1:$H$213,6))</f>
        <v>Investigation</v>
      </c>
      <c r="E235" s="214" t="str">
        <f>if(isblank(J235),"",vlookup(J235,Pacing!$A$1:$H$213,6))</f>
        <v/>
      </c>
      <c r="F235" s="214" t="str">
        <f>if(isblank(K235),"",vlookup(K235,Pacing!$A$1:$H$213,6))</f>
        <v/>
      </c>
      <c r="G235" s="214" t="str">
        <f>if(isblank(L235),"",vlookup(L235,Pacing!$A$1:$H$213,6))</f>
        <v/>
      </c>
      <c r="H235" s="214" t="str">
        <f>if(isblank(M235),"",vlookup(M235,Pacing!$A$1:$H$213,6))</f>
        <v/>
      </c>
      <c r="I235" s="191">
        <f t="shared" ref="I235:M235" si="247">I234</f>
        <v>101</v>
      </c>
      <c r="J235" s="191" t="str">
        <f t="shared" si="247"/>
        <v/>
      </c>
      <c r="K235" s="191" t="str">
        <f t="shared" si="247"/>
        <v/>
      </c>
      <c r="L235" s="191" t="str">
        <f t="shared" si="247"/>
        <v/>
      </c>
      <c r="M235" s="191" t="str">
        <f t="shared" si="247"/>
        <v/>
      </c>
    </row>
    <row r="236" ht="15.75" hidden="1" customHeight="1">
      <c r="A236" s="178">
        <f>B236+7</f>
        <v>257</v>
      </c>
      <c r="B236" s="178">
        <f t="shared" si="243"/>
        <v>250</v>
      </c>
      <c r="C236" s="76"/>
      <c r="D236" s="185" t="str">
        <f>if(isblank(I236),"",vlookup(I236,Pacing!$A$1:$H$213,7))</f>
        <v>Activity</v>
      </c>
      <c r="E236" s="193" t="str">
        <f>if(isblank(J236),"",vlookup(J236,Pacing!$A$1:$H$213,7))</f>
        <v/>
      </c>
      <c r="F236" s="193" t="str">
        <f>if(isblank(K236),"",vlookup(K236,Pacing!$A$1:$H$213,7))</f>
        <v/>
      </c>
      <c r="G236" s="193" t="str">
        <f>if(isblank(L236),"",vlookup(L236,Pacing!$A$1:$H$213,7))</f>
        <v/>
      </c>
      <c r="H236" s="193" t="str">
        <f>if(isblank(M236),"",vlookup(M236,Pacing!$A$1:$H$213,7))</f>
        <v/>
      </c>
      <c r="I236" s="191">
        <f t="shared" ref="I236:M236" si="248">I235</f>
        <v>101</v>
      </c>
      <c r="J236" s="191" t="str">
        <f t="shared" si="248"/>
        <v/>
      </c>
      <c r="K236" s="191" t="str">
        <f t="shared" si="248"/>
        <v/>
      </c>
      <c r="L236" s="191" t="str">
        <f t="shared" si="248"/>
        <v/>
      </c>
      <c r="M236" s="191" t="str">
        <f t="shared" si="248"/>
        <v/>
      </c>
    </row>
    <row r="237" ht="15.75" hidden="1" customHeight="1">
      <c r="A237" s="178">
        <f>B237+8</f>
        <v>258</v>
      </c>
      <c r="B237" s="178">
        <f t="shared" si="243"/>
        <v>250</v>
      </c>
      <c r="C237" s="95"/>
      <c r="D237" s="185" t="str">
        <f>if(isblank(I237),"",vlookup(I237,Pacing!$A$1:$H$213,8))</f>
        <v>Practice Set</v>
      </c>
      <c r="E237" s="193" t="str">
        <f>if(isblank(J237),"",vlookup(J237,Pacing!$A$1:$H$213,8))</f>
        <v/>
      </c>
      <c r="F237" s="193" t="str">
        <f>if(isblank(K237),"",vlookup(K237,Pacing!$A$1:$H$213,8))</f>
        <v/>
      </c>
      <c r="G237" s="193" t="str">
        <f>if(isblank(L237),"",vlookup(L237,Pacing!$A$1:$H$213,8))</f>
        <v/>
      </c>
      <c r="H237" s="193" t="str">
        <f>if(isblank(M237),"",vlookup(M237,Pacing!$A$1:$H$213,8))</f>
        <v/>
      </c>
      <c r="I237" s="191">
        <f t="shared" ref="I237:M237" si="249">I236</f>
        <v>101</v>
      </c>
      <c r="J237" s="191" t="str">
        <f t="shared" si="249"/>
        <v/>
      </c>
      <c r="K237" s="191" t="str">
        <f t="shared" si="249"/>
        <v/>
      </c>
      <c r="L237" s="191" t="str">
        <f t="shared" si="249"/>
        <v/>
      </c>
      <c r="M237" s="191" t="str">
        <f t="shared" si="249"/>
        <v/>
      </c>
    </row>
    <row r="238" ht="15.75" customHeight="1">
      <c r="A238" s="194"/>
      <c r="B238" s="194"/>
      <c r="C238" s="195"/>
      <c r="D238" s="196" t="s">
        <v>142</v>
      </c>
      <c r="E238" s="196" t="s">
        <v>143</v>
      </c>
      <c r="F238" s="196" t="s">
        <v>144</v>
      </c>
      <c r="G238" s="196" t="s">
        <v>145</v>
      </c>
      <c r="H238" s="196" t="s">
        <v>146</v>
      </c>
      <c r="I238" s="197">
        <v>102.0</v>
      </c>
      <c r="J238" s="169">
        <f t="shared" ref="J238:M238" si="250">I238+1</f>
        <v>103</v>
      </c>
      <c r="K238" s="169">
        <f t="shared" si="250"/>
        <v>104</v>
      </c>
      <c r="L238" s="169">
        <f t="shared" si="250"/>
        <v>105</v>
      </c>
      <c r="M238" s="169">
        <f t="shared" si="250"/>
        <v>106</v>
      </c>
    </row>
    <row r="239" ht="15.75" hidden="1" customHeight="1">
      <c r="A239" s="178">
        <f>B239+1</f>
        <v>261</v>
      </c>
      <c r="B239" s="178">
        <f>C239*10</f>
        <v>260</v>
      </c>
      <c r="C239" s="198">
        <f>C230+1</f>
        <v>26</v>
      </c>
      <c r="D239" s="182">
        <f>D230+7</f>
        <v>46076</v>
      </c>
      <c r="E239" s="182">
        <f t="shared" ref="E239:H239" si="251">D239+1</f>
        <v>46077</v>
      </c>
      <c r="F239" s="182">
        <f t="shared" si="251"/>
        <v>46078</v>
      </c>
      <c r="G239" s="182">
        <f t="shared" si="251"/>
        <v>46079</v>
      </c>
      <c r="H239" s="182">
        <f t="shared" si="251"/>
        <v>46080</v>
      </c>
      <c r="I239" s="174" t="s">
        <v>42</v>
      </c>
    </row>
    <row r="240" ht="15.75" customHeight="1">
      <c r="A240" s="199">
        <f>B240+2</f>
        <v>262</v>
      </c>
      <c r="B240" s="199">
        <f t="shared" ref="B240:B246" si="253">B239</f>
        <v>260</v>
      </c>
      <c r="C240" s="76"/>
      <c r="D240" s="201" t="str">
        <f>if(isblank(I240),"",vlookup(I240,Pacing!$A$1:$H$213,2))</f>
        <v>7.1: Charge &amp; Forces</v>
      </c>
      <c r="E240" s="201" t="str">
        <f>if(isblank(J240),"",vlookup(J240,Pacing!$A$1:$H$213,2))</f>
        <v>7.1: Charge &amp; Forces</v>
      </c>
      <c r="F240" s="201" t="str">
        <f>if(isblank(K240),"",vlookup(K240,Pacing!$A$1:$H$213,2))</f>
        <v>7.2: Voltage &amp; Current</v>
      </c>
      <c r="G240" s="201" t="str">
        <f>if(isblank(L240),"",vlookup(L240,Pacing!$A$1:$H$213,2))</f>
        <v>7.2: Voltage &amp; Current</v>
      </c>
      <c r="H240" s="201" t="str">
        <f>if(isblank(M240),"",vlookup(M240,Pacing!$A$1:$H$213,2))</f>
        <v>7.2: Voltage &amp; Current</v>
      </c>
      <c r="I240" s="202">
        <f t="shared" ref="I240:M240" si="252">I238</f>
        <v>102</v>
      </c>
      <c r="J240" s="202">
        <f t="shared" si="252"/>
        <v>103</v>
      </c>
      <c r="K240" s="202">
        <f t="shared" si="252"/>
        <v>104</v>
      </c>
      <c r="L240" s="202">
        <f t="shared" si="252"/>
        <v>105</v>
      </c>
      <c r="M240" s="202">
        <f t="shared" si="252"/>
        <v>106</v>
      </c>
    </row>
    <row r="241" ht="15.75" customHeight="1">
      <c r="A241" s="178">
        <f>B241+3</f>
        <v>263</v>
      </c>
      <c r="B241" s="178">
        <f t="shared" si="253"/>
        <v>260</v>
      </c>
      <c r="C241" s="76"/>
      <c r="D241" s="185" t="str">
        <f>if(isblank(I241),"",vlookup(I241,Pacing!$A$1:$H$213,3))</f>
        <v>Warm Up</v>
      </c>
      <c r="E241" s="185" t="str">
        <f>if(isblank(J241),"",vlookup(J241,Pacing!$A$1:$H$213,3))</f>
        <v>Warm Up</v>
      </c>
      <c r="F241" s="185" t="str">
        <f>if(isblank(K241),"",vlookup(K241,Pacing!$A$1:$H$213,3))</f>
        <v>Warm Up</v>
      </c>
      <c r="G241" s="185" t="str">
        <f>if(isblank(L241),"",vlookup(L241,Pacing!$A$1:$H$213,3))</f>
        <v>Warm Up</v>
      </c>
      <c r="H241" s="185" t="str">
        <f>if(isblank(M241),"",vlookup(M241,Pacing!$A$1:$H$213,3))</f>
        <v>Warm Up</v>
      </c>
      <c r="I241" s="191">
        <f t="shared" ref="I241:M241" si="254">I240</f>
        <v>102</v>
      </c>
      <c r="J241" s="191">
        <f t="shared" si="254"/>
        <v>103</v>
      </c>
      <c r="K241" s="191">
        <f t="shared" si="254"/>
        <v>104</v>
      </c>
      <c r="L241" s="191">
        <f t="shared" si="254"/>
        <v>105</v>
      </c>
      <c r="M241" s="191">
        <f t="shared" si="254"/>
        <v>106</v>
      </c>
    </row>
    <row r="242" ht="15.75" customHeight="1">
      <c r="A242" s="178">
        <f>B242+4</f>
        <v>264</v>
      </c>
      <c r="B242" s="178">
        <f t="shared" si="253"/>
        <v>260</v>
      </c>
      <c r="C242" s="76"/>
      <c r="D242" s="185" t="str">
        <f>if(isblank(I242),"",vlookup(I242,Pacing!$A$1:$H$213,4))</f>
        <v>Demo</v>
      </c>
      <c r="E242" s="185" t="str">
        <f>if(isblank(J242),"",vlookup(J242,Pacing!$A$1:$H$213,4))</f>
        <v>Demo</v>
      </c>
      <c r="F242" s="185" t="str">
        <f>if(isblank(K242),"",vlookup(K242,Pacing!$A$1:$H$213,4))</f>
        <v>Demo</v>
      </c>
      <c r="G242" s="185" t="str">
        <f>if(isblank(L242),"",vlookup(L242,Pacing!$A$1:$H$213,4))</f>
        <v>Demo</v>
      </c>
      <c r="H242" s="185" t="str">
        <f>if(isblank(M242),"",vlookup(M242,Pacing!$A$1:$H$213,4))</f>
        <v>Demo</v>
      </c>
      <c r="I242" s="191">
        <f t="shared" ref="I242:M242" si="255">I241</f>
        <v>102</v>
      </c>
      <c r="J242" s="191">
        <f t="shared" si="255"/>
        <v>103</v>
      </c>
      <c r="K242" s="191">
        <f t="shared" si="255"/>
        <v>104</v>
      </c>
      <c r="L242" s="191">
        <f t="shared" si="255"/>
        <v>105</v>
      </c>
      <c r="M242" s="191">
        <f t="shared" si="255"/>
        <v>106</v>
      </c>
    </row>
    <row r="243" ht="15.75" customHeight="1">
      <c r="A243" s="178">
        <f>B243+5</f>
        <v>265</v>
      </c>
      <c r="B243" s="178">
        <f t="shared" si="253"/>
        <v>260</v>
      </c>
      <c r="C243" s="76"/>
      <c r="D243" s="185" t="str">
        <f>if(isblank(I243),"",vlookup(I243,Pacing!$A$1:$H$213,5))</f>
        <v>Notes</v>
      </c>
      <c r="E243" s="185" t="str">
        <f>if(isblank(J243),"",vlookup(J243,Pacing!$A$1:$H$213,5))</f>
        <v>Notes</v>
      </c>
      <c r="F243" s="185" t="str">
        <f>if(isblank(K243),"",vlookup(K243,Pacing!$A$1:$H$213,5))</f>
        <v>Notes</v>
      </c>
      <c r="G243" s="185" t="str">
        <f>if(isblank(L243),"",vlookup(L243,Pacing!$A$1:$H$213,5))</f>
        <v>Notes</v>
      </c>
      <c r="H243" s="185" t="str">
        <f>if(isblank(M243),"",vlookup(M243,Pacing!$A$1:$H$213,5))</f>
        <v>Notes</v>
      </c>
      <c r="I243" s="191">
        <f t="shared" ref="I243:M243" si="256">I242</f>
        <v>102</v>
      </c>
      <c r="J243" s="191">
        <f t="shared" si="256"/>
        <v>103</v>
      </c>
      <c r="K243" s="191">
        <f t="shared" si="256"/>
        <v>104</v>
      </c>
      <c r="L243" s="191">
        <f t="shared" si="256"/>
        <v>105</v>
      </c>
      <c r="M243" s="191">
        <f t="shared" si="256"/>
        <v>106</v>
      </c>
    </row>
    <row r="244" ht="15.75" customHeight="1">
      <c r="A244" s="178">
        <f>B244+6</f>
        <v>266</v>
      </c>
      <c r="B244" s="178">
        <f t="shared" si="253"/>
        <v>260</v>
      </c>
      <c r="C244" s="76"/>
      <c r="D244" s="185" t="str">
        <f>if(isblank(I244),"",vlookup(I244,Pacing!$A$1:$H$213,6))</f>
        <v>Investigation</v>
      </c>
      <c r="E244" s="185" t="str">
        <f>if(isblank(J244),"",vlookup(J244,Pacing!$A$1:$H$213,6))</f>
        <v>Investigation</v>
      </c>
      <c r="F244" s="185" t="str">
        <f>if(isblank(K244),"",vlookup(K244,Pacing!$A$1:$H$213,6))</f>
        <v>Investigation</v>
      </c>
      <c r="G244" s="185" t="str">
        <f>if(isblank(L244),"",vlookup(L244,Pacing!$A$1:$H$213,6))</f>
        <v>Investigation</v>
      </c>
      <c r="H244" s="185" t="str">
        <f>if(isblank(M244),"",vlookup(M244,Pacing!$A$1:$H$213,6))</f>
        <v>Investigation</v>
      </c>
      <c r="I244" s="191">
        <f t="shared" ref="I244:M244" si="257">I243</f>
        <v>102</v>
      </c>
      <c r="J244" s="191">
        <f t="shared" si="257"/>
        <v>103</v>
      </c>
      <c r="K244" s="191">
        <f t="shared" si="257"/>
        <v>104</v>
      </c>
      <c r="L244" s="191">
        <f t="shared" si="257"/>
        <v>105</v>
      </c>
      <c r="M244" s="191">
        <f t="shared" si="257"/>
        <v>106</v>
      </c>
    </row>
    <row r="245" ht="15.75" hidden="1" customHeight="1">
      <c r="A245" s="178">
        <f>B245+7</f>
        <v>267</v>
      </c>
      <c r="B245" s="178">
        <f t="shared" si="253"/>
        <v>260</v>
      </c>
      <c r="C245" s="76"/>
      <c r="D245" s="185" t="str">
        <f>if(isblank(I245),"",vlookup(I245,Pacing!$A$1:$H$213,7))</f>
        <v>Activity</v>
      </c>
      <c r="E245" s="185" t="str">
        <f>if(isblank(J245),"",vlookup(J245,Pacing!$A$1:$H$213,7))</f>
        <v>Activity</v>
      </c>
      <c r="F245" s="185" t="str">
        <f>if(isblank(K245),"",vlookup(K245,Pacing!$A$1:$H$213,7))</f>
        <v>Activity</v>
      </c>
      <c r="G245" s="185" t="str">
        <f>if(isblank(L245),"",vlookup(L245,Pacing!$A$1:$H$213,7))</f>
        <v>Activity</v>
      </c>
      <c r="H245" s="185" t="str">
        <f>if(isblank(M245),"",vlookup(M245,Pacing!$A$1:$H$213,7))</f>
        <v>Activity</v>
      </c>
      <c r="I245" s="191">
        <f t="shared" ref="I245:M245" si="258">I244</f>
        <v>102</v>
      </c>
      <c r="J245" s="191">
        <f t="shared" si="258"/>
        <v>103</v>
      </c>
      <c r="K245" s="191">
        <f t="shared" si="258"/>
        <v>104</v>
      </c>
      <c r="L245" s="191">
        <f t="shared" si="258"/>
        <v>105</v>
      </c>
      <c r="M245" s="191">
        <f t="shared" si="258"/>
        <v>106</v>
      </c>
    </row>
    <row r="246" ht="15.75" hidden="1" customHeight="1">
      <c r="A246" s="178">
        <f>B246+8</f>
        <v>268</v>
      </c>
      <c r="B246" s="178">
        <f t="shared" si="253"/>
        <v>260</v>
      </c>
      <c r="C246" s="95"/>
      <c r="D246" s="185" t="str">
        <f>if(isblank(I246),"",vlookup(I246,Pacing!$A$1:$H$213,8))</f>
        <v>Practice Set</v>
      </c>
      <c r="E246" s="185" t="str">
        <f>if(isblank(J246),"",vlookup(J246,Pacing!$A$1:$H$213,8))</f>
        <v>Practice Set</v>
      </c>
      <c r="F246" s="185" t="str">
        <f>if(isblank(K246),"",vlookup(K246,Pacing!$A$1:$H$213,8))</f>
        <v>Practice Set</v>
      </c>
      <c r="G246" s="185" t="str">
        <f>if(isblank(L246),"",vlookup(L246,Pacing!$A$1:$H$213,8))</f>
        <v>Practice Set</v>
      </c>
      <c r="H246" s="185" t="str">
        <f>if(isblank(M246),"",vlookup(M246,Pacing!$A$1:$H$213,8))</f>
        <v>Practice Set</v>
      </c>
      <c r="I246" s="191">
        <f t="shared" ref="I246:M246" si="259">I245</f>
        <v>102</v>
      </c>
      <c r="J246" s="191">
        <f t="shared" si="259"/>
        <v>103</v>
      </c>
      <c r="K246" s="191">
        <f t="shared" si="259"/>
        <v>104</v>
      </c>
      <c r="L246" s="191">
        <f t="shared" si="259"/>
        <v>105</v>
      </c>
      <c r="M246" s="191">
        <f t="shared" si="259"/>
        <v>106</v>
      </c>
    </row>
    <row r="247" ht="15.75" customHeight="1">
      <c r="A247" s="194"/>
      <c r="B247" s="194"/>
      <c r="C247" s="195"/>
      <c r="D247" s="196" t="s">
        <v>148</v>
      </c>
      <c r="E247" s="196" t="s">
        <v>149</v>
      </c>
      <c r="F247" s="196" t="s">
        <v>150</v>
      </c>
      <c r="G247" s="196" t="s">
        <v>152</v>
      </c>
      <c r="H247" s="196" t="s">
        <v>153</v>
      </c>
      <c r="I247" s="197">
        <f>M238+1</f>
        <v>107</v>
      </c>
      <c r="J247" s="169">
        <f t="shared" ref="J247:M247" si="260">I247+1</f>
        <v>108</v>
      </c>
      <c r="K247" s="169">
        <f t="shared" si="260"/>
        <v>109</v>
      </c>
      <c r="L247" s="169">
        <f t="shared" si="260"/>
        <v>110</v>
      </c>
      <c r="M247" s="169">
        <f t="shared" si="260"/>
        <v>111</v>
      </c>
    </row>
    <row r="248" ht="15.75" hidden="1" customHeight="1">
      <c r="A248" s="178">
        <f>B248+1</f>
        <v>271</v>
      </c>
      <c r="B248" s="178">
        <f>C248*10</f>
        <v>270</v>
      </c>
      <c r="C248" s="198">
        <f>C239+1</f>
        <v>27</v>
      </c>
      <c r="D248" s="182">
        <f>D239+7</f>
        <v>46083</v>
      </c>
      <c r="E248" s="182">
        <f t="shared" ref="E248:H248" si="261">D248+1</f>
        <v>46084</v>
      </c>
      <c r="F248" s="182">
        <f t="shared" si="261"/>
        <v>46085</v>
      </c>
      <c r="G248" s="182">
        <f t="shared" si="261"/>
        <v>46086</v>
      </c>
      <c r="H248" s="182">
        <f t="shared" si="261"/>
        <v>46087</v>
      </c>
      <c r="I248" s="174" t="s">
        <v>42</v>
      </c>
    </row>
    <row r="249" ht="15.75" customHeight="1">
      <c r="A249" s="199">
        <f>B249+2</f>
        <v>272</v>
      </c>
      <c r="B249" s="199">
        <f t="shared" ref="B249:B255" si="263">B248</f>
        <v>270</v>
      </c>
      <c r="C249" s="76"/>
      <c r="D249" s="201" t="str">
        <f>if(isblank(I249),"",vlookup(I249,Pacing!$A$1:$H$213,2))</f>
        <v>7.3: R &amp; Ohm's Law</v>
      </c>
      <c r="E249" s="201" t="str">
        <f>if(isblank(J249),"",vlookup(J249,Pacing!$A$1:$H$213,2))</f>
        <v>7.3: R &amp; Ohm's Law</v>
      </c>
      <c r="F249" s="201" t="str">
        <f>if(isblank(K249),"",vlookup(K249,Pacing!$A$1:$H$213,2))</f>
        <v>7.3: R &amp; Ohm's Law</v>
      </c>
      <c r="G249" s="201" t="str">
        <f>if(isblank(L249),"",vlookup(L249,Pacing!$A$1:$H$213,2))</f>
        <v>7.4: Power &amp; Energy</v>
      </c>
      <c r="H249" s="201" t="str">
        <f>if(isblank(M249),"",vlookup(M249,Pacing!$A$1:$H$213,2))</f>
        <v>7.4: Power &amp; Energy</v>
      </c>
      <c r="I249" s="202">
        <f t="shared" ref="I249:M249" si="262">I247</f>
        <v>107</v>
      </c>
      <c r="J249" s="202">
        <f t="shared" si="262"/>
        <v>108</v>
      </c>
      <c r="K249" s="202">
        <f t="shared" si="262"/>
        <v>109</v>
      </c>
      <c r="L249" s="202">
        <f t="shared" si="262"/>
        <v>110</v>
      </c>
      <c r="M249" s="202">
        <f t="shared" si="262"/>
        <v>111</v>
      </c>
    </row>
    <row r="250" ht="15.75" customHeight="1">
      <c r="A250" s="178">
        <f>B250+3</f>
        <v>273</v>
      </c>
      <c r="B250" s="178">
        <f t="shared" si="263"/>
        <v>270</v>
      </c>
      <c r="C250" s="76"/>
      <c r="D250" s="185" t="str">
        <f>if(isblank(I250),"",vlookup(I250,Pacing!$A$1:$H$213,3))</f>
        <v>Warm Up</v>
      </c>
      <c r="E250" s="185" t="str">
        <f>if(isblank(J250),"",vlookup(J250,Pacing!$A$1:$H$213,3))</f>
        <v>Warm Up</v>
      </c>
      <c r="F250" s="185" t="str">
        <f>if(isblank(K250),"",vlookup(K250,Pacing!$A$1:$H$213,3))</f>
        <v>Warm Up</v>
      </c>
      <c r="G250" s="185" t="str">
        <f>if(isblank(L250),"",vlookup(L250,Pacing!$A$1:$H$213,3))</f>
        <v>Warm Up</v>
      </c>
      <c r="H250" s="185" t="str">
        <f>if(isblank(M250),"",vlookup(M250,Pacing!$A$1:$H$213,3))</f>
        <v>Warm Up</v>
      </c>
      <c r="I250" s="191">
        <f t="shared" ref="I250:M250" si="264">I249</f>
        <v>107</v>
      </c>
      <c r="J250" s="191">
        <f t="shared" si="264"/>
        <v>108</v>
      </c>
      <c r="K250" s="191">
        <f t="shared" si="264"/>
        <v>109</v>
      </c>
      <c r="L250" s="191">
        <f t="shared" si="264"/>
        <v>110</v>
      </c>
      <c r="M250" s="191">
        <f t="shared" si="264"/>
        <v>111</v>
      </c>
    </row>
    <row r="251" ht="15.75" customHeight="1">
      <c r="A251" s="178">
        <f>B251+4</f>
        <v>274</v>
      </c>
      <c r="B251" s="178">
        <f t="shared" si="263"/>
        <v>270</v>
      </c>
      <c r="C251" s="76"/>
      <c r="D251" s="185" t="str">
        <f>if(isblank(I251),"",vlookup(I251,Pacing!$A$1:$H$213,4))</f>
        <v>Demo</v>
      </c>
      <c r="E251" s="185" t="str">
        <f>if(isblank(J251),"",vlookup(J251,Pacing!$A$1:$H$213,4))</f>
        <v>Demo</v>
      </c>
      <c r="F251" s="185" t="str">
        <f>if(isblank(K251),"",vlookup(K251,Pacing!$A$1:$H$213,4))</f>
        <v>Demo</v>
      </c>
      <c r="G251" s="185" t="str">
        <f>if(isblank(L251),"",vlookup(L251,Pacing!$A$1:$H$213,4))</f>
        <v>Demo</v>
      </c>
      <c r="H251" s="185" t="str">
        <f>if(isblank(M251),"",vlookup(M251,Pacing!$A$1:$H$213,4))</f>
        <v>Demo</v>
      </c>
      <c r="I251" s="191">
        <f t="shared" ref="I251:M251" si="265">I250</f>
        <v>107</v>
      </c>
      <c r="J251" s="191">
        <f t="shared" si="265"/>
        <v>108</v>
      </c>
      <c r="K251" s="191">
        <f t="shared" si="265"/>
        <v>109</v>
      </c>
      <c r="L251" s="191">
        <f t="shared" si="265"/>
        <v>110</v>
      </c>
      <c r="M251" s="191">
        <f t="shared" si="265"/>
        <v>111</v>
      </c>
    </row>
    <row r="252" ht="15.75" customHeight="1">
      <c r="A252" s="178">
        <f>B252+5</f>
        <v>275</v>
      </c>
      <c r="B252" s="178">
        <f t="shared" si="263"/>
        <v>270</v>
      </c>
      <c r="C252" s="76"/>
      <c r="D252" s="185" t="str">
        <f>if(isblank(I252),"",vlookup(I252,Pacing!$A$1:$H$213,5))</f>
        <v>Notes</v>
      </c>
      <c r="E252" s="185" t="str">
        <f>if(isblank(J252),"",vlookup(J252,Pacing!$A$1:$H$213,5))</f>
        <v>Notes</v>
      </c>
      <c r="F252" s="185" t="str">
        <f>if(isblank(K252),"",vlookup(K252,Pacing!$A$1:$H$213,5))</f>
        <v>Notes</v>
      </c>
      <c r="G252" s="185" t="str">
        <f>if(isblank(L252),"",vlookup(L252,Pacing!$A$1:$H$213,5))</f>
        <v>Notes</v>
      </c>
      <c r="H252" s="185" t="str">
        <f>if(isblank(M252),"",vlookup(M252,Pacing!$A$1:$H$213,5))</f>
        <v>Notes</v>
      </c>
      <c r="I252" s="191">
        <f t="shared" ref="I252:M252" si="266">I251</f>
        <v>107</v>
      </c>
      <c r="J252" s="191">
        <f t="shared" si="266"/>
        <v>108</v>
      </c>
      <c r="K252" s="191">
        <f t="shared" si="266"/>
        <v>109</v>
      </c>
      <c r="L252" s="191">
        <f t="shared" si="266"/>
        <v>110</v>
      </c>
      <c r="M252" s="191">
        <f t="shared" si="266"/>
        <v>111</v>
      </c>
    </row>
    <row r="253" ht="15.75" customHeight="1">
      <c r="A253" s="178">
        <f>B253+6</f>
        <v>276</v>
      </c>
      <c r="B253" s="178">
        <f t="shared" si="263"/>
        <v>270</v>
      </c>
      <c r="C253" s="76"/>
      <c r="D253" s="185" t="str">
        <f>if(isblank(I253),"",vlookup(I253,Pacing!$A$1:$H$213,6))</f>
        <v>Investigation</v>
      </c>
      <c r="E253" s="185" t="str">
        <f>if(isblank(J253),"",vlookup(J253,Pacing!$A$1:$H$213,6))</f>
        <v>Investigation</v>
      </c>
      <c r="F253" s="185" t="str">
        <f>if(isblank(K253),"",vlookup(K253,Pacing!$A$1:$H$213,6))</f>
        <v>Investigation</v>
      </c>
      <c r="G253" s="185" t="str">
        <f>if(isblank(L253),"",vlookup(L253,Pacing!$A$1:$H$213,6))</f>
        <v>Investigation</v>
      </c>
      <c r="H253" s="185" t="str">
        <f>if(isblank(M253),"",vlookup(M253,Pacing!$A$1:$H$213,6))</f>
        <v>Investigation</v>
      </c>
      <c r="I253" s="191">
        <f t="shared" ref="I253:M253" si="267">I252</f>
        <v>107</v>
      </c>
      <c r="J253" s="191">
        <f t="shared" si="267"/>
        <v>108</v>
      </c>
      <c r="K253" s="191">
        <f t="shared" si="267"/>
        <v>109</v>
      </c>
      <c r="L253" s="191">
        <f t="shared" si="267"/>
        <v>110</v>
      </c>
      <c r="M253" s="191">
        <f t="shared" si="267"/>
        <v>111</v>
      </c>
    </row>
    <row r="254" ht="15.75" hidden="1" customHeight="1">
      <c r="A254" s="178">
        <f>B254+7</f>
        <v>277</v>
      </c>
      <c r="B254" s="178">
        <f t="shared" si="263"/>
        <v>270</v>
      </c>
      <c r="C254" s="76"/>
      <c r="D254" s="185" t="str">
        <f>if(isblank(I254),"",vlookup(I254,Pacing!$A$1:$H$213,7))</f>
        <v>Activity</v>
      </c>
      <c r="E254" s="185" t="str">
        <f>if(isblank(J254),"",vlookup(J254,Pacing!$A$1:$H$213,7))</f>
        <v>Activity</v>
      </c>
      <c r="F254" s="185" t="str">
        <f>if(isblank(K254),"",vlookup(K254,Pacing!$A$1:$H$213,7))</f>
        <v>Activity</v>
      </c>
      <c r="G254" s="185" t="str">
        <f>if(isblank(L254),"",vlookup(L254,Pacing!$A$1:$H$213,7))</f>
        <v>Activity</v>
      </c>
      <c r="H254" s="185" t="str">
        <f>if(isblank(M254),"",vlookup(M254,Pacing!$A$1:$H$213,7))</f>
        <v>Activity</v>
      </c>
      <c r="I254" s="191">
        <f t="shared" ref="I254:M254" si="268">I253</f>
        <v>107</v>
      </c>
      <c r="J254" s="191">
        <f t="shared" si="268"/>
        <v>108</v>
      </c>
      <c r="K254" s="191">
        <f t="shared" si="268"/>
        <v>109</v>
      </c>
      <c r="L254" s="191">
        <f t="shared" si="268"/>
        <v>110</v>
      </c>
      <c r="M254" s="191">
        <f t="shared" si="268"/>
        <v>111</v>
      </c>
    </row>
    <row r="255" ht="15.75" hidden="1" customHeight="1">
      <c r="A255" s="178">
        <f>B255+8</f>
        <v>278</v>
      </c>
      <c r="B255" s="178">
        <f t="shared" si="263"/>
        <v>270</v>
      </c>
      <c r="C255" s="95"/>
      <c r="D255" s="185" t="str">
        <f>if(isblank(I255),"",vlookup(I255,Pacing!$A$1:$H$213,8))</f>
        <v>Practice Set</v>
      </c>
      <c r="E255" s="185" t="str">
        <f>if(isblank(J255),"",vlookup(J255,Pacing!$A$1:$H$213,8))</f>
        <v>Practice Set</v>
      </c>
      <c r="F255" s="185" t="str">
        <f>if(isblank(K255),"",vlookup(K255,Pacing!$A$1:$H$213,8))</f>
        <v>Practice Set</v>
      </c>
      <c r="G255" s="185" t="str">
        <f>if(isblank(L255),"",vlookup(L255,Pacing!$A$1:$H$213,8))</f>
        <v>Practice Set</v>
      </c>
      <c r="H255" s="185" t="str">
        <f>if(isblank(M255),"",vlookup(M255,Pacing!$A$1:$H$213,8))</f>
        <v>Practice Set</v>
      </c>
      <c r="I255" s="191">
        <f t="shared" ref="I255:M255" si="269">I254</f>
        <v>107</v>
      </c>
      <c r="J255" s="191">
        <f t="shared" si="269"/>
        <v>108</v>
      </c>
      <c r="K255" s="191">
        <f t="shared" si="269"/>
        <v>109</v>
      </c>
      <c r="L255" s="191">
        <f t="shared" si="269"/>
        <v>110</v>
      </c>
      <c r="M255" s="191">
        <f t="shared" si="269"/>
        <v>111</v>
      </c>
    </row>
    <row r="256" ht="15.75" customHeight="1">
      <c r="A256" s="194"/>
      <c r="B256" s="194"/>
      <c r="C256" s="195"/>
      <c r="D256" s="196" t="s">
        <v>156</v>
      </c>
      <c r="E256" s="196" t="s">
        <v>157</v>
      </c>
      <c r="F256" s="196" t="s">
        <v>158</v>
      </c>
      <c r="G256" s="196" t="s">
        <v>159</v>
      </c>
      <c r="H256" s="196" t="s">
        <v>160</v>
      </c>
      <c r="I256" s="197">
        <f>M247+1</f>
        <v>112</v>
      </c>
      <c r="J256" s="169">
        <f t="shared" ref="J256:M256" si="270">I256+1</f>
        <v>113</v>
      </c>
      <c r="K256" s="169">
        <f t="shared" si="270"/>
        <v>114</v>
      </c>
      <c r="L256" s="169">
        <f t="shared" si="270"/>
        <v>115</v>
      </c>
      <c r="M256" s="169">
        <f t="shared" si="270"/>
        <v>116</v>
      </c>
    </row>
    <row r="257" ht="15.75" hidden="1" customHeight="1">
      <c r="A257" s="178">
        <f>B257+1</f>
        <v>281</v>
      </c>
      <c r="B257" s="178">
        <f>C257*10</f>
        <v>280</v>
      </c>
      <c r="C257" s="198">
        <f>C248+1</f>
        <v>28</v>
      </c>
      <c r="D257" s="182">
        <f>D248+7</f>
        <v>46090</v>
      </c>
      <c r="E257" s="182">
        <f t="shared" ref="E257:H257" si="271">D257+1</f>
        <v>46091</v>
      </c>
      <c r="F257" s="182">
        <f t="shared" si="271"/>
        <v>46092</v>
      </c>
      <c r="G257" s="182">
        <f t="shared" si="271"/>
        <v>46093</v>
      </c>
      <c r="H257" s="182">
        <f t="shared" si="271"/>
        <v>46094</v>
      </c>
      <c r="I257" s="174" t="s">
        <v>42</v>
      </c>
    </row>
    <row r="258" ht="15.75" customHeight="1">
      <c r="A258" s="199">
        <f>B258+2</f>
        <v>282</v>
      </c>
      <c r="B258" s="199">
        <f t="shared" ref="B258:B264" si="273">B257</f>
        <v>280</v>
      </c>
      <c r="C258" s="76"/>
      <c r="D258" s="201" t="str">
        <f>if(isblank(I258),"",vlookup(I258,Pacing!$A$1:$H$213,2))</f>
        <v>7.4: Power &amp; Energy</v>
      </c>
      <c r="E258" s="201" t="str">
        <f>if(isblank(J258),"",vlookup(J258,Pacing!$A$1:$H$213,2))</f>
        <v>7.5: Complex Circuits</v>
      </c>
      <c r="F258" s="201" t="str">
        <f>if(isblank(K258),"",vlookup(K258,Pacing!$A$1:$H$213,2))</f>
        <v>7.5: Complex Circuits</v>
      </c>
      <c r="G258" s="201" t="str">
        <f>if(isblank(L258),"",vlookup(L258,Pacing!$A$1:$H$213,2))</f>
        <v>7.5: Complex Circuits</v>
      </c>
      <c r="H258" s="201" t="str">
        <f>if(isblank(M258),"",vlookup(M258,Pacing!$A$1:$H$213,2))</f>
        <v>Unit 7 Sum Assess</v>
      </c>
      <c r="I258" s="202">
        <f t="shared" ref="I258:M258" si="272">I256</f>
        <v>112</v>
      </c>
      <c r="J258" s="202">
        <f t="shared" si="272"/>
        <v>113</v>
      </c>
      <c r="K258" s="202">
        <f t="shared" si="272"/>
        <v>114</v>
      </c>
      <c r="L258" s="202">
        <f t="shared" si="272"/>
        <v>115</v>
      </c>
      <c r="M258" s="202">
        <f t="shared" si="272"/>
        <v>116</v>
      </c>
    </row>
    <row r="259" ht="15.75" customHeight="1">
      <c r="A259" s="178">
        <f>B259+3</f>
        <v>283</v>
      </c>
      <c r="B259" s="178">
        <f t="shared" si="273"/>
        <v>280</v>
      </c>
      <c r="C259" s="76"/>
      <c r="D259" s="185" t="str">
        <f>if(isblank(I259),"",vlookup(I259,Pacing!$A$1:$H$213,3))</f>
        <v>Warm Up</v>
      </c>
      <c r="E259" s="185" t="str">
        <f>if(isblank(J259),"",vlookup(J259,Pacing!$A$1:$H$213,3))</f>
        <v>Warm Up</v>
      </c>
      <c r="F259" s="185" t="str">
        <f>if(isblank(K259),"",vlookup(K259,Pacing!$A$1:$H$213,3))</f>
        <v>Warm Up</v>
      </c>
      <c r="G259" s="185" t="str">
        <f>if(isblank(L259),"",vlookup(L259,Pacing!$A$1:$H$213,3))</f>
        <v>Warm Up</v>
      </c>
      <c r="H259" s="193" t="str">
        <f>if(isblank(M259),"",vlookup(M259,Pacing!$A$1:$H$213,3))</f>
        <v/>
      </c>
      <c r="I259" s="191">
        <f t="shared" ref="I259:M259" si="274">I258</f>
        <v>112</v>
      </c>
      <c r="J259" s="191">
        <f t="shared" si="274"/>
        <v>113</v>
      </c>
      <c r="K259" s="191">
        <f t="shared" si="274"/>
        <v>114</v>
      </c>
      <c r="L259" s="191">
        <f t="shared" si="274"/>
        <v>115</v>
      </c>
      <c r="M259" s="191">
        <f t="shared" si="274"/>
        <v>116</v>
      </c>
    </row>
    <row r="260" ht="15.75" customHeight="1">
      <c r="A260" s="178">
        <f>B260+4</f>
        <v>284</v>
      </c>
      <c r="B260" s="178">
        <f t="shared" si="273"/>
        <v>280</v>
      </c>
      <c r="C260" s="76"/>
      <c r="D260" s="185" t="str">
        <f>if(isblank(I260),"",vlookup(I260,Pacing!$A$1:$H$213,4))</f>
        <v>Demo</v>
      </c>
      <c r="E260" s="185" t="str">
        <f>if(isblank(J260),"",vlookup(J260,Pacing!$A$1:$H$213,4))</f>
        <v>Demo</v>
      </c>
      <c r="F260" s="185" t="str">
        <f>if(isblank(K260),"",vlookup(K260,Pacing!$A$1:$H$213,4))</f>
        <v>Demo</v>
      </c>
      <c r="G260" s="185" t="str">
        <f>if(isblank(L260),"",vlookup(L260,Pacing!$A$1:$H$213,4))</f>
        <v>Demo</v>
      </c>
      <c r="H260" s="193" t="str">
        <f>if(isblank(M260),"",vlookup(M260,Pacing!$A$1:$H$213,4))</f>
        <v/>
      </c>
      <c r="I260" s="191">
        <f t="shared" ref="I260:M260" si="275">I259</f>
        <v>112</v>
      </c>
      <c r="J260" s="191">
        <f t="shared" si="275"/>
        <v>113</v>
      </c>
      <c r="K260" s="191">
        <f t="shared" si="275"/>
        <v>114</v>
      </c>
      <c r="L260" s="191">
        <f t="shared" si="275"/>
        <v>115</v>
      </c>
      <c r="M260" s="191">
        <f t="shared" si="275"/>
        <v>116</v>
      </c>
    </row>
    <row r="261" ht="15.75" customHeight="1">
      <c r="A261" s="178">
        <f>B261+5</f>
        <v>285</v>
      </c>
      <c r="B261" s="178">
        <f t="shared" si="273"/>
        <v>280</v>
      </c>
      <c r="C261" s="76"/>
      <c r="D261" s="185" t="str">
        <f>if(isblank(I261),"",vlookup(I261,Pacing!$A$1:$H$213,5))</f>
        <v>Notes</v>
      </c>
      <c r="E261" s="185" t="str">
        <f>if(isblank(J261),"",vlookup(J261,Pacing!$A$1:$H$213,5))</f>
        <v>Notes</v>
      </c>
      <c r="F261" s="185" t="str">
        <f>if(isblank(K261),"",vlookup(K261,Pacing!$A$1:$H$213,5))</f>
        <v>Notes</v>
      </c>
      <c r="G261" s="185" t="str">
        <f>if(isblank(L261),"",vlookup(L261,Pacing!$A$1:$H$213,5))</f>
        <v>Notes</v>
      </c>
      <c r="H261" s="193" t="str">
        <f>if(isblank(M261),"",vlookup(M261,Pacing!$A$1:$H$213,5))</f>
        <v/>
      </c>
      <c r="I261" s="191">
        <f t="shared" ref="I261:M261" si="276">I260</f>
        <v>112</v>
      </c>
      <c r="J261" s="191">
        <f t="shared" si="276"/>
        <v>113</v>
      </c>
      <c r="K261" s="191">
        <f t="shared" si="276"/>
        <v>114</v>
      </c>
      <c r="L261" s="191">
        <f t="shared" si="276"/>
        <v>115</v>
      </c>
      <c r="M261" s="191">
        <f t="shared" si="276"/>
        <v>116</v>
      </c>
    </row>
    <row r="262" ht="15.75" customHeight="1">
      <c r="A262" s="178">
        <f>B262+6</f>
        <v>286</v>
      </c>
      <c r="B262" s="178">
        <f t="shared" si="273"/>
        <v>280</v>
      </c>
      <c r="C262" s="76"/>
      <c r="D262" s="185" t="str">
        <f>if(isblank(I262),"",vlookup(I262,Pacing!$A$1:$H$213,6))</f>
        <v>Investigation</v>
      </c>
      <c r="E262" s="185" t="str">
        <f>if(isblank(J262),"",vlookup(J262,Pacing!$A$1:$H$213,6))</f>
        <v>Investigation</v>
      </c>
      <c r="F262" s="185" t="str">
        <f>if(isblank(K262),"",vlookup(K262,Pacing!$A$1:$H$213,6))</f>
        <v>Investigation</v>
      </c>
      <c r="G262" s="185" t="str">
        <f>if(isblank(L262),"",vlookup(L262,Pacing!$A$1:$H$213,6))</f>
        <v>Investigation</v>
      </c>
      <c r="H262" s="193" t="str">
        <f>if(isblank(M262),"",vlookup(M262,Pacing!$A$1:$H$213,6))</f>
        <v/>
      </c>
      <c r="I262" s="191">
        <f t="shared" ref="I262:M262" si="277">I261</f>
        <v>112</v>
      </c>
      <c r="J262" s="191">
        <f t="shared" si="277"/>
        <v>113</v>
      </c>
      <c r="K262" s="191">
        <f t="shared" si="277"/>
        <v>114</v>
      </c>
      <c r="L262" s="191">
        <f t="shared" si="277"/>
        <v>115</v>
      </c>
      <c r="M262" s="191">
        <f t="shared" si="277"/>
        <v>116</v>
      </c>
    </row>
    <row r="263" ht="15.75" hidden="1" customHeight="1">
      <c r="A263" s="178">
        <f>B263+7</f>
        <v>287</v>
      </c>
      <c r="B263" s="178">
        <f t="shared" si="273"/>
        <v>280</v>
      </c>
      <c r="C263" s="76"/>
      <c r="D263" s="185" t="str">
        <f>if(isblank(I263),"",vlookup(I263,Pacing!$A$1:$H$213,7))</f>
        <v>Activity</v>
      </c>
      <c r="E263" s="185" t="str">
        <f>if(isblank(J263),"",vlookup(J263,Pacing!$A$1:$H$213,7))</f>
        <v>Activity</v>
      </c>
      <c r="F263" s="185" t="str">
        <f>if(isblank(K263),"",vlookup(K263,Pacing!$A$1:$H$213,7))</f>
        <v>Activity</v>
      </c>
      <c r="G263" s="185" t="str">
        <f>if(isblank(L263),"",vlookup(L263,Pacing!$A$1:$H$213,7))</f>
        <v>Activity</v>
      </c>
      <c r="H263" s="193" t="str">
        <f>if(isblank(M263),"",vlookup(M263,Pacing!$A$1:$H$213,7))</f>
        <v/>
      </c>
      <c r="I263" s="191">
        <f t="shared" ref="I263:M263" si="278">I262</f>
        <v>112</v>
      </c>
      <c r="J263" s="191">
        <f t="shared" si="278"/>
        <v>113</v>
      </c>
      <c r="K263" s="191">
        <f t="shared" si="278"/>
        <v>114</v>
      </c>
      <c r="L263" s="191">
        <f t="shared" si="278"/>
        <v>115</v>
      </c>
      <c r="M263" s="191">
        <f t="shared" si="278"/>
        <v>116</v>
      </c>
    </row>
    <row r="264" ht="15.75" hidden="1" customHeight="1">
      <c r="A264" s="178">
        <f>B264+8</f>
        <v>288</v>
      </c>
      <c r="B264" s="178">
        <f t="shared" si="273"/>
        <v>280</v>
      </c>
      <c r="C264" s="95"/>
      <c r="D264" s="185" t="str">
        <f>if(isblank(I264),"",vlookup(I264,Pacing!$A$1:$H$213,8))</f>
        <v>Practice Set</v>
      </c>
      <c r="E264" s="185" t="str">
        <f>if(isblank(J264),"",vlookup(J264,Pacing!$A$1:$H$213,8))</f>
        <v>Practice Set</v>
      </c>
      <c r="F264" s="185" t="str">
        <f>if(isblank(K264),"",vlookup(K264,Pacing!$A$1:$H$213,8))</f>
        <v>Practice Set</v>
      </c>
      <c r="G264" s="185" t="str">
        <f>if(isblank(L264),"",vlookup(L264,Pacing!$A$1:$H$213,8))</f>
        <v>Practice Set</v>
      </c>
      <c r="H264" s="193" t="str">
        <f>if(isblank(M264),"",vlookup(M264,Pacing!$A$1:$H$213,8))</f>
        <v/>
      </c>
      <c r="I264" s="191">
        <f t="shared" ref="I264:M264" si="279">I263</f>
        <v>112</v>
      </c>
      <c r="J264" s="191">
        <f t="shared" si="279"/>
        <v>113</v>
      </c>
      <c r="K264" s="191">
        <f t="shared" si="279"/>
        <v>114</v>
      </c>
      <c r="L264" s="191">
        <f t="shared" si="279"/>
        <v>115</v>
      </c>
      <c r="M264" s="191">
        <f t="shared" si="279"/>
        <v>116</v>
      </c>
    </row>
    <row r="265" ht="15.75" customHeight="1">
      <c r="A265" s="194"/>
      <c r="B265" s="194"/>
      <c r="C265" s="194"/>
      <c r="D265" s="196" t="s">
        <v>164</v>
      </c>
      <c r="E265" s="196" t="s">
        <v>165</v>
      </c>
      <c r="F265" s="196" t="s">
        <v>166</v>
      </c>
      <c r="G265" s="196" t="s">
        <v>167</v>
      </c>
      <c r="H265" s="196" t="s">
        <v>168</v>
      </c>
      <c r="I265" s="197">
        <f>M256+1</f>
        <v>117</v>
      </c>
      <c r="J265" s="169"/>
      <c r="K265" s="169"/>
      <c r="L265" s="169"/>
      <c r="M265" s="169"/>
    </row>
    <row r="266" ht="15.75" hidden="1" customHeight="1">
      <c r="A266" s="178">
        <f>B266+1</f>
        <v>291</v>
      </c>
      <c r="B266" s="178">
        <f>C266*10</f>
        <v>290</v>
      </c>
      <c r="C266" s="198">
        <f>C257+1</f>
        <v>29</v>
      </c>
      <c r="D266" s="182">
        <f>D257+7</f>
        <v>46097</v>
      </c>
      <c r="E266" s="182">
        <f t="shared" ref="E266:H266" si="280">D266+1</f>
        <v>46098</v>
      </c>
      <c r="F266" s="182">
        <f t="shared" si="280"/>
        <v>46099</v>
      </c>
      <c r="G266" s="182">
        <f t="shared" si="280"/>
        <v>46100</v>
      </c>
      <c r="H266" s="182">
        <f t="shared" si="280"/>
        <v>46101</v>
      </c>
      <c r="I266" s="174" t="s">
        <v>42</v>
      </c>
    </row>
    <row r="267" ht="15.75" customHeight="1">
      <c r="A267" s="199">
        <f>B267+2</f>
        <v>292</v>
      </c>
      <c r="B267" s="199">
        <f t="shared" ref="B267:B273" si="282">B266</f>
        <v>290</v>
      </c>
      <c r="C267" s="76"/>
      <c r="D267" s="201" t="str">
        <f>if(isblank(I267),"",vlookup(I267,Pacing!$A$1:$H$213,2))</f>
        <v>8.1: Magnetic Fields</v>
      </c>
      <c r="E267" s="201" t="str">
        <f>if(isblank(J267),"",vlookup(J267,Pacing!$A$1:$H$213,2))</f>
        <v/>
      </c>
      <c r="F267" s="201" t="str">
        <f>if(isblank(K267),"",vlookup(K267,Pacing!$A$1:$H$213,2))</f>
        <v/>
      </c>
      <c r="G267" s="201" t="str">
        <f>if(isblank(L267),"",vlookup(L267,Pacing!$A$1:$H$213,2))</f>
        <v/>
      </c>
      <c r="H267" s="201" t="str">
        <f>if(isblank(M267),"",vlookup(M267,Pacing!$A$1:$H$213,2))</f>
        <v/>
      </c>
      <c r="I267" s="202">
        <f t="shared" ref="I267:M267" si="281">I265</f>
        <v>117</v>
      </c>
      <c r="J267" s="202" t="str">
        <f t="shared" si="281"/>
        <v/>
      </c>
      <c r="K267" s="202" t="str">
        <f t="shared" si="281"/>
        <v/>
      </c>
      <c r="L267" s="202" t="str">
        <f t="shared" si="281"/>
        <v/>
      </c>
      <c r="M267" s="202" t="str">
        <f t="shared" si="281"/>
        <v/>
      </c>
    </row>
    <row r="268" ht="15.75" customHeight="1">
      <c r="A268" s="178">
        <f>B268+3</f>
        <v>293</v>
      </c>
      <c r="B268" s="178">
        <f t="shared" si="282"/>
        <v>290</v>
      </c>
      <c r="C268" s="76"/>
      <c r="D268" s="185" t="str">
        <f>if(isblank(I268),"",vlookup(I268,Pacing!$A$1:$H$213,3))</f>
        <v>Warm Up</v>
      </c>
      <c r="E268" s="193" t="str">
        <f>if(isblank(J268),"",vlookup(J268,Pacing!$A$1:$H$213,3))</f>
        <v/>
      </c>
      <c r="F268" s="193" t="str">
        <f>if(isblank(K268),"",vlookup(K268,Pacing!$A$1:$H$213,3))</f>
        <v/>
      </c>
      <c r="G268" s="193" t="str">
        <f>if(isblank(L268),"",vlookup(L268,Pacing!$A$1:$H$213,3))</f>
        <v/>
      </c>
      <c r="H268" s="193" t="str">
        <f>if(isblank(M268),"",vlookup(M268,Pacing!$A$1:$H$213,3))</f>
        <v/>
      </c>
      <c r="I268" s="191">
        <f t="shared" ref="I268:M268" si="283">I267</f>
        <v>117</v>
      </c>
      <c r="J268" s="191" t="str">
        <f t="shared" si="283"/>
        <v/>
      </c>
      <c r="K268" s="191" t="str">
        <f t="shared" si="283"/>
        <v/>
      </c>
      <c r="L268" s="191" t="str">
        <f t="shared" si="283"/>
        <v/>
      </c>
      <c r="M268" s="191" t="str">
        <f t="shared" si="283"/>
        <v/>
      </c>
    </row>
    <row r="269" ht="15.75" customHeight="1">
      <c r="A269" s="178">
        <f>B269+4</f>
        <v>294</v>
      </c>
      <c r="B269" s="178">
        <f t="shared" si="282"/>
        <v>290</v>
      </c>
      <c r="C269" s="76"/>
      <c r="D269" s="185" t="str">
        <f>if(isblank(I269),"",vlookup(I269,Pacing!$A$1:$H$213,4))</f>
        <v>Demo</v>
      </c>
      <c r="E269" s="193" t="str">
        <f>if(isblank(J269),"",vlookup(J269,Pacing!$A$1:$H$213,4))</f>
        <v/>
      </c>
      <c r="F269" s="193" t="str">
        <f>if(isblank(K269),"",vlookup(K269,Pacing!$A$1:$H$213,4))</f>
        <v/>
      </c>
      <c r="G269" s="193" t="str">
        <f>if(isblank(L269),"",vlookup(L269,Pacing!$A$1:$H$213,4))</f>
        <v/>
      </c>
      <c r="H269" s="193" t="str">
        <f>if(isblank(M269),"",vlookup(M269,Pacing!$A$1:$H$213,4))</f>
        <v/>
      </c>
      <c r="I269" s="191">
        <f t="shared" ref="I269:M269" si="284">I268</f>
        <v>117</v>
      </c>
      <c r="J269" s="191" t="str">
        <f t="shared" si="284"/>
        <v/>
      </c>
      <c r="K269" s="191" t="str">
        <f t="shared" si="284"/>
        <v/>
      </c>
      <c r="L269" s="191" t="str">
        <f t="shared" si="284"/>
        <v/>
      </c>
      <c r="M269" s="191" t="str">
        <f t="shared" si="284"/>
        <v/>
      </c>
    </row>
    <row r="270" ht="15.75" customHeight="1">
      <c r="A270" s="178">
        <f>B270+5</f>
        <v>295</v>
      </c>
      <c r="B270" s="178">
        <f t="shared" si="282"/>
        <v>290</v>
      </c>
      <c r="C270" s="76"/>
      <c r="D270" s="185" t="str">
        <f>if(isblank(I270),"",vlookup(I270,Pacing!$A$1:$H$213,5))</f>
        <v>Notes</v>
      </c>
      <c r="E270" s="193" t="str">
        <f>if(isblank(J270),"",vlookup(J270,Pacing!$A$1:$H$213,5))</f>
        <v/>
      </c>
      <c r="F270" s="193" t="str">
        <f>if(isblank(K270),"",vlookup(K270,Pacing!$A$1:$H$213,5))</f>
        <v/>
      </c>
      <c r="G270" s="193" t="str">
        <f>if(isblank(L270),"",vlookup(L270,Pacing!$A$1:$H$213,5))</f>
        <v/>
      </c>
      <c r="H270" s="193" t="str">
        <f>if(isblank(M270),"",vlookup(M270,Pacing!$A$1:$H$213,5))</f>
        <v/>
      </c>
      <c r="I270" s="191">
        <f t="shared" ref="I270:M270" si="285">I269</f>
        <v>117</v>
      </c>
      <c r="J270" s="191" t="str">
        <f t="shared" si="285"/>
        <v/>
      </c>
      <c r="K270" s="191" t="str">
        <f t="shared" si="285"/>
        <v/>
      </c>
      <c r="L270" s="191" t="str">
        <f t="shared" si="285"/>
        <v/>
      </c>
      <c r="M270" s="191" t="str">
        <f t="shared" si="285"/>
        <v/>
      </c>
    </row>
    <row r="271" ht="15.75" customHeight="1">
      <c r="A271" s="178">
        <f>B271+6</f>
        <v>296</v>
      </c>
      <c r="B271" s="178">
        <f t="shared" si="282"/>
        <v>290</v>
      </c>
      <c r="C271" s="76"/>
      <c r="D271" s="213" t="str">
        <f>if(isblank(I271),"",vlookup(I271,Pacing!$A$1:$H$213,6))</f>
        <v>Investigation</v>
      </c>
      <c r="E271" s="214" t="str">
        <f>if(isblank(J271),"",vlookup(J271,Pacing!$A$1:$H$213,6))</f>
        <v/>
      </c>
      <c r="F271" s="214" t="str">
        <f>if(isblank(K271),"",vlookup(K271,Pacing!$A$1:$H$213,6))</f>
        <v/>
      </c>
      <c r="G271" s="214" t="str">
        <f>if(isblank(L271),"",vlookup(L271,Pacing!$A$1:$H$213,6))</f>
        <v/>
      </c>
      <c r="H271" s="214" t="str">
        <f>if(isblank(M271),"",vlookup(M271,Pacing!$A$1:$H$213,6))</f>
        <v/>
      </c>
      <c r="I271" s="191">
        <f t="shared" ref="I271:M271" si="286">I270</f>
        <v>117</v>
      </c>
      <c r="J271" s="191" t="str">
        <f t="shared" si="286"/>
        <v/>
      </c>
      <c r="K271" s="191" t="str">
        <f t="shared" si="286"/>
        <v/>
      </c>
      <c r="L271" s="191" t="str">
        <f t="shared" si="286"/>
        <v/>
      </c>
      <c r="M271" s="191" t="str">
        <f t="shared" si="286"/>
        <v/>
      </c>
    </row>
    <row r="272" ht="15.75" hidden="1" customHeight="1">
      <c r="A272" s="178">
        <f>B272+7</f>
        <v>297</v>
      </c>
      <c r="B272" s="178">
        <f t="shared" si="282"/>
        <v>290</v>
      </c>
      <c r="C272" s="76"/>
      <c r="D272" s="185" t="str">
        <f>if(isblank(I272),"",vlookup(I272,Pacing!$A$1:$H$213,7))</f>
        <v>Activity</v>
      </c>
      <c r="E272" s="193" t="str">
        <f>if(isblank(J272),"",vlookup(J272,Pacing!$A$1:$H$213,7))</f>
        <v/>
      </c>
      <c r="F272" s="193" t="str">
        <f>if(isblank(K272),"",vlookup(K272,Pacing!$A$1:$H$213,7))</f>
        <v/>
      </c>
      <c r="G272" s="193" t="str">
        <f>if(isblank(L272),"",vlookup(L272,Pacing!$A$1:$H$213,7))</f>
        <v/>
      </c>
      <c r="H272" s="193" t="str">
        <f>if(isblank(M272),"",vlookup(M272,Pacing!$A$1:$H$213,7))</f>
        <v/>
      </c>
      <c r="I272" s="191">
        <f t="shared" ref="I272:M272" si="287">I271</f>
        <v>117</v>
      </c>
      <c r="J272" s="191" t="str">
        <f t="shared" si="287"/>
        <v/>
      </c>
      <c r="K272" s="191" t="str">
        <f t="shared" si="287"/>
        <v/>
      </c>
      <c r="L272" s="191" t="str">
        <f t="shared" si="287"/>
        <v/>
      </c>
      <c r="M272" s="191" t="str">
        <f t="shared" si="287"/>
        <v/>
      </c>
    </row>
    <row r="273" ht="15.75" hidden="1" customHeight="1">
      <c r="A273" s="178">
        <f>B273+8</f>
        <v>298</v>
      </c>
      <c r="B273" s="178">
        <f t="shared" si="282"/>
        <v>290</v>
      </c>
      <c r="C273" s="95"/>
      <c r="D273" s="185" t="str">
        <f>if(isblank(I273),"",vlookup(I273,Pacing!$A$1:$H$213,8))</f>
        <v>Practice Set</v>
      </c>
      <c r="E273" s="193" t="str">
        <f>if(isblank(J273),"",vlookup(J273,Pacing!$A$1:$H$213,8))</f>
        <v/>
      </c>
      <c r="F273" s="193" t="str">
        <f>if(isblank(K273),"",vlookup(K273,Pacing!$A$1:$H$213,8))</f>
        <v/>
      </c>
      <c r="G273" s="193" t="str">
        <f>if(isblank(L273),"",vlookup(L273,Pacing!$A$1:$H$213,8))</f>
        <v/>
      </c>
      <c r="H273" s="193" t="str">
        <f>if(isblank(M273),"",vlookup(M273,Pacing!$A$1:$H$213,8))</f>
        <v/>
      </c>
      <c r="I273" s="191">
        <f t="shared" ref="I273:M273" si="288">I272</f>
        <v>117</v>
      </c>
      <c r="J273" s="191" t="str">
        <f t="shared" si="288"/>
        <v/>
      </c>
      <c r="K273" s="191" t="str">
        <f t="shared" si="288"/>
        <v/>
      </c>
      <c r="L273" s="191" t="str">
        <f t="shared" si="288"/>
        <v/>
      </c>
      <c r="M273" s="191" t="str">
        <f t="shared" si="288"/>
        <v/>
      </c>
    </row>
    <row r="274" ht="15.75" customHeight="1">
      <c r="A274" s="194"/>
      <c r="B274" s="194"/>
      <c r="C274" s="195"/>
      <c r="D274" s="196" t="s">
        <v>142</v>
      </c>
      <c r="E274" s="196" t="s">
        <v>143</v>
      </c>
      <c r="F274" s="196" t="s">
        <v>144</v>
      </c>
      <c r="G274" s="196" t="s">
        <v>145</v>
      </c>
      <c r="H274" s="196" t="s">
        <v>146</v>
      </c>
      <c r="I274" s="197">
        <v>118.0</v>
      </c>
      <c r="J274" s="169">
        <f t="shared" ref="J274:M274" si="289">I274+1</f>
        <v>119</v>
      </c>
      <c r="K274" s="169">
        <f t="shared" si="289"/>
        <v>120</v>
      </c>
      <c r="L274" s="169">
        <f t="shared" si="289"/>
        <v>121</v>
      </c>
      <c r="M274" s="169">
        <f t="shared" si="289"/>
        <v>122</v>
      </c>
    </row>
    <row r="275" ht="15.75" hidden="1" customHeight="1">
      <c r="A275" s="178">
        <f>B275+1</f>
        <v>301</v>
      </c>
      <c r="B275" s="178">
        <f>C275*10</f>
        <v>300</v>
      </c>
      <c r="C275" s="198">
        <f>C266+1</f>
        <v>30</v>
      </c>
      <c r="D275" s="182">
        <f>D266+7</f>
        <v>46104</v>
      </c>
      <c r="E275" s="182">
        <f t="shared" ref="E275:H275" si="290">D275+1</f>
        <v>46105</v>
      </c>
      <c r="F275" s="182">
        <f t="shared" si="290"/>
        <v>46106</v>
      </c>
      <c r="G275" s="182">
        <f t="shared" si="290"/>
        <v>46107</v>
      </c>
      <c r="H275" s="182">
        <f t="shared" si="290"/>
        <v>46108</v>
      </c>
      <c r="I275" s="174" t="s">
        <v>42</v>
      </c>
    </row>
    <row r="276" ht="15.75" customHeight="1">
      <c r="A276" s="199">
        <f>B276+2</f>
        <v>302</v>
      </c>
      <c r="B276" s="199">
        <f t="shared" ref="B276:B282" si="292">B275</f>
        <v>300</v>
      </c>
      <c r="C276" s="76"/>
      <c r="D276" s="201" t="str">
        <f>if(isblank(I276),"",vlookup(I276,Pacing!$A$1:$H$213,2))</f>
        <v>8.1: Magnetic Fields</v>
      </c>
      <c r="E276" s="201" t="str">
        <f>if(isblank(J276),"",vlookup(J276,Pacing!$A$1:$H$213,2))</f>
        <v>8.1: Magnetic Fields</v>
      </c>
      <c r="F276" s="201" t="str">
        <f>if(isblank(K276),"",vlookup(K276,Pacing!$A$1:$H$213,2))</f>
        <v>8.2: E &amp; Magnetism</v>
      </c>
      <c r="G276" s="201" t="str">
        <f>if(isblank(L276),"",vlookup(L276,Pacing!$A$1:$H$213,2))</f>
        <v>8.2: E &amp; Magnetism</v>
      </c>
      <c r="H276" s="201" t="str">
        <f>if(isblank(M276),"",vlookup(M276,Pacing!$A$1:$H$213,2))</f>
        <v>8.2: E &amp; Magnetism</v>
      </c>
      <c r="I276" s="202">
        <f t="shared" ref="I276:M276" si="291">I274</f>
        <v>118</v>
      </c>
      <c r="J276" s="202">
        <f t="shared" si="291"/>
        <v>119</v>
      </c>
      <c r="K276" s="202">
        <f t="shared" si="291"/>
        <v>120</v>
      </c>
      <c r="L276" s="202">
        <f t="shared" si="291"/>
        <v>121</v>
      </c>
      <c r="M276" s="202">
        <f t="shared" si="291"/>
        <v>122</v>
      </c>
    </row>
    <row r="277" ht="15.75" customHeight="1">
      <c r="A277" s="178">
        <f>B277+3</f>
        <v>303</v>
      </c>
      <c r="B277" s="178">
        <f t="shared" si="292"/>
        <v>300</v>
      </c>
      <c r="C277" s="76"/>
      <c r="D277" s="185" t="str">
        <f>if(isblank(I277),"",vlookup(I277,Pacing!$A$1:$H$213,3))</f>
        <v>Warm Up</v>
      </c>
      <c r="E277" s="185" t="str">
        <f>if(isblank(J277),"",vlookup(J277,Pacing!$A$1:$H$213,3))</f>
        <v>Warm Up</v>
      </c>
      <c r="F277" s="185" t="str">
        <f>if(isblank(K277),"",vlookup(K277,Pacing!$A$1:$H$213,3))</f>
        <v>Warm Up</v>
      </c>
      <c r="G277" s="185" t="str">
        <f>if(isblank(L277),"",vlookup(L277,Pacing!$A$1:$H$213,3))</f>
        <v>Warm Up</v>
      </c>
      <c r="H277" s="185" t="str">
        <f>if(isblank(M277),"",vlookup(M277,Pacing!$A$1:$H$213,3))</f>
        <v>Warm Up</v>
      </c>
      <c r="I277" s="191">
        <f t="shared" ref="I277:M277" si="293">I276</f>
        <v>118</v>
      </c>
      <c r="J277" s="191">
        <f t="shared" si="293"/>
        <v>119</v>
      </c>
      <c r="K277" s="191">
        <f t="shared" si="293"/>
        <v>120</v>
      </c>
      <c r="L277" s="191">
        <f t="shared" si="293"/>
        <v>121</v>
      </c>
      <c r="M277" s="191">
        <f t="shared" si="293"/>
        <v>122</v>
      </c>
    </row>
    <row r="278" ht="15.75" customHeight="1">
      <c r="A278" s="178">
        <f>B278+4</f>
        <v>304</v>
      </c>
      <c r="B278" s="178">
        <f t="shared" si="292"/>
        <v>300</v>
      </c>
      <c r="C278" s="76"/>
      <c r="D278" s="185" t="str">
        <f>if(isblank(I278),"",vlookup(I278,Pacing!$A$1:$H$213,4))</f>
        <v>Demo</v>
      </c>
      <c r="E278" s="185" t="str">
        <f>if(isblank(J278),"",vlookup(J278,Pacing!$A$1:$H$213,4))</f>
        <v>Demo</v>
      </c>
      <c r="F278" s="185" t="str">
        <f>if(isblank(K278),"",vlookup(K278,Pacing!$A$1:$H$213,4))</f>
        <v>Demo</v>
      </c>
      <c r="G278" s="185" t="str">
        <f>if(isblank(L278),"",vlookup(L278,Pacing!$A$1:$H$213,4))</f>
        <v>Demo</v>
      </c>
      <c r="H278" s="185" t="str">
        <f>if(isblank(M278),"",vlookup(M278,Pacing!$A$1:$H$213,4))</f>
        <v>Demo</v>
      </c>
      <c r="I278" s="191">
        <f t="shared" ref="I278:M278" si="294">I277</f>
        <v>118</v>
      </c>
      <c r="J278" s="191">
        <f t="shared" si="294"/>
        <v>119</v>
      </c>
      <c r="K278" s="191">
        <f t="shared" si="294"/>
        <v>120</v>
      </c>
      <c r="L278" s="191">
        <f t="shared" si="294"/>
        <v>121</v>
      </c>
      <c r="M278" s="191">
        <f t="shared" si="294"/>
        <v>122</v>
      </c>
    </row>
    <row r="279" ht="15.75" customHeight="1">
      <c r="A279" s="178">
        <f>B279+5</f>
        <v>305</v>
      </c>
      <c r="B279" s="178">
        <f t="shared" si="292"/>
        <v>300</v>
      </c>
      <c r="C279" s="76"/>
      <c r="D279" s="185" t="str">
        <f>if(isblank(I279),"",vlookup(I279,Pacing!$A$1:$H$213,5))</f>
        <v>Notes</v>
      </c>
      <c r="E279" s="185" t="str">
        <f>if(isblank(J279),"",vlookup(J279,Pacing!$A$1:$H$213,5))</f>
        <v>Notes</v>
      </c>
      <c r="F279" s="185" t="str">
        <f>if(isblank(K279),"",vlookup(K279,Pacing!$A$1:$H$213,5))</f>
        <v>Notes</v>
      </c>
      <c r="G279" s="185" t="str">
        <f>if(isblank(L279),"",vlookup(L279,Pacing!$A$1:$H$213,5))</f>
        <v>Notes</v>
      </c>
      <c r="H279" s="185" t="str">
        <f>if(isblank(M279),"",vlookup(M279,Pacing!$A$1:$H$213,5))</f>
        <v>Notes</v>
      </c>
      <c r="I279" s="191">
        <f t="shared" ref="I279:M279" si="295">I278</f>
        <v>118</v>
      </c>
      <c r="J279" s="191">
        <f t="shared" si="295"/>
        <v>119</v>
      </c>
      <c r="K279" s="191">
        <f t="shared" si="295"/>
        <v>120</v>
      </c>
      <c r="L279" s="191">
        <f t="shared" si="295"/>
        <v>121</v>
      </c>
      <c r="M279" s="191">
        <f t="shared" si="295"/>
        <v>122</v>
      </c>
    </row>
    <row r="280" ht="15.75" customHeight="1">
      <c r="A280" s="178">
        <f>B280+6</f>
        <v>306</v>
      </c>
      <c r="B280" s="178">
        <f t="shared" si="292"/>
        <v>300</v>
      </c>
      <c r="C280" s="76"/>
      <c r="D280" s="185" t="str">
        <f>if(isblank(I280),"",vlookup(I280,Pacing!$A$1:$H$213,6))</f>
        <v>Investigation</v>
      </c>
      <c r="E280" s="185" t="str">
        <f>if(isblank(J280),"",vlookup(J280,Pacing!$A$1:$H$213,6))</f>
        <v>Investigation</v>
      </c>
      <c r="F280" s="185" t="str">
        <f>if(isblank(K280),"",vlookup(K280,Pacing!$A$1:$H$213,6))</f>
        <v>Investigation</v>
      </c>
      <c r="G280" s="185" t="str">
        <f>if(isblank(L280),"",vlookup(L280,Pacing!$A$1:$H$213,6))</f>
        <v>Investigation</v>
      </c>
      <c r="H280" s="185" t="str">
        <f>if(isblank(M280),"",vlookup(M280,Pacing!$A$1:$H$213,6))</f>
        <v>Investigation</v>
      </c>
      <c r="I280" s="191">
        <f t="shared" ref="I280:M280" si="296">I279</f>
        <v>118</v>
      </c>
      <c r="J280" s="191">
        <f t="shared" si="296"/>
        <v>119</v>
      </c>
      <c r="K280" s="191">
        <f t="shared" si="296"/>
        <v>120</v>
      </c>
      <c r="L280" s="191">
        <f t="shared" si="296"/>
        <v>121</v>
      </c>
      <c r="M280" s="191">
        <f t="shared" si="296"/>
        <v>122</v>
      </c>
    </row>
    <row r="281" ht="15.75" hidden="1" customHeight="1">
      <c r="A281" s="178">
        <f>B281+7</f>
        <v>307</v>
      </c>
      <c r="B281" s="178">
        <f t="shared" si="292"/>
        <v>300</v>
      </c>
      <c r="C281" s="76"/>
      <c r="D281" s="185" t="str">
        <f>if(isblank(I281),"",vlookup(I281,Pacing!$A$1:$H$213,7))</f>
        <v>Activity</v>
      </c>
      <c r="E281" s="185" t="str">
        <f>if(isblank(J281),"",vlookup(J281,Pacing!$A$1:$H$213,7))</f>
        <v>Activity</v>
      </c>
      <c r="F281" s="185" t="str">
        <f>if(isblank(K281),"",vlookup(K281,Pacing!$A$1:$H$213,7))</f>
        <v>Activity</v>
      </c>
      <c r="G281" s="185" t="str">
        <f>if(isblank(L281),"",vlookup(L281,Pacing!$A$1:$H$213,7))</f>
        <v>Activity</v>
      </c>
      <c r="H281" s="185" t="str">
        <f>if(isblank(M281),"",vlookup(M281,Pacing!$A$1:$H$213,7))</f>
        <v>Activity</v>
      </c>
      <c r="I281" s="191">
        <f t="shared" ref="I281:M281" si="297">I280</f>
        <v>118</v>
      </c>
      <c r="J281" s="191">
        <f t="shared" si="297"/>
        <v>119</v>
      </c>
      <c r="K281" s="191">
        <f t="shared" si="297"/>
        <v>120</v>
      </c>
      <c r="L281" s="191">
        <f t="shared" si="297"/>
        <v>121</v>
      </c>
      <c r="M281" s="191">
        <f t="shared" si="297"/>
        <v>122</v>
      </c>
    </row>
    <row r="282" ht="15.75" hidden="1" customHeight="1">
      <c r="A282" s="178">
        <f>B282+8</f>
        <v>308</v>
      </c>
      <c r="B282" s="178">
        <f t="shared" si="292"/>
        <v>300</v>
      </c>
      <c r="C282" s="95"/>
      <c r="D282" s="185" t="str">
        <f>if(isblank(I282),"",vlookup(I282,Pacing!$A$1:$H$213,8))</f>
        <v>Practice Set</v>
      </c>
      <c r="E282" s="185" t="str">
        <f>if(isblank(J282),"",vlookup(J282,Pacing!$A$1:$H$213,8))</f>
        <v>Practice Set</v>
      </c>
      <c r="F282" s="185" t="str">
        <f>if(isblank(K282),"",vlookup(K282,Pacing!$A$1:$H$213,8))</f>
        <v>Practice Set</v>
      </c>
      <c r="G282" s="185" t="str">
        <f>if(isblank(L282),"",vlookup(L282,Pacing!$A$1:$H$213,8))</f>
        <v>Practice Set</v>
      </c>
      <c r="H282" s="185" t="str">
        <f>if(isblank(M282),"",vlookup(M282,Pacing!$A$1:$H$213,8))</f>
        <v>Practice Set</v>
      </c>
      <c r="I282" s="191">
        <f t="shared" ref="I282:M282" si="298">I281</f>
        <v>118</v>
      </c>
      <c r="J282" s="191">
        <f t="shared" si="298"/>
        <v>119</v>
      </c>
      <c r="K282" s="191">
        <f t="shared" si="298"/>
        <v>120</v>
      </c>
      <c r="L282" s="191">
        <f t="shared" si="298"/>
        <v>121</v>
      </c>
      <c r="M282" s="191">
        <f t="shared" si="298"/>
        <v>122</v>
      </c>
    </row>
    <row r="283" ht="15.75" customHeight="1">
      <c r="A283" s="194"/>
      <c r="B283" s="194"/>
      <c r="C283" s="195"/>
      <c r="D283" s="196" t="s">
        <v>148</v>
      </c>
      <c r="E283" s="196" t="s">
        <v>149</v>
      </c>
      <c r="F283" s="196" t="s">
        <v>150</v>
      </c>
      <c r="G283" s="196" t="s">
        <v>152</v>
      </c>
      <c r="H283" s="196" t="s">
        <v>153</v>
      </c>
      <c r="I283" s="197">
        <f>M274+1</f>
        <v>123</v>
      </c>
      <c r="J283" s="169">
        <f t="shared" ref="J283:M283" si="299">I283+1</f>
        <v>124</v>
      </c>
      <c r="K283" s="169">
        <f t="shared" si="299"/>
        <v>125</v>
      </c>
      <c r="L283" s="169">
        <f t="shared" si="299"/>
        <v>126</v>
      </c>
      <c r="M283" s="169">
        <f t="shared" si="299"/>
        <v>127</v>
      </c>
    </row>
    <row r="284" ht="15.75" hidden="1" customHeight="1">
      <c r="A284" s="178">
        <f>B284+1</f>
        <v>311</v>
      </c>
      <c r="B284" s="178">
        <f>C284*10</f>
        <v>310</v>
      </c>
      <c r="C284" s="198">
        <v>31.0</v>
      </c>
      <c r="D284" s="182">
        <f>D275+7</f>
        <v>46111</v>
      </c>
      <c r="E284" s="182">
        <f t="shared" ref="E284:H284" si="300">D284+1</f>
        <v>46112</v>
      </c>
      <c r="F284" s="182">
        <f t="shared" si="300"/>
        <v>46113</v>
      </c>
      <c r="G284" s="182">
        <f t="shared" si="300"/>
        <v>46114</v>
      </c>
      <c r="H284" s="182">
        <f t="shared" si="300"/>
        <v>46115</v>
      </c>
      <c r="I284" s="174" t="s">
        <v>42</v>
      </c>
    </row>
    <row r="285" ht="15.75" customHeight="1">
      <c r="A285" s="178">
        <f>B285+2</f>
        <v>312</v>
      </c>
      <c r="B285" s="178">
        <f t="shared" ref="B285:B291" si="302">B284</f>
        <v>310</v>
      </c>
      <c r="C285" s="76"/>
      <c r="D285" s="193" t="str">
        <f>if(isblank(I285),"",vlookup(I285,Pacing!$A$1:$H$213,2))</f>
        <v>8.3: Electromagnets</v>
      </c>
      <c r="E285" s="193" t="str">
        <f>if(isblank(J285),"",vlookup(J285,Pacing!$A$1:$H$213,2))</f>
        <v>8.3: Electromagnets</v>
      </c>
      <c r="F285" s="193" t="str">
        <f>if(isblank(K285),"",vlookup(K285,Pacing!$A$1:$H$213,2))</f>
        <v>8.3: Electromagnets</v>
      </c>
      <c r="G285" s="193" t="str">
        <f>if(isblank(L285),"",vlookup(L285,Pacing!$A$1:$H$213,2))</f>
        <v>8.4: Generators &amp; AC</v>
      </c>
      <c r="H285" s="193" t="str">
        <f>if(isblank(M285),"",vlookup(M285,Pacing!$A$1:$H$213,2))</f>
        <v>8.4: Generators &amp; AC</v>
      </c>
      <c r="I285" s="191">
        <f t="shared" ref="I285:M285" si="301">I283</f>
        <v>123</v>
      </c>
      <c r="J285" s="191">
        <f t="shared" si="301"/>
        <v>124</v>
      </c>
      <c r="K285" s="191">
        <f t="shared" si="301"/>
        <v>125</v>
      </c>
      <c r="L285" s="191">
        <f t="shared" si="301"/>
        <v>126</v>
      </c>
      <c r="M285" s="191">
        <f t="shared" si="301"/>
        <v>127</v>
      </c>
    </row>
    <row r="286" ht="15.75" customHeight="1">
      <c r="A286" s="178">
        <f>B286+3</f>
        <v>313</v>
      </c>
      <c r="B286" s="178">
        <f t="shared" si="302"/>
        <v>310</v>
      </c>
      <c r="C286" s="76"/>
      <c r="D286" s="185" t="str">
        <f>if(isblank(I286),"",vlookup(I286,Pacing!$A$1:$H$213,3))</f>
        <v>Warm Up</v>
      </c>
      <c r="E286" s="185" t="str">
        <f>if(isblank(J286),"",vlookup(J286,Pacing!$A$1:$H$213,3))</f>
        <v>Warm Up</v>
      </c>
      <c r="F286" s="185" t="str">
        <f>if(isblank(K286),"",vlookup(K286,Pacing!$A$1:$H$213,3))</f>
        <v>Warm Up</v>
      </c>
      <c r="G286" s="185" t="str">
        <f>if(isblank(L286),"",vlookup(L286,Pacing!$A$1:$H$213,3))</f>
        <v>Warm Up</v>
      </c>
      <c r="H286" s="185" t="str">
        <f>if(isblank(M286),"",vlookup(M286,Pacing!$A$1:$H$213,3))</f>
        <v>Warm Up</v>
      </c>
      <c r="I286" s="191">
        <f t="shared" ref="I286:M286" si="303">I285</f>
        <v>123</v>
      </c>
      <c r="J286" s="191">
        <f t="shared" si="303"/>
        <v>124</v>
      </c>
      <c r="K286" s="191">
        <f t="shared" si="303"/>
        <v>125</v>
      </c>
      <c r="L286" s="191">
        <f t="shared" si="303"/>
        <v>126</v>
      </c>
      <c r="M286" s="191">
        <f t="shared" si="303"/>
        <v>127</v>
      </c>
    </row>
    <row r="287" ht="15.75" customHeight="1">
      <c r="A287" s="178">
        <f>B287+4</f>
        <v>314</v>
      </c>
      <c r="B287" s="178">
        <f t="shared" si="302"/>
        <v>310</v>
      </c>
      <c r="C287" s="76"/>
      <c r="D287" s="185" t="str">
        <f>if(isblank(I287),"",vlookup(I287,Pacing!$A$1:$H$213,4))</f>
        <v>Demo</v>
      </c>
      <c r="E287" s="185" t="str">
        <f>if(isblank(J287),"",vlookup(J287,Pacing!$A$1:$H$213,4))</f>
        <v>Demo</v>
      </c>
      <c r="F287" s="185" t="str">
        <f>if(isblank(K287),"",vlookup(K287,Pacing!$A$1:$H$213,4))</f>
        <v>Demo</v>
      </c>
      <c r="G287" s="185" t="str">
        <f>if(isblank(L287),"",vlookup(L287,Pacing!$A$1:$H$213,4))</f>
        <v>Demo</v>
      </c>
      <c r="H287" s="185" t="str">
        <f>if(isblank(M287),"",vlookup(M287,Pacing!$A$1:$H$213,4))</f>
        <v>Demo</v>
      </c>
      <c r="I287" s="191">
        <f t="shared" ref="I287:M287" si="304">I286</f>
        <v>123</v>
      </c>
      <c r="J287" s="191">
        <f t="shared" si="304"/>
        <v>124</v>
      </c>
      <c r="K287" s="191">
        <f t="shared" si="304"/>
        <v>125</v>
      </c>
      <c r="L287" s="191">
        <f t="shared" si="304"/>
        <v>126</v>
      </c>
      <c r="M287" s="191">
        <f t="shared" si="304"/>
        <v>127</v>
      </c>
    </row>
    <row r="288" ht="15.75" customHeight="1">
      <c r="A288" s="178">
        <f>B288+5</f>
        <v>315</v>
      </c>
      <c r="B288" s="178">
        <f t="shared" si="302"/>
        <v>310</v>
      </c>
      <c r="C288" s="76"/>
      <c r="D288" s="185" t="str">
        <f>if(isblank(I288),"",vlookup(I288,Pacing!$A$1:$H$213,5))</f>
        <v>Notes</v>
      </c>
      <c r="E288" s="185" t="str">
        <f>if(isblank(J288),"",vlookup(J288,Pacing!$A$1:$H$213,5))</f>
        <v>Notes</v>
      </c>
      <c r="F288" s="185" t="str">
        <f>if(isblank(K288),"",vlookup(K288,Pacing!$A$1:$H$213,5))</f>
        <v>Notes</v>
      </c>
      <c r="G288" s="185" t="str">
        <f>if(isblank(L288),"",vlookup(L288,Pacing!$A$1:$H$213,5))</f>
        <v>Notes</v>
      </c>
      <c r="H288" s="185" t="str">
        <f>if(isblank(M288),"",vlookup(M288,Pacing!$A$1:$H$213,5))</f>
        <v>Notes</v>
      </c>
      <c r="I288" s="191">
        <f t="shared" ref="I288:M288" si="305">I287</f>
        <v>123</v>
      </c>
      <c r="J288" s="191">
        <f t="shared" si="305"/>
        <v>124</v>
      </c>
      <c r="K288" s="191">
        <f t="shared" si="305"/>
        <v>125</v>
      </c>
      <c r="L288" s="191">
        <f t="shared" si="305"/>
        <v>126</v>
      </c>
      <c r="M288" s="191">
        <f t="shared" si="305"/>
        <v>127</v>
      </c>
    </row>
    <row r="289" ht="15.75" customHeight="1">
      <c r="A289" s="178">
        <f>B289+6</f>
        <v>316</v>
      </c>
      <c r="B289" s="178">
        <f t="shared" si="302"/>
        <v>310</v>
      </c>
      <c r="C289" s="76"/>
      <c r="D289" s="185" t="str">
        <f>if(isblank(I289),"",vlookup(I289,Pacing!$A$1:$H$213,6))</f>
        <v>Investigation</v>
      </c>
      <c r="E289" s="185" t="str">
        <f>if(isblank(J289),"",vlookup(J289,Pacing!$A$1:$H$213,6))</f>
        <v>Investigation</v>
      </c>
      <c r="F289" s="185" t="str">
        <f>if(isblank(K289),"",vlookup(K289,Pacing!$A$1:$H$213,6))</f>
        <v>Investigation</v>
      </c>
      <c r="G289" s="185" t="str">
        <f>if(isblank(L289),"",vlookup(L289,Pacing!$A$1:$H$213,6))</f>
        <v>Investigation</v>
      </c>
      <c r="H289" s="185" t="str">
        <f>if(isblank(M289),"",vlookup(M289,Pacing!$A$1:$H$213,6))</f>
        <v>Investigation</v>
      </c>
      <c r="I289" s="191">
        <f t="shared" ref="I289:M289" si="306">I288</f>
        <v>123</v>
      </c>
      <c r="J289" s="191">
        <f t="shared" si="306"/>
        <v>124</v>
      </c>
      <c r="K289" s="191">
        <f t="shared" si="306"/>
        <v>125</v>
      </c>
      <c r="L289" s="191">
        <f t="shared" si="306"/>
        <v>126</v>
      </c>
      <c r="M289" s="191">
        <f t="shared" si="306"/>
        <v>127</v>
      </c>
    </row>
    <row r="290" ht="15.75" hidden="1" customHeight="1">
      <c r="A290" s="178">
        <f>B290+7</f>
        <v>317</v>
      </c>
      <c r="B290" s="178">
        <f t="shared" si="302"/>
        <v>310</v>
      </c>
      <c r="C290" s="76"/>
      <c r="D290" s="185" t="str">
        <f>if(isblank(I290),"",vlookup(I290,Pacing!$A$1:$H$213,7))</f>
        <v>Activity</v>
      </c>
      <c r="E290" s="185" t="str">
        <f>if(isblank(J290),"",vlookup(J290,Pacing!$A$1:$H$213,7))</f>
        <v>Activity</v>
      </c>
      <c r="F290" s="185" t="str">
        <f>if(isblank(K290),"",vlookup(K290,Pacing!$A$1:$H$213,7))</f>
        <v>Activity</v>
      </c>
      <c r="G290" s="185" t="str">
        <f>if(isblank(L290),"",vlookup(L290,Pacing!$A$1:$H$213,7))</f>
        <v>Activity</v>
      </c>
      <c r="H290" s="185" t="str">
        <f>if(isblank(M290),"",vlookup(M290,Pacing!$A$1:$H$213,7))</f>
        <v>Activity</v>
      </c>
      <c r="I290" s="191">
        <f t="shared" ref="I290:M290" si="307">I289</f>
        <v>123</v>
      </c>
      <c r="J290" s="191">
        <f t="shared" si="307"/>
        <v>124</v>
      </c>
      <c r="K290" s="191">
        <f t="shared" si="307"/>
        <v>125</v>
      </c>
      <c r="L290" s="191">
        <f t="shared" si="307"/>
        <v>126</v>
      </c>
      <c r="M290" s="191">
        <f t="shared" si="307"/>
        <v>127</v>
      </c>
    </row>
    <row r="291" ht="15.75" hidden="1" customHeight="1">
      <c r="A291" s="178">
        <f>B291+8</f>
        <v>318</v>
      </c>
      <c r="B291" s="178">
        <f t="shared" si="302"/>
        <v>310</v>
      </c>
      <c r="C291" s="95"/>
      <c r="D291" s="185" t="str">
        <f>if(isblank(I291),"",vlookup(I291,Pacing!$A$1:$H$213,8))</f>
        <v>Practice Set</v>
      </c>
      <c r="E291" s="185" t="str">
        <f>if(isblank(J291),"",vlookup(J291,Pacing!$A$1:$H$213,8))</f>
        <v>Practice Set</v>
      </c>
      <c r="F291" s="185" t="str">
        <f>if(isblank(K291),"",vlookup(K291,Pacing!$A$1:$H$213,8))</f>
        <v>Practice Set</v>
      </c>
      <c r="G291" s="185" t="str">
        <f>if(isblank(L291),"",vlookup(L291,Pacing!$A$1:$H$213,8))</f>
        <v>Practice Set</v>
      </c>
      <c r="H291" s="185" t="str">
        <f>if(isblank(M291),"",vlookup(M291,Pacing!$A$1:$H$213,8))</f>
        <v>Practice Set</v>
      </c>
      <c r="I291" s="191">
        <f t="shared" ref="I291:M291" si="308">I290</f>
        <v>123</v>
      </c>
      <c r="J291" s="191">
        <f t="shared" si="308"/>
        <v>124</v>
      </c>
      <c r="K291" s="191">
        <f t="shared" si="308"/>
        <v>125</v>
      </c>
      <c r="L291" s="191">
        <f t="shared" si="308"/>
        <v>126</v>
      </c>
      <c r="M291" s="191">
        <f t="shared" si="308"/>
        <v>127</v>
      </c>
    </row>
    <row r="292" ht="15.75" customHeight="1">
      <c r="A292" s="194"/>
      <c r="B292" s="194"/>
      <c r="C292" s="195"/>
      <c r="D292" s="196" t="s">
        <v>156</v>
      </c>
      <c r="E292" s="196" t="s">
        <v>157</v>
      </c>
      <c r="F292" s="196" t="s">
        <v>158</v>
      </c>
      <c r="G292" s="196" t="s">
        <v>159</v>
      </c>
      <c r="H292" s="196" t="s">
        <v>160</v>
      </c>
      <c r="I292" s="197">
        <f>M283+1</f>
        <v>128</v>
      </c>
      <c r="J292" s="169">
        <f t="shared" ref="J292:M292" si="309">I292+1</f>
        <v>129</v>
      </c>
      <c r="K292" s="169">
        <f t="shared" si="309"/>
        <v>130</v>
      </c>
      <c r="L292" s="169">
        <f t="shared" si="309"/>
        <v>131</v>
      </c>
      <c r="M292" s="169">
        <f t="shared" si="309"/>
        <v>132</v>
      </c>
    </row>
    <row r="293" ht="15.75" hidden="1" customHeight="1">
      <c r="A293" s="178">
        <f>B293+1</f>
        <v>321</v>
      </c>
      <c r="B293" s="178">
        <f>C293*10</f>
        <v>320</v>
      </c>
      <c r="C293" s="198">
        <v>32.0</v>
      </c>
      <c r="D293" s="182">
        <f>D284+7</f>
        <v>46118</v>
      </c>
      <c r="E293" s="182">
        <f t="shared" ref="E293:H293" si="310">D293+1</f>
        <v>46119</v>
      </c>
      <c r="F293" s="182">
        <f t="shared" si="310"/>
        <v>46120</v>
      </c>
      <c r="G293" s="182">
        <f t="shared" si="310"/>
        <v>46121</v>
      </c>
      <c r="H293" s="182">
        <f t="shared" si="310"/>
        <v>46122</v>
      </c>
      <c r="I293" s="174" t="s">
        <v>42</v>
      </c>
    </row>
    <row r="294" ht="15.75" customHeight="1">
      <c r="A294" s="178">
        <f>B294+2</f>
        <v>322</v>
      </c>
      <c r="B294" s="178">
        <f t="shared" ref="B294:B300" si="312">B293</f>
        <v>320</v>
      </c>
      <c r="C294" s="76"/>
      <c r="D294" s="193" t="str">
        <f>if(isblank(I294),"",vlookup(I294,Pacing!$A$1:$H$213,2))</f>
        <v>8.4: Generators &amp; AC</v>
      </c>
      <c r="E294" s="193" t="str">
        <f>if(isblank(J294),"",vlookup(J294,Pacing!$A$1:$H$213,2))</f>
        <v>8.5: Modern EM Systems</v>
      </c>
      <c r="F294" s="193" t="str">
        <f>if(isblank(K294),"",vlookup(K294,Pacing!$A$1:$H$213,2))</f>
        <v>8.5: Modern EM Systems</v>
      </c>
      <c r="G294" s="193" t="str">
        <f>if(isblank(L294),"",vlookup(L294,Pacing!$A$1:$H$213,2))</f>
        <v>8.5: Modern EM Systems</v>
      </c>
      <c r="H294" s="193" t="str">
        <f>if(isblank(M294),"",vlookup(M294,Pacing!$A$1:$H$213,2))</f>
        <v>Unit 8 Sum Assess</v>
      </c>
      <c r="I294" s="191">
        <f t="shared" ref="I294:M294" si="311">I292</f>
        <v>128</v>
      </c>
      <c r="J294" s="191">
        <f t="shared" si="311"/>
        <v>129</v>
      </c>
      <c r="K294" s="191">
        <f t="shared" si="311"/>
        <v>130</v>
      </c>
      <c r="L294" s="191">
        <f t="shared" si="311"/>
        <v>131</v>
      </c>
      <c r="M294" s="191">
        <f t="shared" si="311"/>
        <v>132</v>
      </c>
    </row>
    <row r="295" ht="15.75" customHeight="1">
      <c r="A295" s="178">
        <f>B295+3</f>
        <v>323</v>
      </c>
      <c r="B295" s="178">
        <f t="shared" si="312"/>
        <v>320</v>
      </c>
      <c r="C295" s="76"/>
      <c r="D295" s="185" t="str">
        <f>if(isblank(I295),"",vlookup(I295,Pacing!$A$1:$H$213,3))</f>
        <v>Warm Up</v>
      </c>
      <c r="E295" s="185" t="str">
        <f>if(isblank(J295),"",vlookup(J295,Pacing!$A$1:$H$213,3))</f>
        <v>Warm Up</v>
      </c>
      <c r="F295" s="185" t="str">
        <f>if(isblank(K295),"",vlookup(K295,Pacing!$A$1:$H$213,3))</f>
        <v>Warm Up</v>
      </c>
      <c r="G295" s="185" t="str">
        <f>if(isblank(L295),"",vlookup(L295,Pacing!$A$1:$H$213,3))</f>
        <v>Warm Up</v>
      </c>
      <c r="H295" s="193" t="str">
        <f>if(isblank(M295),"",vlookup(M295,Pacing!$A$1:$H$213,3))</f>
        <v/>
      </c>
      <c r="I295" s="191">
        <f t="shared" ref="I295:M295" si="313">I294</f>
        <v>128</v>
      </c>
      <c r="J295" s="191">
        <f t="shared" si="313"/>
        <v>129</v>
      </c>
      <c r="K295" s="191">
        <f t="shared" si="313"/>
        <v>130</v>
      </c>
      <c r="L295" s="191">
        <f t="shared" si="313"/>
        <v>131</v>
      </c>
      <c r="M295" s="191">
        <f t="shared" si="313"/>
        <v>132</v>
      </c>
    </row>
    <row r="296" ht="15.75" customHeight="1">
      <c r="A296" s="178">
        <f>B296+4</f>
        <v>324</v>
      </c>
      <c r="B296" s="178">
        <f t="shared" si="312"/>
        <v>320</v>
      </c>
      <c r="C296" s="76"/>
      <c r="D296" s="185" t="str">
        <f>if(isblank(I296),"",vlookup(I296,Pacing!$A$1:$H$213,4))</f>
        <v>Demo</v>
      </c>
      <c r="E296" s="185" t="str">
        <f>if(isblank(J296),"",vlookup(J296,Pacing!$A$1:$H$213,4))</f>
        <v>Demo</v>
      </c>
      <c r="F296" s="185" t="str">
        <f>if(isblank(K296),"",vlookup(K296,Pacing!$A$1:$H$213,4))</f>
        <v>Demo</v>
      </c>
      <c r="G296" s="185" t="str">
        <f>if(isblank(L296),"",vlookup(L296,Pacing!$A$1:$H$213,4))</f>
        <v>Demo</v>
      </c>
      <c r="H296" s="193" t="str">
        <f>if(isblank(M296),"",vlookup(M296,Pacing!$A$1:$H$213,4))</f>
        <v/>
      </c>
      <c r="I296" s="191">
        <f t="shared" ref="I296:M296" si="314">I295</f>
        <v>128</v>
      </c>
      <c r="J296" s="191">
        <f t="shared" si="314"/>
        <v>129</v>
      </c>
      <c r="K296" s="191">
        <f t="shared" si="314"/>
        <v>130</v>
      </c>
      <c r="L296" s="191">
        <f t="shared" si="314"/>
        <v>131</v>
      </c>
      <c r="M296" s="191">
        <f t="shared" si="314"/>
        <v>132</v>
      </c>
    </row>
    <row r="297" ht="15.75" customHeight="1">
      <c r="A297" s="178">
        <f>B297+5</f>
        <v>325</v>
      </c>
      <c r="B297" s="178">
        <f t="shared" si="312"/>
        <v>320</v>
      </c>
      <c r="C297" s="76"/>
      <c r="D297" s="185" t="str">
        <f>if(isblank(I297),"",vlookup(I297,Pacing!$A$1:$H$213,5))</f>
        <v>Notes</v>
      </c>
      <c r="E297" s="185" t="str">
        <f>if(isblank(J297),"",vlookup(J297,Pacing!$A$1:$H$213,5))</f>
        <v>Notes</v>
      </c>
      <c r="F297" s="185" t="str">
        <f>if(isblank(K297),"",vlookup(K297,Pacing!$A$1:$H$213,5))</f>
        <v>Notes</v>
      </c>
      <c r="G297" s="185" t="str">
        <f>if(isblank(L297),"",vlookup(L297,Pacing!$A$1:$H$213,5))</f>
        <v>Notes</v>
      </c>
      <c r="H297" s="193" t="str">
        <f>if(isblank(M297),"",vlookup(M297,Pacing!$A$1:$H$213,5))</f>
        <v/>
      </c>
      <c r="I297" s="191">
        <f t="shared" ref="I297:M297" si="315">I296</f>
        <v>128</v>
      </c>
      <c r="J297" s="191">
        <f t="shared" si="315"/>
        <v>129</v>
      </c>
      <c r="K297" s="191">
        <f t="shared" si="315"/>
        <v>130</v>
      </c>
      <c r="L297" s="191">
        <f t="shared" si="315"/>
        <v>131</v>
      </c>
      <c r="M297" s="191">
        <f t="shared" si="315"/>
        <v>132</v>
      </c>
    </row>
    <row r="298" ht="15.75" customHeight="1">
      <c r="A298" s="178">
        <f>B298+6</f>
        <v>326</v>
      </c>
      <c r="B298" s="178">
        <f t="shared" si="312"/>
        <v>320</v>
      </c>
      <c r="C298" s="76"/>
      <c r="D298" s="185" t="str">
        <f>if(isblank(I298),"",vlookup(I298,Pacing!$A$1:$H$213,6))</f>
        <v>Investigation</v>
      </c>
      <c r="E298" s="185" t="str">
        <f>if(isblank(J298),"",vlookup(J298,Pacing!$A$1:$H$213,6))</f>
        <v>Investigation</v>
      </c>
      <c r="F298" s="185" t="str">
        <f>if(isblank(K298),"",vlookup(K298,Pacing!$A$1:$H$213,6))</f>
        <v>Investigation</v>
      </c>
      <c r="G298" s="185" t="str">
        <f>if(isblank(L298),"",vlookup(L298,Pacing!$A$1:$H$213,6))</f>
        <v>Investigation</v>
      </c>
      <c r="H298" s="193" t="str">
        <f>if(isblank(M298),"",vlookup(M298,Pacing!$A$1:$H$213,6))</f>
        <v/>
      </c>
      <c r="I298" s="191">
        <f t="shared" ref="I298:M298" si="316">I297</f>
        <v>128</v>
      </c>
      <c r="J298" s="191">
        <f t="shared" si="316"/>
        <v>129</v>
      </c>
      <c r="K298" s="191">
        <f t="shared" si="316"/>
        <v>130</v>
      </c>
      <c r="L298" s="191">
        <f t="shared" si="316"/>
        <v>131</v>
      </c>
      <c r="M298" s="191">
        <f t="shared" si="316"/>
        <v>132</v>
      </c>
    </row>
    <row r="299" ht="15.75" hidden="1" customHeight="1">
      <c r="A299" s="178">
        <f>B299+7</f>
        <v>327</v>
      </c>
      <c r="B299" s="178">
        <f t="shared" si="312"/>
        <v>320</v>
      </c>
      <c r="C299" s="76"/>
      <c r="D299" s="185" t="str">
        <f>if(isblank(I299),"",vlookup(I299,Pacing!$A$1:$H$213,7))</f>
        <v>Activity</v>
      </c>
      <c r="E299" s="185" t="str">
        <f>if(isblank(J299),"",vlookup(J299,Pacing!$A$1:$H$213,7))</f>
        <v>Activity</v>
      </c>
      <c r="F299" s="185" t="str">
        <f>if(isblank(K299),"",vlookup(K299,Pacing!$A$1:$H$213,7))</f>
        <v>Activity</v>
      </c>
      <c r="G299" s="185" t="str">
        <f>if(isblank(L299),"",vlookup(L299,Pacing!$A$1:$H$213,7))</f>
        <v>Activity</v>
      </c>
      <c r="H299" s="193" t="str">
        <f>if(isblank(M299),"",vlookup(M299,Pacing!$A$1:$H$213,7))</f>
        <v/>
      </c>
      <c r="I299" s="191">
        <f t="shared" ref="I299:M299" si="317">I298</f>
        <v>128</v>
      </c>
      <c r="J299" s="191">
        <f t="shared" si="317"/>
        <v>129</v>
      </c>
      <c r="K299" s="191">
        <f t="shared" si="317"/>
        <v>130</v>
      </c>
      <c r="L299" s="191">
        <f t="shared" si="317"/>
        <v>131</v>
      </c>
      <c r="M299" s="191">
        <f t="shared" si="317"/>
        <v>132</v>
      </c>
    </row>
    <row r="300" ht="15.75" hidden="1" customHeight="1">
      <c r="A300" s="178">
        <f>B300+8</f>
        <v>328</v>
      </c>
      <c r="B300" s="178">
        <f t="shared" si="312"/>
        <v>320</v>
      </c>
      <c r="C300" s="95"/>
      <c r="D300" s="185" t="str">
        <f>if(isblank(I300),"",vlookup(I300,Pacing!$A$1:$H$213,8))</f>
        <v>Practice Set</v>
      </c>
      <c r="E300" s="185" t="str">
        <f>if(isblank(J300),"",vlookup(J300,Pacing!$A$1:$H$213,8))</f>
        <v>Practice Set</v>
      </c>
      <c r="F300" s="185" t="str">
        <f>if(isblank(K300),"",vlookup(K300,Pacing!$A$1:$H$213,8))</f>
        <v>Practice Set</v>
      </c>
      <c r="G300" s="185" t="str">
        <f>if(isblank(L300),"",vlookup(L300,Pacing!$A$1:$H$213,8))</f>
        <v>Practice Set</v>
      </c>
      <c r="H300" s="193" t="str">
        <f>if(isblank(M300),"",vlookup(M300,Pacing!$A$1:$H$213,8))</f>
        <v/>
      </c>
      <c r="I300" s="191">
        <f t="shared" ref="I300:M300" si="318">I299</f>
        <v>128</v>
      </c>
      <c r="J300" s="191">
        <f t="shared" si="318"/>
        <v>129</v>
      </c>
      <c r="K300" s="191">
        <f t="shared" si="318"/>
        <v>130</v>
      </c>
      <c r="L300" s="191">
        <f t="shared" si="318"/>
        <v>131</v>
      </c>
      <c r="M300" s="191">
        <f t="shared" si="318"/>
        <v>132</v>
      </c>
    </row>
    <row r="301" ht="15.75" customHeight="1">
      <c r="A301" s="194"/>
      <c r="B301" s="194"/>
      <c r="C301" s="195"/>
      <c r="D301" s="196" t="s">
        <v>164</v>
      </c>
      <c r="E301" s="196" t="s">
        <v>165</v>
      </c>
      <c r="F301" s="196" t="s">
        <v>166</v>
      </c>
      <c r="G301" s="196" t="s">
        <v>167</v>
      </c>
      <c r="H301" s="196" t="s">
        <v>168</v>
      </c>
      <c r="I301" s="197">
        <f>M292+1</f>
        <v>133</v>
      </c>
      <c r="J301" s="169">
        <f t="shared" ref="J301:M301" si="319">I301+1</f>
        <v>134</v>
      </c>
      <c r="K301" s="169">
        <f t="shared" si="319"/>
        <v>135</v>
      </c>
      <c r="L301" s="169">
        <f t="shared" si="319"/>
        <v>136</v>
      </c>
      <c r="M301" s="169">
        <f t="shared" si="319"/>
        <v>137</v>
      </c>
    </row>
    <row r="302" ht="15.75" hidden="1" customHeight="1">
      <c r="A302" s="178">
        <f>B302+1</f>
        <v>331</v>
      </c>
      <c r="B302" s="178">
        <f>C302*10</f>
        <v>330</v>
      </c>
      <c r="C302" s="198">
        <f>C293+1</f>
        <v>33</v>
      </c>
      <c r="D302" s="182">
        <f>D293+7</f>
        <v>46125</v>
      </c>
      <c r="E302" s="182">
        <f t="shared" ref="E302:H302" si="320">D302+1</f>
        <v>46126</v>
      </c>
      <c r="F302" s="182">
        <f t="shared" si="320"/>
        <v>46127</v>
      </c>
      <c r="G302" s="182">
        <f t="shared" si="320"/>
        <v>46128</v>
      </c>
      <c r="H302" s="182">
        <f t="shared" si="320"/>
        <v>46129</v>
      </c>
      <c r="I302" s="174" t="s">
        <v>42</v>
      </c>
    </row>
    <row r="303" ht="15.75" customHeight="1">
      <c r="A303" s="178">
        <f>B303+2</f>
        <v>332</v>
      </c>
      <c r="B303" s="178">
        <f t="shared" ref="B303:B309" si="322">B302</f>
        <v>330</v>
      </c>
      <c r="C303" s="76"/>
      <c r="D303" s="193" t="str">
        <f>if(isblank(I303),"",vlookup(I303,Pacing!$A$1:$H$213,2))</f>
        <v>Unit 8 Sum Assess</v>
      </c>
      <c r="E303" s="193" t="str">
        <f>if(isblank(J303),"",vlookup(J303,Pacing!$A$1:$H$213,2))</f>
        <v/>
      </c>
      <c r="F303" s="193" t="str">
        <f>if(isblank(K303),"",vlookup(K303,Pacing!$A$1:$H$213,2))</f>
        <v/>
      </c>
      <c r="G303" s="193" t="str">
        <f>if(isblank(L303),"",vlookup(L303,Pacing!$A$1:$H$213,2))</f>
        <v/>
      </c>
      <c r="H303" s="193" t="str">
        <f>if(isblank(M303),"",vlookup(M303,Pacing!$A$1:$H$213,2))</f>
        <v/>
      </c>
      <c r="I303" s="191">
        <f t="shared" ref="I303:M303" si="321">I301</f>
        <v>133</v>
      </c>
      <c r="J303" s="191">
        <f t="shared" si="321"/>
        <v>134</v>
      </c>
      <c r="K303" s="191">
        <f t="shared" si="321"/>
        <v>135</v>
      </c>
      <c r="L303" s="191">
        <f t="shared" si="321"/>
        <v>136</v>
      </c>
      <c r="M303" s="191">
        <f t="shared" si="321"/>
        <v>137</v>
      </c>
    </row>
    <row r="304" ht="15.75" customHeight="1">
      <c r="A304" s="178">
        <f>B304+3</f>
        <v>333</v>
      </c>
      <c r="B304" s="178">
        <f t="shared" si="322"/>
        <v>330</v>
      </c>
      <c r="C304" s="76"/>
      <c r="D304" s="193" t="str">
        <f>if(isblank(I304),"",vlookup(I304,Pacing!$A$1:$H$213,3))</f>
        <v/>
      </c>
      <c r="E304" s="193" t="str">
        <f>if(isblank(J304),"",vlookup(J304,Pacing!$A$1:$H$213,3))</f>
        <v/>
      </c>
      <c r="F304" s="193" t="str">
        <f>if(isblank(K304),"",vlookup(K304,Pacing!$A$1:$H$213,3))</f>
        <v/>
      </c>
      <c r="G304" s="193" t="str">
        <f>if(isblank(L304),"",vlookup(L304,Pacing!$A$1:$H$213,3))</f>
        <v/>
      </c>
      <c r="H304" s="193" t="str">
        <f>if(isblank(M304),"",vlookup(M304,Pacing!$A$1:$H$213,3))</f>
        <v/>
      </c>
      <c r="I304" s="191">
        <f t="shared" ref="I304:M304" si="323">I303</f>
        <v>133</v>
      </c>
      <c r="J304" s="191">
        <f t="shared" si="323"/>
        <v>134</v>
      </c>
      <c r="K304" s="191">
        <f t="shared" si="323"/>
        <v>135</v>
      </c>
      <c r="L304" s="191">
        <f t="shared" si="323"/>
        <v>136</v>
      </c>
      <c r="M304" s="191">
        <f t="shared" si="323"/>
        <v>137</v>
      </c>
    </row>
    <row r="305" ht="15.75" customHeight="1">
      <c r="A305" s="178">
        <f>B305+4</f>
        <v>334</v>
      </c>
      <c r="B305" s="178">
        <f t="shared" si="322"/>
        <v>330</v>
      </c>
      <c r="C305" s="76"/>
      <c r="D305" s="193" t="str">
        <f>if(isblank(I305),"",vlookup(I305,Pacing!$A$1:$H$213,4))</f>
        <v/>
      </c>
      <c r="E305" s="193" t="str">
        <f>if(isblank(J305),"",vlookup(J305,Pacing!$A$1:$H$213,4))</f>
        <v/>
      </c>
      <c r="F305" s="193" t="str">
        <f>if(isblank(K305),"",vlookup(K305,Pacing!$A$1:$H$213,4))</f>
        <v/>
      </c>
      <c r="G305" s="193" t="str">
        <f>if(isblank(L305),"",vlookup(L305,Pacing!$A$1:$H$213,4))</f>
        <v/>
      </c>
      <c r="H305" s="193" t="str">
        <f>if(isblank(M305),"",vlookup(M305,Pacing!$A$1:$H$213,4))</f>
        <v/>
      </c>
      <c r="I305" s="191">
        <f t="shared" ref="I305:M305" si="324">I304</f>
        <v>133</v>
      </c>
      <c r="J305" s="191">
        <f t="shared" si="324"/>
        <v>134</v>
      </c>
      <c r="K305" s="191">
        <f t="shared" si="324"/>
        <v>135</v>
      </c>
      <c r="L305" s="191">
        <f t="shared" si="324"/>
        <v>136</v>
      </c>
      <c r="M305" s="191">
        <f t="shared" si="324"/>
        <v>137</v>
      </c>
    </row>
    <row r="306" ht="15.75" customHeight="1">
      <c r="A306" s="178">
        <f>B306+5</f>
        <v>335</v>
      </c>
      <c r="B306" s="178">
        <f t="shared" si="322"/>
        <v>330</v>
      </c>
      <c r="C306" s="76"/>
      <c r="D306" s="193" t="str">
        <f>if(isblank(I306),"",vlookup(I306,Pacing!$A$1:$H$213,5))</f>
        <v/>
      </c>
      <c r="E306" s="193" t="str">
        <f>if(isblank(J306),"",vlookup(J306,Pacing!$A$1:$H$213,5))</f>
        <v/>
      </c>
      <c r="F306" s="193" t="str">
        <f>if(isblank(K306),"",vlookup(K306,Pacing!$A$1:$H$213,5))</f>
        <v/>
      </c>
      <c r="G306" s="193" t="str">
        <f>if(isblank(L306),"",vlookup(L306,Pacing!$A$1:$H$213,5))</f>
        <v/>
      </c>
      <c r="H306" s="193" t="str">
        <f>if(isblank(M306),"",vlookup(M306,Pacing!$A$1:$H$213,5))</f>
        <v/>
      </c>
      <c r="I306" s="191">
        <f t="shared" ref="I306:M306" si="325">I305</f>
        <v>133</v>
      </c>
      <c r="J306" s="191">
        <f t="shared" si="325"/>
        <v>134</v>
      </c>
      <c r="K306" s="191">
        <f t="shared" si="325"/>
        <v>135</v>
      </c>
      <c r="L306" s="191">
        <f t="shared" si="325"/>
        <v>136</v>
      </c>
      <c r="M306" s="191">
        <f t="shared" si="325"/>
        <v>137</v>
      </c>
    </row>
    <row r="307" ht="15.75" customHeight="1">
      <c r="A307" s="178">
        <f>B307+6</f>
        <v>336</v>
      </c>
      <c r="B307" s="178">
        <f t="shared" si="322"/>
        <v>330</v>
      </c>
      <c r="C307" s="76"/>
      <c r="D307" s="214" t="str">
        <f>if(isblank(I307),"",vlookup(I307,Pacing!$A$1:$H$213,6))</f>
        <v/>
      </c>
      <c r="E307" s="214" t="str">
        <f>if(isblank(J307),"",vlookup(J307,Pacing!$A$1:$H$213,6))</f>
        <v/>
      </c>
      <c r="F307" s="214" t="str">
        <f>if(isblank(K307),"",vlookup(K307,Pacing!$A$1:$H$213,6))</f>
        <v/>
      </c>
      <c r="G307" s="214" t="str">
        <f>if(isblank(L307),"",vlookup(L307,Pacing!$A$1:$H$213,6))</f>
        <v/>
      </c>
      <c r="H307" s="214" t="str">
        <f>if(isblank(M307),"",vlookup(M307,Pacing!$A$1:$H$213,6))</f>
        <v/>
      </c>
      <c r="I307" s="191">
        <f t="shared" ref="I307:M307" si="326">I306</f>
        <v>133</v>
      </c>
      <c r="J307" s="191">
        <f t="shared" si="326"/>
        <v>134</v>
      </c>
      <c r="K307" s="191">
        <f t="shared" si="326"/>
        <v>135</v>
      </c>
      <c r="L307" s="191">
        <f t="shared" si="326"/>
        <v>136</v>
      </c>
      <c r="M307" s="191">
        <f t="shared" si="326"/>
        <v>137</v>
      </c>
    </row>
    <row r="308" ht="15.75" hidden="1" customHeight="1">
      <c r="A308" s="178">
        <f>B308+7</f>
        <v>337</v>
      </c>
      <c r="B308" s="178">
        <f t="shared" si="322"/>
        <v>330</v>
      </c>
      <c r="C308" s="76"/>
      <c r="D308" s="193" t="str">
        <f>if(isblank(I308),"",vlookup(I308,Pacing!$A$1:$H$213,7))</f>
        <v/>
      </c>
      <c r="E308" s="193" t="str">
        <f>if(isblank(J308),"",vlookup(J308,Pacing!$A$1:$H$213,7))</f>
        <v/>
      </c>
      <c r="F308" s="193" t="str">
        <f>if(isblank(K308),"",vlookup(K308,Pacing!$A$1:$H$213,7))</f>
        <v/>
      </c>
      <c r="G308" s="193" t="str">
        <f>if(isblank(L308),"",vlookup(L308,Pacing!$A$1:$H$213,7))</f>
        <v/>
      </c>
      <c r="H308" s="193" t="str">
        <f>if(isblank(M308),"",vlookup(M308,Pacing!$A$1:$H$213,7))</f>
        <v/>
      </c>
      <c r="I308" s="191">
        <f t="shared" ref="I308:M308" si="327">I307</f>
        <v>133</v>
      </c>
      <c r="J308" s="191">
        <f t="shared" si="327"/>
        <v>134</v>
      </c>
      <c r="K308" s="191">
        <f t="shared" si="327"/>
        <v>135</v>
      </c>
      <c r="L308" s="191">
        <f t="shared" si="327"/>
        <v>136</v>
      </c>
      <c r="M308" s="191">
        <f t="shared" si="327"/>
        <v>137</v>
      </c>
    </row>
    <row r="309" ht="15.75" hidden="1" customHeight="1">
      <c r="A309" s="178">
        <f>B309+8</f>
        <v>338</v>
      </c>
      <c r="B309" s="178">
        <f t="shared" si="322"/>
        <v>330</v>
      </c>
      <c r="C309" s="95"/>
      <c r="D309" s="193" t="str">
        <f>if(isblank(I309),"",vlookup(I309,Pacing!$A$1:$H$213,8))</f>
        <v/>
      </c>
      <c r="E309" s="193" t="str">
        <f>if(isblank(J309),"",vlookup(J309,Pacing!$A$1:$H$213,8))</f>
        <v/>
      </c>
      <c r="F309" s="193" t="str">
        <f>if(isblank(K309),"",vlookup(K309,Pacing!$A$1:$H$213,8))</f>
        <v/>
      </c>
      <c r="G309" s="193" t="str">
        <f>if(isblank(L309),"",vlookup(L309,Pacing!$A$1:$H$213,8))</f>
        <v/>
      </c>
      <c r="H309" s="193" t="str">
        <f>if(isblank(M309),"",vlookup(M309,Pacing!$A$1:$H$213,8))</f>
        <v/>
      </c>
      <c r="I309" s="191">
        <f t="shared" ref="I309:M309" si="328">I308</f>
        <v>133</v>
      </c>
      <c r="J309" s="191">
        <f t="shared" si="328"/>
        <v>134</v>
      </c>
      <c r="K309" s="191">
        <f t="shared" si="328"/>
        <v>135</v>
      </c>
      <c r="L309" s="191">
        <f t="shared" si="328"/>
        <v>136</v>
      </c>
      <c r="M309" s="191">
        <f t="shared" si="328"/>
        <v>137</v>
      </c>
    </row>
    <row r="310" ht="15.75" hidden="1" customHeight="1">
      <c r="A310" s="194"/>
      <c r="B310" s="194"/>
      <c r="C310" s="194"/>
      <c r="D310" s="221"/>
      <c r="E310" s="221"/>
      <c r="F310" s="221"/>
      <c r="G310" s="221"/>
      <c r="H310" s="221"/>
      <c r="I310" s="197">
        <f>M301+1</f>
        <v>138</v>
      </c>
      <c r="J310" s="169">
        <f t="shared" ref="J310:M310" si="329">I310+1</f>
        <v>139</v>
      </c>
      <c r="K310" s="169">
        <f t="shared" si="329"/>
        <v>140</v>
      </c>
      <c r="L310" s="169">
        <f t="shared" si="329"/>
        <v>141</v>
      </c>
      <c r="M310" s="169">
        <f t="shared" si="329"/>
        <v>142</v>
      </c>
    </row>
    <row r="311" ht="15.75" hidden="1" customHeight="1">
      <c r="A311" s="178">
        <f>B311+1</f>
        <v>341</v>
      </c>
      <c r="B311" s="178">
        <f>C311*10</f>
        <v>340</v>
      </c>
      <c r="C311" s="198">
        <f>C302+1</f>
        <v>34</v>
      </c>
      <c r="D311" s="182">
        <f>D302+7</f>
        <v>46132</v>
      </c>
      <c r="E311" s="182">
        <f t="shared" ref="E311:H311" si="330">D311+1</f>
        <v>46133</v>
      </c>
      <c r="F311" s="182">
        <f t="shared" si="330"/>
        <v>46134</v>
      </c>
      <c r="G311" s="182">
        <f t="shared" si="330"/>
        <v>46135</v>
      </c>
      <c r="H311" s="182">
        <f t="shared" si="330"/>
        <v>46136</v>
      </c>
      <c r="I311" s="174" t="s">
        <v>42</v>
      </c>
    </row>
    <row r="312" ht="15.75" hidden="1" customHeight="1">
      <c r="A312" s="178">
        <f>B312+2</f>
        <v>342</v>
      </c>
      <c r="B312" s="178">
        <f t="shared" ref="B312:B318" si="332">B311</f>
        <v>340</v>
      </c>
      <c r="C312" s="76"/>
      <c r="D312" s="193" t="str">
        <f>if(isblank(I312),"",vlookup(I312,Pacing!$A$1:$H$213,2))</f>
        <v/>
      </c>
      <c r="E312" s="193" t="str">
        <f>if(isblank(J312),"",vlookup(J312,Pacing!$A$1:$H$213,2))</f>
        <v/>
      </c>
      <c r="F312" s="193" t="str">
        <f>if(isblank(K312),"",vlookup(K312,Pacing!$A$1:$H$213,2))</f>
        <v/>
      </c>
      <c r="G312" s="193" t="str">
        <f>if(isblank(L312),"",vlookup(L312,Pacing!$A$1:$H$213,2))</f>
        <v/>
      </c>
      <c r="H312" s="193" t="str">
        <f>if(isblank(M312),"",vlookup(M312,Pacing!$A$1:$H$213,2))</f>
        <v/>
      </c>
      <c r="I312" s="191">
        <f t="shared" ref="I312:M312" si="331">I310</f>
        <v>138</v>
      </c>
      <c r="J312" s="191">
        <f t="shared" si="331"/>
        <v>139</v>
      </c>
      <c r="K312" s="191">
        <f t="shared" si="331"/>
        <v>140</v>
      </c>
      <c r="L312" s="191">
        <f t="shared" si="331"/>
        <v>141</v>
      </c>
      <c r="M312" s="191">
        <f t="shared" si="331"/>
        <v>142</v>
      </c>
    </row>
    <row r="313" ht="15.75" hidden="1" customHeight="1">
      <c r="A313" s="178">
        <f>B313+3</f>
        <v>343</v>
      </c>
      <c r="B313" s="178">
        <f t="shared" si="332"/>
        <v>340</v>
      </c>
      <c r="C313" s="76"/>
      <c r="D313" s="193" t="str">
        <f>if(isblank(I313),"",vlookup(I313,Pacing!$A$1:$H$213,3))</f>
        <v/>
      </c>
      <c r="E313" s="193" t="str">
        <f>if(isblank(J313),"",vlookup(J313,Pacing!$A$1:$H$213,3))</f>
        <v/>
      </c>
      <c r="F313" s="193" t="str">
        <f>if(isblank(K313),"",vlookup(K313,Pacing!$A$1:$H$213,3))</f>
        <v/>
      </c>
      <c r="G313" s="193" t="str">
        <f>if(isblank(L313),"",vlookup(L313,Pacing!$A$1:$H$213,3))</f>
        <v/>
      </c>
      <c r="H313" s="193" t="str">
        <f>if(isblank(M313),"",vlookup(M313,Pacing!$A$1:$H$213,3))</f>
        <v/>
      </c>
      <c r="I313" s="191">
        <f t="shared" ref="I313:M313" si="333">I312</f>
        <v>138</v>
      </c>
      <c r="J313" s="191">
        <f t="shared" si="333"/>
        <v>139</v>
      </c>
      <c r="K313" s="191">
        <f t="shared" si="333"/>
        <v>140</v>
      </c>
      <c r="L313" s="191">
        <f t="shared" si="333"/>
        <v>141</v>
      </c>
      <c r="M313" s="191">
        <f t="shared" si="333"/>
        <v>142</v>
      </c>
    </row>
    <row r="314" ht="15.75" hidden="1" customHeight="1">
      <c r="A314" s="178">
        <f>B314+4</f>
        <v>344</v>
      </c>
      <c r="B314" s="178">
        <f t="shared" si="332"/>
        <v>340</v>
      </c>
      <c r="C314" s="76"/>
      <c r="D314" s="193" t="str">
        <f>if(isblank(I314),"",vlookup(I314,Pacing!$A$1:$H$213,4))</f>
        <v/>
      </c>
      <c r="E314" s="193" t="str">
        <f>if(isblank(J314),"",vlookup(J314,Pacing!$A$1:$H$213,4))</f>
        <v/>
      </c>
      <c r="F314" s="193" t="str">
        <f>if(isblank(K314),"",vlookup(K314,Pacing!$A$1:$H$213,4))</f>
        <v/>
      </c>
      <c r="G314" s="193" t="str">
        <f>if(isblank(L314),"",vlookup(L314,Pacing!$A$1:$H$213,4))</f>
        <v/>
      </c>
      <c r="H314" s="193" t="str">
        <f>if(isblank(M314),"",vlookup(M314,Pacing!$A$1:$H$213,4))</f>
        <v/>
      </c>
      <c r="I314" s="191">
        <f t="shared" ref="I314:M314" si="334">I313</f>
        <v>138</v>
      </c>
      <c r="J314" s="191">
        <f t="shared" si="334"/>
        <v>139</v>
      </c>
      <c r="K314" s="191">
        <f t="shared" si="334"/>
        <v>140</v>
      </c>
      <c r="L314" s="191">
        <f t="shared" si="334"/>
        <v>141</v>
      </c>
      <c r="M314" s="191">
        <f t="shared" si="334"/>
        <v>142</v>
      </c>
    </row>
    <row r="315" ht="15.75" hidden="1" customHeight="1">
      <c r="A315" s="178">
        <f>B315+5</f>
        <v>345</v>
      </c>
      <c r="B315" s="178">
        <f t="shared" si="332"/>
        <v>340</v>
      </c>
      <c r="C315" s="76"/>
      <c r="D315" s="193" t="str">
        <f>if(isblank(I315),"",vlookup(I315,Pacing!$A$1:$H$213,5))</f>
        <v/>
      </c>
      <c r="E315" s="193" t="str">
        <f>if(isblank(J315),"",vlookup(J315,Pacing!$A$1:$H$213,5))</f>
        <v/>
      </c>
      <c r="F315" s="193" t="str">
        <f>if(isblank(K315),"",vlookup(K315,Pacing!$A$1:$H$213,5))</f>
        <v/>
      </c>
      <c r="G315" s="193" t="str">
        <f>if(isblank(L315),"",vlookup(L315,Pacing!$A$1:$H$213,5))</f>
        <v/>
      </c>
      <c r="H315" s="193" t="str">
        <f>if(isblank(M315),"",vlookup(M315,Pacing!$A$1:$H$213,5))</f>
        <v/>
      </c>
      <c r="I315" s="191">
        <f t="shared" ref="I315:M315" si="335">I314</f>
        <v>138</v>
      </c>
      <c r="J315" s="191">
        <f t="shared" si="335"/>
        <v>139</v>
      </c>
      <c r="K315" s="191">
        <f t="shared" si="335"/>
        <v>140</v>
      </c>
      <c r="L315" s="191">
        <f t="shared" si="335"/>
        <v>141</v>
      </c>
      <c r="M315" s="191">
        <f t="shared" si="335"/>
        <v>142</v>
      </c>
    </row>
    <row r="316" ht="15.75" hidden="1" customHeight="1">
      <c r="A316" s="178">
        <f>B316+6</f>
        <v>346</v>
      </c>
      <c r="B316" s="178">
        <f t="shared" si="332"/>
        <v>340</v>
      </c>
      <c r="C316" s="76"/>
      <c r="D316" s="193" t="str">
        <f>if(isblank(I316),"",vlookup(I316,Pacing!$A$1:$H$213,6))</f>
        <v/>
      </c>
      <c r="E316" s="193" t="str">
        <f>if(isblank(J316),"",vlookup(J316,Pacing!$A$1:$H$213,6))</f>
        <v/>
      </c>
      <c r="F316" s="193" t="str">
        <f>if(isblank(K316),"",vlookup(K316,Pacing!$A$1:$H$213,6))</f>
        <v/>
      </c>
      <c r="G316" s="193" t="str">
        <f>if(isblank(L316),"",vlookup(L316,Pacing!$A$1:$H$213,6))</f>
        <v/>
      </c>
      <c r="H316" s="193" t="str">
        <f>if(isblank(M316),"",vlookup(M316,Pacing!$A$1:$H$213,6))</f>
        <v/>
      </c>
      <c r="I316" s="191">
        <f t="shared" ref="I316:M316" si="336">I315</f>
        <v>138</v>
      </c>
      <c r="J316" s="191">
        <f t="shared" si="336"/>
        <v>139</v>
      </c>
      <c r="K316" s="191">
        <f t="shared" si="336"/>
        <v>140</v>
      </c>
      <c r="L316" s="191">
        <f t="shared" si="336"/>
        <v>141</v>
      </c>
      <c r="M316" s="191">
        <f t="shared" si="336"/>
        <v>142</v>
      </c>
    </row>
    <row r="317" ht="15.75" hidden="1" customHeight="1">
      <c r="A317" s="178">
        <f>B317+7</f>
        <v>347</v>
      </c>
      <c r="B317" s="178">
        <f t="shared" si="332"/>
        <v>340</v>
      </c>
      <c r="C317" s="76"/>
      <c r="D317" s="193" t="str">
        <f>if(isblank(I317),"",vlookup(I317,Pacing!$A$1:$H$213,7))</f>
        <v/>
      </c>
      <c r="E317" s="193" t="str">
        <f>if(isblank(J317),"",vlookup(J317,Pacing!$A$1:$H$213,7))</f>
        <v/>
      </c>
      <c r="F317" s="193" t="str">
        <f>if(isblank(K317),"",vlookup(K317,Pacing!$A$1:$H$213,7))</f>
        <v/>
      </c>
      <c r="G317" s="193" t="str">
        <f>if(isblank(L317),"",vlookup(L317,Pacing!$A$1:$H$213,7))</f>
        <v/>
      </c>
      <c r="H317" s="193" t="str">
        <f>if(isblank(M317),"",vlookup(M317,Pacing!$A$1:$H$213,7))</f>
        <v/>
      </c>
      <c r="I317" s="191">
        <f t="shared" ref="I317:M317" si="337">I316</f>
        <v>138</v>
      </c>
      <c r="J317" s="191">
        <f t="shared" si="337"/>
        <v>139</v>
      </c>
      <c r="K317" s="191">
        <f t="shared" si="337"/>
        <v>140</v>
      </c>
      <c r="L317" s="191">
        <f t="shared" si="337"/>
        <v>141</v>
      </c>
      <c r="M317" s="191">
        <f t="shared" si="337"/>
        <v>142</v>
      </c>
    </row>
    <row r="318" ht="15.75" hidden="1" customHeight="1">
      <c r="A318" s="178">
        <f>B318+8</f>
        <v>348</v>
      </c>
      <c r="B318" s="178">
        <f t="shared" si="332"/>
        <v>340</v>
      </c>
      <c r="C318" s="95"/>
      <c r="D318" s="193" t="str">
        <f>if(isblank(I318),"",vlookup(I318,Pacing!$A$1:$H$213,8))</f>
        <v/>
      </c>
      <c r="E318" s="193" t="str">
        <f>if(isblank(J318),"",vlookup(J318,Pacing!$A$1:$H$213,8))</f>
        <v/>
      </c>
      <c r="F318" s="193" t="str">
        <f>if(isblank(K318),"",vlookup(K318,Pacing!$A$1:$H$213,8))</f>
        <v/>
      </c>
      <c r="G318" s="193" t="str">
        <f>if(isblank(L318),"",vlookup(L318,Pacing!$A$1:$H$213,8))</f>
        <v/>
      </c>
      <c r="H318" s="193" t="str">
        <f>if(isblank(M318),"",vlookup(M318,Pacing!$A$1:$H$213,8))</f>
        <v/>
      </c>
      <c r="I318" s="191">
        <f t="shared" ref="I318:M318" si="338">I317</f>
        <v>138</v>
      </c>
      <c r="J318" s="191">
        <f t="shared" si="338"/>
        <v>139</v>
      </c>
      <c r="K318" s="191">
        <f t="shared" si="338"/>
        <v>140</v>
      </c>
      <c r="L318" s="191">
        <f t="shared" si="338"/>
        <v>141</v>
      </c>
      <c r="M318" s="191">
        <f t="shared" si="338"/>
        <v>142</v>
      </c>
    </row>
    <row r="319" ht="15.75" hidden="1" customHeight="1">
      <c r="A319" s="194"/>
      <c r="B319" s="194"/>
      <c r="C319" s="195"/>
      <c r="D319" s="222"/>
      <c r="E319" s="222"/>
      <c r="F319" s="222"/>
      <c r="G319" s="222"/>
      <c r="H319" s="222"/>
      <c r="I319" s="197">
        <f>M310+1</f>
        <v>143</v>
      </c>
      <c r="J319" s="169">
        <f t="shared" ref="J319:M319" si="339">I319+1</f>
        <v>144</v>
      </c>
      <c r="K319" s="169">
        <f t="shared" si="339"/>
        <v>145</v>
      </c>
      <c r="L319" s="169">
        <f t="shared" si="339"/>
        <v>146</v>
      </c>
      <c r="M319" s="169">
        <f t="shared" si="339"/>
        <v>147</v>
      </c>
    </row>
    <row r="320" ht="15.75" hidden="1" customHeight="1">
      <c r="A320" s="178">
        <f>B320+1</f>
        <v>351</v>
      </c>
      <c r="B320" s="178">
        <f>C320*10</f>
        <v>350</v>
      </c>
      <c r="C320" s="198">
        <f>C311+1</f>
        <v>35</v>
      </c>
      <c r="D320" s="182">
        <f>D311+7</f>
        <v>46139</v>
      </c>
      <c r="E320" s="182">
        <f t="shared" ref="E320:H320" si="340">D320+1</f>
        <v>46140</v>
      </c>
      <c r="F320" s="182">
        <f t="shared" si="340"/>
        <v>46141</v>
      </c>
      <c r="G320" s="182">
        <f t="shared" si="340"/>
        <v>46142</v>
      </c>
      <c r="H320" s="182">
        <f t="shared" si="340"/>
        <v>46143</v>
      </c>
      <c r="I320" s="174" t="s">
        <v>42</v>
      </c>
    </row>
    <row r="321" ht="15.75" hidden="1" customHeight="1">
      <c r="A321" s="178">
        <f>B321+2</f>
        <v>352</v>
      </c>
      <c r="B321" s="178">
        <f t="shared" ref="B321:B327" si="342">B320</f>
        <v>350</v>
      </c>
      <c r="C321" s="76"/>
      <c r="D321" s="193" t="str">
        <f>if(isblank(I321),"",vlookup(I321,Pacing!$A$1:$H$213,2))</f>
        <v/>
      </c>
      <c r="E321" s="193" t="str">
        <f>if(isblank(J321),"",vlookup(J321,Pacing!$A$1:$H$213,2))</f>
        <v/>
      </c>
      <c r="F321" s="193" t="str">
        <f>if(isblank(K321),"",vlookup(K321,Pacing!$A$1:$H$213,2))</f>
        <v/>
      </c>
      <c r="G321" s="193" t="str">
        <f>if(isblank(L321),"",vlookup(L321,Pacing!$A$1:$H$213,2))</f>
        <v/>
      </c>
      <c r="H321" s="193" t="str">
        <f>if(isblank(M321),"",vlookup(M321,Pacing!$A$1:$H$213,2))</f>
        <v/>
      </c>
      <c r="I321" s="191">
        <f t="shared" ref="I321:M321" si="341">I319</f>
        <v>143</v>
      </c>
      <c r="J321" s="191">
        <f t="shared" si="341"/>
        <v>144</v>
      </c>
      <c r="K321" s="191">
        <f t="shared" si="341"/>
        <v>145</v>
      </c>
      <c r="L321" s="191">
        <f t="shared" si="341"/>
        <v>146</v>
      </c>
      <c r="M321" s="191">
        <f t="shared" si="341"/>
        <v>147</v>
      </c>
    </row>
    <row r="322" ht="15.75" hidden="1" customHeight="1">
      <c r="A322" s="178">
        <f>B322+3</f>
        <v>353</v>
      </c>
      <c r="B322" s="178">
        <f t="shared" si="342"/>
        <v>350</v>
      </c>
      <c r="C322" s="76"/>
      <c r="D322" s="193" t="str">
        <f>if(isblank(I322),"",vlookup(I322,Pacing!$A$1:$H$213,3))</f>
        <v/>
      </c>
      <c r="E322" s="193" t="str">
        <f>if(isblank(J322),"",vlookup(J322,Pacing!$A$1:$H$213,3))</f>
        <v/>
      </c>
      <c r="F322" s="193" t="str">
        <f>if(isblank(K322),"",vlookup(K322,Pacing!$A$1:$H$213,3))</f>
        <v/>
      </c>
      <c r="G322" s="193" t="str">
        <f>if(isblank(L322),"",vlookup(L322,Pacing!$A$1:$H$213,3))</f>
        <v/>
      </c>
      <c r="H322" s="193" t="str">
        <f>if(isblank(M322),"",vlookup(M322,Pacing!$A$1:$H$213,3))</f>
        <v/>
      </c>
      <c r="I322" s="191">
        <f t="shared" ref="I322:M322" si="343">I321</f>
        <v>143</v>
      </c>
      <c r="J322" s="191">
        <f t="shared" si="343"/>
        <v>144</v>
      </c>
      <c r="K322" s="191">
        <f t="shared" si="343"/>
        <v>145</v>
      </c>
      <c r="L322" s="191">
        <f t="shared" si="343"/>
        <v>146</v>
      </c>
      <c r="M322" s="191">
        <f t="shared" si="343"/>
        <v>147</v>
      </c>
    </row>
    <row r="323" ht="15.75" hidden="1" customHeight="1">
      <c r="A323" s="178">
        <f>B323+4</f>
        <v>354</v>
      </c>
      <c r="B323" s="178">
        <f t="shared" si="342"/>
        <v>350</v>
      </c>
      <c r="C323" s="76"/>
      <c r="D323" s="193" t="str">
        <f>if(isblank(I323),"",vlookup(I323,Pacing!$A$1:$H$213,4))</f>
        <v/>
      </c>
      <c r="E323" s="193" t="str">
        <f>if(isblank(J323),"",vlookup(J323,Pacing!$A$1:$H$213,4))</f>
        <v/>
      </c>
      <c r="F323" s="193" t="str">
        <f>if(isblank(K323),"",vlookup(K323,Pacing!$A$1:$H$213,4))</f>
        <v/>
      </c>
      <c r="G323" s="193" t="str">
        <f>if(isblank(L323),"",vlookup(L323,Pacing!$A$1:$H$213,4))</f>
        <v/>
      </c>
      <c r="H323" s="193" t="str">
        <f>if(isblank(M323),"",vlookup(M323,Pacing!$A$1:$H$213,4))</f>
        <v/>
      </c>
      <c r="I323" s="191">
        <f t="shared" ref="I323:M323" si="344">I322</f>
        <v>143</v>
      </c>
      <c r="J323" s="191">
        <f t="shared" si="344"/>
        <v>144</v>
      </c>
      <c r="K323" s="191">
        <f t="shared" si="344"/>
        <v>145</v>
      </c>
      <c r="L323" s="191">
        <f t="shared" si="344"/>
        <v>146</v>
      </c>
      <c r="M323" s="191">
        <f t="shared" si="344"/>
        <v>147</v>
      </c>
    </row>
    <row r="324" ht="15.75" hidden="1" customHeight="1">
      <c r="A324" s="178">
        <f>B324+5</f>
        <v>355</v>
      </c>
      <c r="B324" s="178">
        <f t="shared" si="342"/>
        <v>350</v>
      </c>
      <c r="C324" s="76"/>
      <c r="D324" s="193" t="str">
        <f>if(isblank(I324),"",vlookup(I324,Pacing!$A$1:$H$213,5))</f>
        <v/>
      </c>
      <c r="E324" s="193" t="str">
        <f>if(isblank(J324),"",vlookup(J324,Pacing!$A$1:$H$213,5))</f>
        <v/>
      </c>
      <c r="F324" s="193" t="str">
        <f>if(isblank(K324),"",vlookup(K324,Pacing!$A$1:$H$213,5))</f>
        <v/>
      </c>
      <c r="G324" s="193" t="str">
        <f>if(isblank(L324),"",vlookup(L324,Pacing!$A$1:$H$213,5))</f>
        <v/>
      </c>
      <c r="H324" s="193" t="str">
        <f>if(isblank(M324),"",vlookup(M324,Pacing!$A$1:$H$213,5))</f>
        <v/>
      </c>
      <c r="I324" s="191">
        <f t="shared" ref="I324:M324" si="345">I323</f>
        <v>143</v>
      </c>
      <c r="J324" s="191">
        <f t="shared" si="345"/>
        <v>144</v>
      </c>
      <c r="K324" s="191">
        <f t="shared" si="345"/>
        <v>145</v>
      </c>
      <c r="L324" s="191">
        <f t="shared" si="345"/>
        <v>146</v>
      </c>
      <c r="M324" s="191">
        <f t="shared" si="345"/>
        <v>147</v>
      </c>
    </row>
    <row r="325" ht="15.75" hidden="1" customHeight="1">
      <c r="A325" s="178">
        <f>B325+6</f>
        <v>356</v>
      </c>
      <c r="B325" s="178">
        <f t="shared" si="342"/>
        <v>350</v>
      </c>
      <c r="C325" s="76"/>
      <c r="D325" s="193" t="str">
        <f>if(isblank(I325),"",vlookup(I325,Pacing!$A$1:$H$213,6))</f>
        <v/>
      </c>
      <c r="E325" s="193" t="str">
        <f>if(isblank(J325),"",vlookup(J325,Pacing!$A$1:$H$213,6))</f>
        <v/>
      </c>
      <c r="F325" s="193" t="str">
        <f>if(isblank(K325),"",vlookup(K325,Pacing!$A$1:$H$213,6))</f>
        <v/>
      </c>
      <c r="G325" s="193" t="str">
        <f>if(isblank(L325),"",vlookup(L325,Pacing!$A$1:$H$213,6))</f>
        <v/>
      </c>
      <c r="H325" s="193" t="str">
        <f>if(isblank(M325),"",vlookup(M325,Pacing!$A$1:$H$213,6))</f>
        <v/>
      </c>
      <c r="I325" s="191">
        <f t="shared" ref="I325:M325" si="346">I324</f>
        <v>143</v>
      </c>
      <c r="J325" s="191">
        <f t="shared" si="346"/>
        <v>144</v>
      </c>
      <c r="K325" s="191">
        <f t="shared" si="346"/>
        <v>145</v>
      </c>
      <c r="L325" s="191">
        <f t="shared" si="346"/>
        <v>146</v>
      </c>
      <c r="M325" s="191">
        <f t="shared" si="346"/>
        <v>147</v>
      </c>
    </row>
    <row r="326" ht="15.75" hidden="1" customHeight="1">
      <c r="A326" s="178">
        <f>B326+7</f>
        <v>357</v>
      </c>
      <c r="B326" s="178">
        <f t="shared" si="342"/>
        <v>350</v>
      </c>
      <c r="C326" s="76"/>
      <c r="D326" s="193" t="str">
        <f>if(isblank(I326),"",vlookup(I326,Pacing!$A$1:$H$213,7))</f>
        <v/>
      </c>
      <c r="E326" s="193" t="str">
        <f>if(isblank(J326),"",vlookup(J326,Pacing!$A$1:$H$213,7))</f>
        <v/>
      </c>
      <c r="F326" s="193" t="str">
        <f>if(isblank(K326),"",vlookup(K326,Pacing!$A$1:$H$213,7))</f>
        <v/>
      </c>
      <c r="G326" s="193" t="str">
        <f>if(isblank(L326),"",vlookup(L326,Pacing!$A$1:$H$213,7))</f>
        <v/>
      </c>
      <c r="H326" s="193" t="str">
        <f>if(isblank(M326),"",vlookup(M326,Pacing!$A$1:$H$213,7))</f>
        <v/>
      </c>
      <c r="I326" s="191">
        <f t="shared" ref="I326:M326" si="347">I325</f>
        <v>143</v>
      </c>
      <c r="J326" s="191">
        <f t="shared" si="347"/>
        <v>144</v>
      </c>
      <c r="K326" s="191">
        <f t="shared" si="347"/>
        <v>145</v>
      </c>
      <c r="L326" s="191">
        <f t="shared" si="347"/>
        <v>146</v>
      </c>
      <c r="M326" s="191">
        <f t="shared" si="347"/>
        <v>147</v>
      </c>
    </row>
    <row r="327" ht="15.75" hidden="1" customHeight="1">
      <c r="A327" s="178">
        <f>B327+8</f>
        <v>358</v>
      </c>
      <c r="B327" s="178">
        <f t="shared" si="342"/>
        <v>350</v>
      </c>
      <c r="C327" s="95"/>
      <c r="D327" s="193" t="str">
        <f>if(isblank(I327),"",vlookup(I327,Pacing!$A$1:$H$213,8))</f>
        <v/>
      </c>
      <c r="E327" s="193" t="str">
        <f>if(isblank(J327),"",vlookup(J327,Pacing!$A$1:$H$213,8))</f>
        <v/>
      </c>
      <c r="F327" s="193" t="str">
        <f>if(isblank(K327),"",vlookup(K327,Pacing!$A$1:$H$213,8))</f>
        <v/>
      </c>
      <c r="G327" s="193" t="str">
        <f>if(isblank(L327),"",vlookup(L327,Pacing!$A$1:$H$213,8))</f>
        <v/>
      </c>
      <c r="H327" s="193" t="str">
        <f>if(isblank(M327),"",vlookup(M327,Pacing!$A$1:$H$213,8))</f>
        <v/>
      </c>
      <c r="I327" s="191">
        <f t="shared" ref="I327:M327" si="348">I326</f>
        <v>143</v>
      </c>
      <c r="J327" s="191">
        <f t="shared" si="348"/>
        <v>144</v>
      </c>
      <c r="K327" s="191">
        <f t="shared" si="348"/>
        <v>145</v>
      </c>
      <c r="L327" s="191">
        <f t="shared" si="348"/>
        <v>146</v>
      </c>
      <c r="M327" s="191">
        <f t="shared" si="348"/>
        <v>147</v>
      </c>
    </row>
    <row r="328" ht="15.75" hidden="1" customHeight="1">
      <c r="A328" s="194"/>
      <c r="B328" s="194"/>
      <c r="C328" s="195"/>
      <c r="D328" s="222"/>
      <c r="E328" s="222"/>
      <c r="F328" s="222"/>
      <c r="G328" s="222"/>
      <c r="H328" s="222"/>
      <c r="I328" s="197">
        <f>M319+1</f>
        <v>148</v>
      </c>
      <c r="J328" s="169">
        <f t="shared" ref="J328:M328" si="349">I328+1</f>
        <v>149</v>
      </c>
      <c r="K328" s="169">
        <f t="shared" si="349"/>
        <v>150</v>
      </c>
      <c r="L328" s="169">
        <f t="shared" si="349"/>
        <v>151</v>
      </c>
      <c r="M328" s="169">
        <f t="shared" si="349"/>
        <v>152</v>
      </c>
    </row>
    <row r="329" ht="15.75" hidden="1" customHeight="1">
      <c r="A329" s="178">
        <f>B329+1</f>
        <v>361</v>
      </c>
      <c r="B329" s="178">
        <f>C329*10</f>
        <v>360</v>
      </c>
      <c r="C329" s="198">
        <f>C320+1</f>
        <v>36</v>
      </c>
      <c r="D329" s="182">
        <f>D320+7</f>
        <v>46146</v>
      </c>
      <c r="E329" s="182">
        <f t="shared" ref="E329:H329" si="350">D329+1</f>
        <v>46147</v>
      </c>
      <c r="F329" s="182">
        <f t="shared" si="350"/>
        <v>46148</v>
      </c>
      <c r="G329" s="182">
        <f t="shared" si="350"/>
        <v>46149</v>
      </c>
      <c r="H329" s="182">
        <f t="shared" si="350"/>
        <v>46150</v>
      </c>
      <c r="I329" s="174" t="s">
        <v>42</v>
      </c>
    </row>
    <row r="330" ht="15.75" hidden="1" customHeight="1">
      <c r="A330" s="178">
        <f>B330+2</f>
        <v>362</v>
      </c>
      <c r="B330" s="178">
        <f t="shared" ref="B330:B336" si="352">B329</f>
        <v>360</v>
      </c>
      <c r="C330" s="76"/>
      <c r="D330" s="193" t="str">
        <f>if(isblank(I330),"",vlookup(I330,Pacing!$A$1:$H$213,2))</f>
        <v/>
      </c>
      <c r="E330" s="193" t="str">
        <f>if(isblank(J330),"",vlookup(J330,Pacing!$A$1:$H$213,2))</f>
        <v/>
      </c>
      <c r="F330" s="193" t="str">
        <f>if(isblank(K330),"",vlookup(K330,Pacing!$A$1:$H$213,2))</f>
        <v/>
      </c>
      <c r="G330" s="193" t="str">
        <f>if(isblank(L330),"",vlookup(L330,Pacing!$A$1:$H$213,2))</f>
        <v/>
      </c>
      <c r="H330" s="193" t="str">
        <f>if(isblank(M330),"",vlookup(M330,Pacing!$A$1:$H$213,2))</f>
        <v/>
      </c>
      <c r="I330" s="191">
        <f t="shared" ref="I330:M330" si="351">I328</f>
        <v>148</v>
      </c>
      <c r="J330" s="191">
        <f t="shared" si="351"/>
        <v>149</v>
      </c>
      <c r="K330" s="191">
        <f t="shared" si="351"/>
        <v>150</v>
      </c>
      <c r="L330" s="191">
        <f t="shared" si="351"/>
        <v>151</v>
      </c>
      <c r="M330" s="191">
        <f t="shared" si="351"/>
        <v>152</v>
      </c>
    </row>
    <row r="331" ht="15.75" hidden="1" customHeight="1">
      <c r="A331" s="178">
        <f>B331+3</f>
        <v>363</v>
      </c>
      <c r="B331" s="178">
        <f t="shared" si="352"/>
        <v>360</v>
      </c>
      <c r="C331" s="76"/>
      <c r="D331" s="193" t="str">
        <f>if(isblank(I331),"",vlookup(I331,Pacing!$A$1:$H$213,3))</f>
        <v/>
      </c>
      <c r="E331" s="193" t="str">
        <f>if(isblank(J331),"",vlookup(J331,Pacing!$A$1:$H$213,3))</f>
        <v/>
      </c>
      <c r="F331" s="193" t="str">
        <f>if(isblank(K331),"",vlookup(K331,Pacing!$A$1:$H$213,3))</f>
        <v/>
      </c>
      <c r="G331" s="193" t="str">
        <f>if(isblank(L331),"",vlookup(L331,Pacing!$A$1:$H$213,3))</f>
        <v/>
      </c>
      <c r="H331" s="193" t="str">
        <f>if(isblank(M331),"",vlookup(M331,Pacing!$A$1:$H$213,3))</f>
        <v/>
      </c>
      <c r="I331" s="191">
        <f t="shared" ref="I331:M331" si="353">I330</f>
        <v>148</v>
      </c>
      <c r="J331" s="191">
        <f t="shared" si="353"/>
        <v>149</v>
      </c>
      <c r="K331" s="191">
        <f t="shared" si="353"/>
        <v>150</v>
      </c>
      <c r="L331" s="191">
        <f t="shared" si="353"/>
        <v>151</v>
      </c>
      <c r="M331" s="191">
        <f t="shared" si="353"/>
        <v>152</v>
      </c>
    </row>
    <row r="332" ht="15.75" hidden="1" customHeight="1">
      <c r="A332" s="178">
        <f>B332+4</f>
        <v>364</v>
      </c>
      <c r="B332" s="178">
        <f t="shared" si="352"/>
        <v>360</v>
      </c>
      <c r="C332" s="76"/>
      <c r="D332" s="193" t="str">
        <f>if(isblank(I332),"",vlookup(I332,Pacing!$A$1:$H$213,4))</f>
        <v/>
      </c>
      <c r="E332" s="193" t="str">
        <f>if(isblank(J332),"",vlookup(J332,Pacing!$A$1:$H$213,4))</f>
        <v/>
      </c>
      <c r="F332" s="193" t="str">
        <f>if(isblank(K332),"",vlookup(K332,Pacing!$A$1:$H$213,4))</f>
        <v/>
      </c>
      <c r="G332" s="193" t="str">
        <f>if(isblank(L332),"",vlookup(L332,Pacing!$A$1:$H$213,4))</f>
        <v/>
      </c>
      <c r="H332" s="193" t="str">
        <f>if(isblank(M332),"",vlookup(M332,Pacing!$A$1:$H$213,4))</f>
        <v/>
      </c>
      <c r="I332" s="191">
        <f t="shared" ref="I332:M332" si="354">I331</f>
        <v>148</v>
      </c>
      <c r="J332" s="191">
        <f t="shared" si="354"/>
        <v>149</v>
      </c>
      <c r="K332" s="191">
        <f t="shared" si="354"/>
        <v>150</v>
      </c>
      <c r="L332" s="191">
        <f t="shared" si="354"/>
        <v>151</v>
      </c>
      <c r="M332" s="191">
        <f t="shared" si="354"/>
        <v>152</v>
      </c>
    </row>
    <row r="333" ht="15.75" hidden="1" customHeight="1">
      <c r="A333" s="178">
        <f>B333+5</f>
        <v>365</v>
      </c>
      <c r="B333" s="178">
        <f t="shared" si="352"/>
        <v>360</v>
      </c>
      <c r="C333" s="76"/>
      <c r="D333" s="193" t="str">
        <f>if(isblank(I333),"",vlookup(I333,Pacing!$A$1:$H$213,5))</f>
        <v/>
      </c>
      <c r="E333" s="193" t="str">
        <f>if(isblank(J333),"",vlookup(J333,Pacing!$A$1:$H$213,5))</f>
        <v/>
      </c>
      <c r="F333" s="193" t="str">
        <f>if(isblank(K333),"",vlookup(K333,Pacing!$A$1:$H$213,5))</f>
        <v/>
      </c>
      <c r="G333" s="193" t="str">
        <f>if(isblank(L333),"",vlookup(L333,Pacing!$A$1:$H$213,5))</f>
        <v/>
      </c>
      <c r="H333" s="193" t="str">
        <f>if(isblank(M333),"",vlookup(M333,Pacing!$A$1:$H$213,5))</f>
        <v/>
      </c>
      <c r="I333" s="191">
        <f t="shared" ref="I333:M333" si="355">I332</f>
        <v>148</v>
      </c>
      <c r="J333" s="191">
        <f t="shared" si="355"/>
        <v>149</v>
      </c>
      <c r="K333" s="191">
        <f t="shared" si="355"/>
        <v>150</v>
      </c>
      <c r="L333" s="191">
        <f t="shared" si="355"/>
        <v>151</v>
      </c>
      <c r="M333" s="191">
        <f t="shared" si="355"/>
        <v>152</v>
      </c>
    </row>
    <row r="334" ht="15.75" hidden="1" customHeight="1">
      <c r="A334" s="178">
        <f>B334+6</f>
        <v>366</v>
      </c>
      <c r="B334" s="178">
        <f t="shared" si="352"/>
        <v>360</v>
      </c>
      <c r="C334" s="76"/>
      <c r="D334" s="193" t="str">
        <f>if(isblank(I334),"",vlookup(I334,Pacing!$A$1:$H$213,6))</f>
        <v/>
      </c>
      <c r="E334" s="193" t="str">
        <f>if(isblank(J334),"",vlookup(J334,Pacing!$A$1:$H$213,6))</f>
        <v/>
      </c>
      <c r="F334" s="193" t="str">
        <f>if(isblank(K334),"",vlookup(K334,Pacing!$A$1:$H$213,6))</f>
        <v/>
      </c>
      <c r="G334" s="193" t="str">
        <f>if(isblank(L334),"",vlookup(L334,Pacing!$A$1:$H$213,6))</f>
        <v/>
      </c>
      <c r="H334" s="193" t="str">
        <f>if(isblank(M334),"",vlookup(M334,Pacing!$A$1:$H$213,6))</f>
        <v/>
      </c>
      <c r="I334" s="191">
        <f t="shared" ref="I334:M334" si="356">I333</f>
        <v>148</v>
      </c>
      <c r="J334" s="191">
        <f t="shared" si="356"/>
        <v>149</v>
      </c>
      <c r="K334" s="191">
        <f t="shared" si="356"/>
        <v>150</v>
      </c>
      <c r="L334" s="191">
        <f t="shared" si="356"/>
        <v>151</v>
      </c>
      <c r="M334" s="191">
        <f t="shared" si="356"/>
        <v>152</v>
      </c>
    </row>
    <row r="335" ht="15.75" hidden="1" customHeight="1">
      <c r="A335" s="178">
        <f>B335+7</f>
        <v>367</v>
      </c>
      <c r="B335" s="178">
        <f t="shared" si="352"/>
        <v>360</v>
      </c>
      <c r="C335" s="76"/>
      <c r="D335" s="193" t="str">
        <f>if(isblank(I335),"",vlookup(I335,Pacing!$A$1:$H$213,7))</f>
        <v/>
      </c>
      <c r="E335" s="193" t="str">
        <f>if(isblank(J335),"",vlookup(J335,Pacing!$A$1:$H$213,7))</f>
        <v/>
      </c>
      <c r="F335" s="193" t="str">
        <f>if(isblank(K335),"",vlookup(K335,Pacing!$A$1:$H$213,7))</f>
        <v/>
      </c>
      <c r="G335" s="193" t="str">
        <f>if(isblank(L335),"",vlookup(L335,Pacing!$A$1:$H$213,7))</f>
        <v/>
      </c>
      <c r="H335" s="193" t="str">
        <f>if(isblank(M335),"",vlookup(M335,Pacing!$A$1:$H$213,7))</f>
        <v/>
      </c>
      <c r="I335" s="191">
        <f t="shared" ref="I335:M335" si="357">I334</f>
        <v>148</v>
      </c>
      <c r="J335" s="191">
        <f t="shared" si="357"/>
        <v>149</v>
      </c>
      <c r="K335" s="191">
        <f t="shared" si="357"/>
        <v>150</v>
      </c>
      <c r="L335" s="191">
        <f t="shared" si="357"/>
        <v>151</v>
      </c>
      <c r="M335" s="191">
        <f t="shared" si="357"/>
        <v>152</v>
      </c>
    </row>
    <row r="336" ht="15.75" hidden="1" customHeight="1">
      <c r="A336" s="178">
        <f>B336+8</f>
        <v>368</v>
      </c>
      <c r="B336" s="178">
        <f t="shared" si="352"/>
        <v>360</v>
      </c>
      <c r="C336" s="95"/>
      <c r="D336" s="193" t="str">
        <f>if(isblank(I336),"",vlookup(I336,Pacing!$A$1:$H$213,8))</f>
        <v/>
      </c>
      <c r="E336" s="193" t="str">
        <f>if(isblank(J336),"",vlookup(J336,Pacing!$A$1:$H$213,8))</f>
        <v/>
      </c>
      <c r="F336" s="193" t="str">
        <f>if(isblank(K336),"",vlookup(K336,Pacing!$A$1:$H$213,8))</f>
        <v/>
      </c>
      <c r="G336" s="193" t="str">
        <f>if(isblank(L336),"",vlookup(L336,Pacing!$A$1:$H$213,8))</f>
        <v/>
      </c>
      <c r="H336" s="193" t="str">
        <f>if(isblank(M336),"",vlookup(M336,Pacing!$A$1:$H$213,8))</f>
        <v/>
      </c>
      <c r="I336" s="191">
        <f t="shared" ref="I336:M336" si="358">I335</f>
        <v>148</v>
      </c>
      <c r="J336" s="191">
        <f t="shared" si="358"/>
        <v>149</v>
      </c>
      <c r="K336" s="191">
        <f t="shared" si="358"/>
        <v>150</v>
      </c>
      <c r="L336" s="191">
        <f t="shared" si="358"/>
        <v>151</v>
      </c>
      <c r="M336" s="191">
        <f t="shared" si="358"/>
        <v>152</v>
      </c>
    </row>
    <row r="337" ht="15.75" hidden="1" customHeight="1">
      <c r="A337" s="194"/>
      <c r="B337" s="194"/>
      <c r="C337" s="195"/>
      <c r="D337" s="222"/>
      <c r="E337" s="222"/>
      <c r="F337" s="222"/>
      <c r="G337" s="222"/>
      <c r="H337" s="222"/>
      <c r="I337" s="197">
        <f>M328+1</f>
        <v>153</v>
      </c>
      <c r="J337" s="169">
        <f t="shared" ref="J337:M337" si="359">I337+1</f>
        <v>154</v>
      </c>
      <c r="K337" s="169">
        <f t="shared" si="359"/>
        <v>155</v>
      </c>
      <c r="L337" s="169">
        <f t="shared" si="359"/>
        <v>156</v>
      </c>
      <c r="M337" s="169">
        <f t="shared" si="359"/>
        <v>157</v>
      </c>
    </row>
    <row r="338" ht="15.75" hidden="1" customHeight="1">
      <c r="A338" s="178">
        <f>B338+1</f>
        <v>371</v>
      </c>
      <c r="B338" s="178">
        <f>C338*10</f>
        <v>370</v>
      </c>
      <c r="C338" s="198">
        <f>C329+1</f>
        <v>37</v>
      </c>
      <c r="D338" s="182">
        <f>D329+7</f>
        <v>46153</v>
      </c>
      <c r="E338" s="182">
        <f t="shared" ref="E338:H338" si="360">D338+1</f>
        <v>46154</v>
      </c>
      <c r="F338" s="182">
        <f t="shared" si="360"/>
        <v>46155</v>
      </c>
      <c r="G338" s="182">
        <f t="shared" si="360"/>
        <v>46156</v>
      </c>
      <c r="H338" s="182">
        <f t="shared" si="360"/>
        <v>46157</v>
      </c>
      <c r="I338" s="174" t="s">
        <v>42</v>
      </c>
    </row>
    <row r="339" ht="15.75" hidden="1" customHeight="1">
      <c r="A339" s="178">
        <f>B339+2</f>
        <v>372</v>
      </c>
      <c r="B339" s="178">
        <f t="shared" ref="B339:B345" si="362">B338</f>
        <v>370</v>
      </c>
      <c r="C339" s="76"/>
      <c r="D339" s="193" t="str">
        <f>if(isblank(I339),"",vlookup(I339,Pacing!$A$1:$H$213,2))</f>
        <v/>
      </c>
      <c r="E339" s="193" t="str">
        <f>if(isblank(J339),"",vlookup(J339,Pacing!$A$1:$H$213,2))</f>
        <v/>
      </c>
      <c r="F339" s="193" t="str">
        <f>if(isblank(K339),"",vlookup(K339,Pacing!$A$1:$H$213,2))</f>
        <v/>
      </c>
      <c r="G339" s="193" t="str">
        <f>if(isblank(L339),"",vlookup(L339,Pacing!$A$1:$H$213,2))</f>
        <v/>
      </c>
      <c r="H339" s="193" t="str">
        <f>if(isblank(M339),"",vlookup(M339,Pacing!$A$1:$H$213,2))</f>
        <v/>
      </c>
      <c r="I339" s="191">
        <f t="shared" ref="I339:M339" si="361">I337</f>
        <v>153</v>
      </c>
      <c r="J339" s="191">
        <f t="shared" si="361"/>
        <v>154</v>
      </c>
      <c r="K339" s="191">
        <f t="shared" si="361"/>
        <v>155</v>
      </c>
      <c r="L339" s="191">
        <f t="shared" si="361"/>
        <v>156</v>
      </c>
      <c r="M339" s="191">
        <f t="shared" si="361"/>
        <v>157</v>
      </c>
    </row>
    <row r="340" ht="15.75" hidden="1" customHeight="1">
      <c r="A340" s="178">
        <f>B340+3</f>
        <v>373</v>
      </c>
      <c r="B340" s="178">
        <f t="shared" si="362"/>
        <v>370</v>
      </c>
      <c r="C340" s="76"/>
      <c r="D340" s="193" t="str">
        <f>if(isblank(I340),"",vlookup(I340,Pacing!$A$1:$H$213,3))</f>
        <v/>
      </c>
      <c r="E340" s="193" t="str">
        <f>if(isblank(J340),"",vlookup(J340,Pacing!$A$1:$H$213,3))</f>
        <v/>
      </c>
      <c r="F340" s="193" t="str">
        <f>if(isblank(K340),"",vlookup(K340,Pacing!$A$1:$H$213,3))</f>
        <v/>
      </c>
      <c r="G340" s="193" t="str">
        <f>if(isblank(L340),"",vlookup(L340,Pacing!$A$1:$H$213,3))</f>
        <v/>
      </c>
      <c r="H340" s="193" t="str">
        <f>if(isblank(M340),"",vlookup(M340,Pacing!$A$1:$H$213,3))</f>
        <v/>
      </c>
      <c r="I340" s="191">
        <f t="shared" ref="I340:M340" si="363">I339</f>
        <v>153</v>
      </c>
      <c r="J340" s="191">
        <f t="shared" si="363"/>
        <v>154</v>
      </c>
      <c r="K340" s="191">
        <f t="shared" si="363"/>
        <v>155</v>
      </c>
      <c r="L340" s="191">
        <f t="shared" si="363"/>
        <v>156</v>
      </c>
      <c r="M340" s="191">
        <f t="shared" si="363"/>
        <v>157</v>
      </c>
    </row>
    <row r="341" ht="15.75" hidden="1" customHeight="1">
      <c r="A341" s="178">
        <f>B341+4</f>
        <v>374</v>
      </c>
      <c r="B341" s="178">
        <f t="shared" si="362"/>
        <v>370</v>
      </c>
      <c r="C341" s="76"/>
      <c r="D341" s="193" t="str">
        <f>if(isblank(I341),"",vlookup(I341,Pacing!$A$1:$H$213,4))</f>
        <v/>
      </c>
      <c r="E341" s="193" t="str">
        <f>if(isblank(J341),"",vlookup(J341,Pacing!$A$1:$H$213,4))</f>
        <v/>
      </c>
      <c r="F341" s="193" t="str">
        <f>if(isblank(K341),"",vlookup(K341,Pacing!$A$1:$H$213,4))</f>
        <v/>
      </c>
      <c r="G341" s="193" t="str">
        <f>if(isblank(L341),"",vlookup(L341,Pacing!$A$1:$H$213,4))</f>
        <v/>
      </c>
      <c r="H341" s="193" t="str">
        <f>if(isblank(M341),"",vlookup(M341,Pacing!$A$1:$H$213,4))</f>
        <v/>
      </c>
      <c r="I341" s="191">
        <f t="shared" ref="I341:M341" si="364">I340</f>
        <v>153</v>
      </c>
      <c r="J341" s="191">
        <f t="shared" si="364"/>
        <v>154</v>
      </c>
      <c r="K341" s="191">
        <f t="shared" si="364"/>
        <v>155</v>
      </c>
      <c r="L341" s="191">
        <f t="shared" si="364"/>
        <v>156</v>
      </c>
      <c r="M341" s="191">
        <f t="shared" si="364"/>
        <v>157</v>
      </c>
    </row>
    <row r="342" ht="15.75" hidden="1" customHeight="1">
      <c r="A342" s="178">
        <f>B342+5</f>
        <v>375</v>
      </c>
      <c r="B342" s="178">
        <f t="shared" si="362"/>
        <v>370</v>
      </c>
      <c r="C342" s="76"/>
      <c r="D342" s="193" t="str">
        <f>if(isblank(I342),"",vlookup(I342,Pacing!$A$1:$H$213,5))</f>
        <v/>
      </c>
      <c r="E342" s="193" t="str">
        <f>if(isblank(J342),"",vlookup(J342,Pacing!$A$1:$H$213,5))</f>
        <v/>
      </c>
      <c r="F342" s="193" t="str">
        <f>if(isblank(K342),"",vlookup(K342,Pacing!$A$1:$H$213,5))</f>
        <v/>
      </c>
      <c r="G342" s="193" t="str">
        <f>if(isblank(L342),"",vlookup(L342,Pacing!$A$1:$H$213,5))</f>
        <v/>
      </c>
      <c r="H342" s="193" t="str">
        <f>if(isblank(M342),"",vlookup(M342,Pacing!$A$1:$H$213,5))</f>
        <v/>
      </c>
      <c r="I342" s="191">
        <f t="shared" ref="I342:M342" si="365">I341</f>
        <v>153</v>
      </c>
      <c r="J342" s="191">
        <f t="shared" si="365"/>
        <v>154</v>
      </c>
      <c r="K342" s="191">
        <f t="shared" si="365"/>
        <v>155</v>
      </c>
      <c r="L342" s="191">
        <f t="shared" si="365"/>
        <v>156</v>
      </c>
      <c r="M342" s="191">
        <f t="shared" si="365"/>
        <v>157</v>
      </c>
    </row>
    <row r="343" ht="15.75" hidden="1" customHeight="1">
      <c r="A343" s="178">
        <f>B343+6</f>
        <v>376</v>
      </c>
      <c r="B343" s="178">
        <f t="shared" si="362"/>
        <v>370</v>
      </c>
      <c r="C343" s="76"/>
      <c r="D343" s="193" t="str">
        <f>if(isblank(I343),"",vlookup(I343,Pacing!$A$1:$H$213,6))</f>
        <v/>
      </c>
      <c r="E343" s="193" t="str">
        <f>if(isblank(J343),"",vlookup(J343,Pacing!$A$1:$H$213,6))</f>
        <v/>
      </c>
      <c r="F343" s="193" t="str">
        <f>if(isblank(K343),"",vlookup(K343,Pacing!$A$1:$H$213,6))</f>
        <v/>
      </c>
      <c r="G343" s="193" t="str">
        <f>if(isblank(L343),"",vlookup(L343,Pacing!$A$1:$H$213,6))</f>
        <v/>
      </c>
      <c r="H343" s="193" t="str">
        <f>if(isblank(M343),"",vlookup(M343,Pacing!$A$1:$H$213,6))</f>
        <v/>
      </c>
      <c r="I343" s="191">
        <f t="shared" ref="I343:M343" si="366">I342</f>
        <v>153</v>
      </c>
      <c r="J343" s="191">
        <f t="shared" si="366"/>
        <v>154</v>
      </c>
      <c r="K343" s="191">
        <f t="shared" si="366"/>
        <v>155</v>
      </c>
      <c r="L343" s="191">
        <f t="shared" si="366"/>
        <v>156</v>
      </c>
      <c r="M343" s="191">
        <f t="shared" si="366"/>
        <v>157</v>
      </c>
    </row>
    <row r="344" ht="15.75" hidden="1" customHeight="1">
      <c r="A344" s="178">
        <f>B344+7</f>
        <v>377</v>
      </c>
      <c r="B344" s="178">
        <f t="shared" si="362"/>
        <v>370</v>
      </c>
      <c r="C344" s="76"/>
      <c r="D344" s="193" t="str">
        <f>if(isblank(I344),"",vlookup(I344,Pacing!$A$1:$H$213,7))</f>
        <v/>
      </c>
      <c r="E344" s="193" t="str">
        <f>if(isblank(J344),"",vlookup(J344,Pacing!$A$1:$H$213,7))</f>
        <v/>
      </c>
      <c r="F344" s="193" t="str">
        <f>if(isblank(K344),"",vlookup(K344,Pacing!$A$1:$H$213,7))</f>
        <v/>
      </c>
      <c r="G344" s="193" t="str">
        <f>if(isblank(L344),"",vlookup(L344,Pacing!$A$1:$H$213,7))</f>
        <v/>
      </c>
      <c r="H344" s="193" t="str">
        <f>if(isblank(M344),"",vlookup(M344,Pacing!$A$1:$H$213,7))</f>
        <v/>
      </c>
      <c r="I344" s="191">
        <f t="shared" ref="I344:M344" si="367">I343</f>
        <v>153</v>
      </c>
      <c r="J344" s="191">
        <f t="shared" si="367"/>
        <v>154</v>
      </c>
      <c r="K344" s="191">
        <f t="shared" si="367"/>
        <v>155</v>
      </c>
      <c r="L344" s="191">
        <f t="shared" si="367"/>
        <v>156</v>
      </c>
      <c r="M344" s="191">
        <f t="shared" si="367"/>
        <v>157</v>
      </c>
    </row>
    <row r="345" ht="15.75" hidden="1" customHeight="1">
      <c r="A345" s="178">
        <f>B345+8</f>
        <v>378</v>
      </c>
      <c r="B345" s="178">
        <f t="shared" si="362"/>
        <v>370</v>
      </c>
      <c r="C345" s="95"/>
      <c r="D345" s="193" t="str">
        <f>if(isblank(I345),"",vlookup(I345,Pacing!$A$1:$H$213,8))</f>
        <v/>
      </c>
      <c r="E345" s="193" t="str">
        <f>if(isblank(J345),"",vlookup(J345,Pacing!$A$1:$H$213,8))</f>
        <v/>
      </c>
      <c r="F345" s="193" t="str">
        <f>if(isblank(K345),"",vlookup(K345,Pacing!$A$1:$H$213,8))</f>
        <v/>
      </c>
      <c r="G345" s="193" t="str">
        <f>if(isblank(L345),"",vlookup(L345,Pacing!$A$1:$H$213,8))</f>
        <v/>
      </c>
      <c r="H345" s="193" t="str">
        <f>if(isblank(M345),"",vlookup(M345,Pacing!$A$1:$H$213,8))</f>
        <v/>
      </c>
      <c r="I345" s="191">
        <f t="shared" ref="I345:M345" si="368">I344</f>
        <v>153</v>
      </c>
      <c r="J345" s="191">
        <f t="shared" si="368"/>
        <v>154</v>
      </c>
      <c r="K345" s="191">
        <f t="shared" si="368"/>
        <v>155</v>
      </c>
      <c r="L345" s="191">
        <f t="shared" si="368"/>
        <v>156</v>
      </c>
      <c r="M345" s="191">
        <f t="shared" si="368"/>
        <v>157</v>
      </c>
    </row>
    <row r="346" ht="15.75" hidden="1" customHeight="1">
      <c r="A346" s="194"/>
      <c r="B346" s="194"/>
      <c r="C346" s="195"/>
      <c r="D346" s="222"/>
      <c r="E346" s="222"/>
      <c r="F346" s="222"/>
      <c r="G346" s="222"/>
      <c r="H346" s="222"/>
      <c r="I346" s="197">
        <f>M337+1</f>
        <v>158</v>
      </c>
      <c r="J346" s="169">
        <f t="shared" ref="J346:M346" si="369">I346+1</f>
        <v>159</v>
      </c>
      <c r="K346" s="169">
        <f t="shared" si="369"/>
        <v>160</v>
      </c>
      <c r="L346" s="169">
        <f t="shared" si="369"/>
        <v>161</v>
      </c>
      <c r="M346" s="169">
        <f t="shared" si="369"/>
        <v>162</v>
      </c>
    </row>
    <row r="347" ht="15.75" hidden="1" customHeight="1">
      <c r="A347" s="178">
        <f>B347+1</f>
        <v>381</v>
      </c>
      <c r="B347" s="178">
        <f>C347*10</f>
        <v>380</v>
      </c>
      <c r="C347" s="198">
        <f>C338+1</f>
        <v>38</v>
      </c>
      <c r="D347" s="182">
        <f>D338+7</f>
        <v>46160</v>
      </c>
      <c r="E347" s="182">
        <f t="shared" ref="E347:H347" si="370">D347+1</f>
        <v>46161</v>
      </c>
      <c r="F347" s="182">
        <f t="shared" si="370"/>
        <v>46162</v>
      </c>
      <c r="G347" s="182">
        <f t="shared" si="370"/>
        <v>46163</v>
      </c>
      <c r="H347" s="182">
        <f t="shared" si="370"/>
        <v>46164</v>
      </c>
      <c r="I347" s="174" t="s">
        <v>42</v>
      </c>
    </row>
    <row r="348" ht="15.75" hidden="1" customHeight="1">
      <c r="A348" s="178">
        <f>B348+2</f>
        <v>382</v>
      </c>
      <c r="B348" s="178">
        <f t="shared" ref="B348:B354" si="372">B347</f>
        <v>380</v>
      </c>
      <c r="C348" s="76"/>
      <c r="D348" s="193" t="str">
        <f>if(isblank(I348),"",vlookup(I348,Pacing!$A$1:$H$213,2))</f>
        <v/>
      </c>
      <c r="E348" s="193" t="str">
        <f>if(isblank(J348),"",vlookup(J348,Pacing!$A$1:$H$213,2))</f>
        <v/>
      </c>
      <c r="F348" s="193" t="str">
        <f>if(isblank(K348),"",vlookup(K348,Pacing!$A$1:$H$213,2))</f>
        <v/>
      </c>
      <c r="G348" s="193" t="str">
        <f>if(isblank(L348),"",vlookup(L348,Pacing!$A$1:$H$213,2))</f>
        <v/>
      </c>
      <c r="H348" s="193" t="str">
        <f>if(isblank(M348),"",vlookup(M348,Pacing!$A$1:$H$213,2))</f>
        <v/>
      </c>
      <c r="I348" s="191">
        <f t="shared" ref="I348:M348" si="371">I346</f>
        <v>158</v>
      </c>
      <c r="J348" s="191">
        <f t="shared" si="371"/>
        <v>159</v>
      </c>
      <c r="K348" s="191">
        <f t="shared" si="371"/>
        <v>160</v>
      </c>
      <c r="L348" s="191">
        <f t="shared" si="371"/>
        <v>161</v>
      </c>
      <c r="M348" s="191">
        <f t="shared" si="371"/>
        <v>162</v>
      </c>
    </row>
    <row r="349" ht="15.75" hidden="1" customHeight="1">
      <c r="A349" s="178">
        <f>B349+3</f>
        <v>383</v>
      </c>
      <c r="B349" s="178">
        <f t="shared" si="372"/>
        <v>380</v>
      </c>
      <c r="C349" s="76"/>
      <c r="D349" s="193" t="str">
        <f>if(isblank(I349),"",vlookup(I349,Pacing!$A$1:$H$213,3))</f>
        <v/>
      </c>
      <c r="E349" s="193" t="str">
        <f>if(isblank(J349),"",vlookup(J349,Pacing!$A$1:$H$213,3))</f>
        <v/>
      </c>
      <c r="F349" s="193" t="str">
        <f>if(isblank(K349),"",vlookup(K349,Pacing!$A$1:$H$213,3))</f>
        <v/>
      </c>
      <c r="G349" s="193" t="str">
        <f>if(isblank(L349),"",vlookup(L349,Pacing!$A$1:$H$213,3))</f>
        <v/>
      </c>
      <c r="H349" s="193" t="str">
        <f>if(isblank(M349),"",vlookup(M349,Pacing!$A$1:$H$213,3))</f>
        <v/>
      </c>
      <c r="I349" s="191">
        <f t="shared" ref="I349:M349" si="373">I348</f>
        <v>158</v>
      </c>
      <c r="J349" s="191">
        <f t="shared" si="373"/>
        <v>159</v>
      </c>
      <c r="K349" s="191">
        <f t="shared" si="373"/>
        <v>160</v>
      </c>
      <c r="L349" s="191">
        <f t="shared" si="373"/>
        <v>161</v>
      </c>
      <c r="M349" s="191">
        <f t="shared" si="373"/>
        <v>162</v>
      </c>
    </row>
    <row r="350" ht="15.75" hidden="1" customHeight="1">
      <c r="A350" s="178">
        <f>B350+4</f>
        <v>384</v>
      </c>
      <c r="B350" s="178">
        <f t="shared" si="372"/>
        <v>380</v>
      </c>
      <c r="C350" s="76"/>
      <c r="D350" s="193" t="str">
        <f>if(isblank(I350),"",vlookup(I350,Pacing!$A$1:$H$213,4))</f>
        <v/>
      </c>
      <c r="E350" s="193" t="str">
        <f>if(isblank(J350),"",vlookup(J350,Pacing!$A$1:$H$213,4))</f>
        <v/>
      </c>
      <c r="F350" s="193" t="str">
        <f>if(isblank(K350),"",vlookup(K350,Pacing!$A$1:$H$213,4))</f>
        <v/>
      </c>
      <c r="G350" s="193" t="str">
        <f>if(isblank(L350),"",vlookup(L350,Pacing!$A$1:$H$213,4))</f>
        <v/>
      </c>
      <c r="H350" s="193" t="str">
        <f>if(isblank(M350),"",vlookup(M350,Pacing!$A$1:$H$213,4))</f>
        <v/>
      </c>
      <c r="I350" s="191">
        <f t="shared" ref="I350:M350" si="374">I349</f>
        <v>158</v>
      </c>
      <c r="J350" s="191">
        <f t="shared" si="374"/>
        <v>159</v>
      </c>
      <c r="K350" s="191">
        <f t="shared" si="374"/>
        <v>160</v>
      </c>
      <c r="L350" s="191">
        <f t="shared" si="374"/>
        <v>161</v>
      </c>
      <c r="M350" s="191">
        <f t="shared" si="374"/>
        <v>162</v>
      </c>
    </row>
    <row r="351" ht="15.75" hidden="1" customHeight="1">
      <c r="A351" s="178">
        <f>B351+5</f>
        <v>385</v>
      </c>
      <c r="B351" s="178">
        <f t="shared" si="372"/>
        <v>380</v>
      </c>
      <c r="C351" s="76"/>
      <c r="D351" s="193" t="str">
        <f>if(isblank(I351),"",vlookup(I351,Pacing!$A$1:$H$213,5))</f>
        <v/>
      </c>
      <c r="E351" s="193" t="str">
        <f>if(isblank(J351),"",vlookup(J351,Pacing!$A$1:$H$213,5))</f>
        <v/>
      </c>
      <c r="F351" s="193" t="str">
        <f>if(isblank(K351),"",vlookup(K351,Pacing!$A$1:$H$213,5))</f>
        <v/>
      </c>
      <c r="G351" s="193" t="str">
        <f>if(isblank(L351),"",vlookup(L351,Pacing!$A$1:$H$213,5))</f>
        <v/>
      </c>
      <c r="H351" s="193" t="str">
        <f>if(isblank(M351),"",vlookup(M351,Pacing!$A$1:$H$213,5))</f>
        <v/>
      </c>
      <c r="I351" s="191">
        <f t="shared" ref="I351:M351" si="375">I350</f>
        <v>158</v>
      </c>
      <c r="J351" s="191">
        <f t="shared" si="375"/>
        <v>159</v>
      </c>
      <c r="K351" s="191">
        <f t="shared" si="375"/>
        <v>160</v>
      </c>
      <c r="L351" s="191">
        <f t="shared" si="375"/>
        <v>161</v>
      </c>
      <c r="M351" s="191">
        <f t="shared" si="375"/>
        <v>162</v>
      </c>
    </row>
    <row r="352" ht="15.75" hidden="1" customHeight="1">
      <c r="A352" s="178">
        <f>B352+6</f>
        <v>386</v>
      </c>
      <c r="B352" s="178">
        <f t="shared" si="372"/>
        <v>380</v>
      </c>
      <c r="C352" s="76"/>
      <c r="D352" s="193" t="str">
        <f>if(isblank(I352),"",vlookup(I352,Pacing!$A$1:$H$213,6))</f>
        <v/>
      </c>
      <c r="E352" s="193" t="str">
        <f>if(isblank(J352),"",vlookup(J352,Pacing!$A$1:$H$213,6))</f>
        <v/>
      </c>
      <c r="F352" s="193" t="str">
        <f>if(isblank(K352),"",vlookup(K352,Pacing!$A$1:$H$213,6))</f>
        <v/>
      </c>
      <c r="G352" s="193" t="str">
        <f>if(isblank(L352),"",vlookup(L352,Pacing!$A$1:$H$213,6))</f>
        <v/>
      </c>
      <c r="H352" s="193" t="str">
        <f>if(isblank(M352),"",vlookup(M352,Pacing!$A$1:$H$213,6))</f>
        <v/>
      </c>
      <c r="I352" s="191">
        <f t="shared" ref="I352:M352" si="376">I351</f>
        <v>158</v>
      </c>
      <c r="J352" s="191">
        <f t="shared" si="376"/>
        <v>159</v>
      </c>
      <c r="K352" s="191">
        <f t="shared" si="376"/>
        <v>160</v>
      </c>
      <c r="L352" s="191">
        <f t="shared" si="376"/>
        <v>161</v>
      </c>
      <c r="M352" s="191">
        <f t="shared" si="376"/>
        <v>162</v>
      </c>
    </row>
    <row r="353" ht="15.75" hidden="1" customHeight="1">
      <c r="A353" s="178">
        <f>B353+7</f>
        <v>387</v>
      </c>
      <c r="B353" s="178">
        <f t="shared" si="372"/>
        <v>380</v>
      </c>
      <c r="C353" s="76"/>
      <c r="D353" s="193" t="str">
        <f>if(isblank(I353),"",vlookup(I353,Pacing!$A$1:$H$213,7))</f>
        <v/>
      </c>
      <c r="E353" s="193" t="str">
        <f>if(isblank(J353),"",vlookup(J353,Pacing!$A$1:$H$213,7))</f>
        <v/>
      </c>
      <c r="F353" s="193" t="str">
        <f>if(isblank(K353),"",vlookup(K353,Pacing!$A$1:$H$213,7))</f>
        <v/>
      </c>
      <c r="G353" s="193" t="str">
        <f>if(isblank(L353),"",vlookup(L353,Pacing!$A$1:$H$213,7))</f>
        <v/>
      </c>
      <c r="H353" s="193" t="str">
        <f>if(isblank(M353),"",vlookup(M353,Pacing!$A$1:$H$213,7))</f>
        <v/>
      </c>
      <c r="I353" s="191">
        <f t="shared" ref="I353:M353" si="377">I352</f>
        <v>158</v>
      </c>
      <c r="J353" s="191">
        <f t="shared" si="377"/>
        <v>159</v>
      </c>
      <c r="K353" s="191">
        <f t="shared" si="377"/>
        <v>160</v>
      </c>
      <c r="L353" s="191">
        <f t="shared" si="377"/>
        <v>161</v>
      </c>
      <c r="M353" s="191">
        <f t="shared" si="377"/>
        <v>162</v>
      </c>
    </row>
    <row r="354" ht="15.75" hidden="1" customHeight="1">
      <c r="A354" s="178">
        <f>B354+8</f>
        <v>388</v>
      </c>
      <c r="B354" s="178">
        <f t="shared" si="372"/>
        <v>380</v>
      </c>
      <c r="C354" s="95"/>
      <c r="D354" s="193" t="str">
        <f>if(isblank(I354),"",vlookup(I354,Pacing!$A$1:$H$213,8))</f>
        <v/>
      </c>
      <c r="E354" s="193" t="str">
        <f>if(isblank(J354),"",vlookup(J354,Pacing!$A$1:$H$213,8))</f>
        <v/>
      </c>
      <c r="F354" s="193" t="str">
        <f>if(isblank(K354),"",vlookup(K354,Pacing!$A$1:$H$213,8))</f>
        <v/>
      </c>
      <c r="G354" s="193" t="str">
        <f>if(isblank(L354),"",vlookup(L354,Pacing!$A$1:$H$213,8))</f>
        <v/>
      </c>
      <c r="H354" s="193" t="str">
        <f>if(isblank(M354),"",vlookup(M354,Pacing!$A$1:$H$213,8))</f>
        <v/>
      </c>
      <c r="I354" s="191">
        <f t="shared" ref="I354:M354" si="378">I353</f>
        <v>158</v>
      </c>
      <c r="J354" s="191">
        <f t="shared" si="378"/>
        <v>159</v>
      </c>
      <c r="K354" s="191">
        <f t="shared" si="378"/>
        <v>160</v>
      </c>
      <c r="L354" s="191">
        <f t="shared" si="378"/>
        <v>161</v>
      </c>
      <c r="M354" s="191">
        <f t="shared" si="378"/>
        <v>162</v>
      </c>
    </row>
    <row r="355" ht="15.75" hidden="1" customHeight="1">
      <c r="A355" s="194"/>
      <c r="B355" s="194"/>
      <c r="C355" s="194"/>
      <c r="D355" s="223" t="s">
        <v>201</v>
      </c>
      <c r="E355" s="221"/>
      <c r="F355" s="221"/>
      <c r="G355" s="221"/>
      <c r="H355" s="221"/>
      <c r="I355" s="197">
        <f>M346+1</f>
        <v>163</v>
      </c>
      <c r="J355" s="169">
        <f t="shared" ref="J355:M355" si="379">I355+1</f>
        <v>164</v>
      </c>
      <c r="K355" s="169">
        <f t="shared" si="379"/>
        <v>165</v>
      </c>
      <c r="L355" s="169">
        <f t="shared" si="379"/>
        <v>166</v>
      </c>
      <c r="M355" s="169">
        <f t="shared" si="379"/>
        <v>167</v>
      </c>
    </row>
    <row r="356" ht="15.75" hidden="1" customHeight="1">
      <c r="A356" s="178">
        <f>B356+1</f>
        <v>391</v>
      </c>
      <c r="B356" s="178">
        <f>C356*10</f>
        <v>390</v>
      </c>
      <c r="C356" s="198">
        <f>C347+1</f>
        <v>39</v>
      </c>
      <c r="D356" s="182">
        <f>D347+7</f>
        <v>46167</v>
      </c>
      <c r="E356" s="182">
        <f t="shared" ref="E356:H356" si="380">D356+1</f>
        <v>46168</v>
      </c>
      <c r="F356" s="182">
        <f t="shared" si="380"/>
        <v>46169</v>
      </c>
      <c r="G356" s="182">
        <f t="shared" si="380"/>
        <v>46170</v>
      </c>
      <c r="H356" s="182">
        <f t="shared" si="380"/>
        <v>46171</v>
      </c>
      <c r="I356" s="174" t="s">
        <v>42</v>
      </c>
    </row>
    <row r="357" ht="15.75" hidden="1" customHeight="1">
      <c r="A357" s="178">
        <f>B357+2</f>
        <v>392</v>
      </c>
      <c r="B357" s="178">
        <f t="shared" ref="B357:B363" si="382">B356</f>
        <v>390</v>
      </c>
      <c r="C357" s="76"/>
      <c r="D357" s="193" t="str">
        <f>if(isblank(I357),"",vlookup(I357,Pacing!$A$1:$H$213,2))</f>
        <v/>
      </c>
      <c r="E357" s="193" t="str">
        <f>if(isblank(J357),"",vlookup(J357,Pacing!$A$1:$H$213,2))</f>
        <v/>
      </c>
      <c r="F357" s="193" t="str">
        <f>if(isblank(K357),"",vlookup(K357,Pacing!$A$1:$H$213,2))</f>
        <v/>
      </c>
      <c r="G357" s="193" t="str">
        <f>if(isblank(L357),"",vlookup(L357,Pacing!$A$1:$H$213,2))</f>
        <v/>
      </c>
      <c r="H357" s="193" t="str">
        <f>if(isblank(M357),"",vlookup(M357,Pacing!$A$1:$H$213,2))</f>
        <v/>
      </c>
      <c r="I357" s="191">
        <f t="shared" ref="I357:M357" si="381">I355</f>
        <v>163</v>
      </c>
      <c r="J357" s="191">
        <f t="shared" si="381"/>
        <v>164</v>
      </c>
      <c r="K357" s="191">
        <f t="shared" si="381"/>
        <v>165</v>
      </c>
      <c r="L357" s="191">
        <f t="shared" si="381"/>
        <v>166</v>
      </c>
      <c r="M357" s="191">
        <f t="shared" si="381"/>
        <v>167</v>
      </c>
    </row>
    <row r="358" ht="15.75" hidden="1" customHeight="1">
      <c r="A358" s="178">
        <f>B358+3</f>
        <v>393</v>
      </c>
      <c r="B358" s="178">
        <f t="shared" si="382"/>
        <v>390</v>
      </c>
      <c r="C358" s="76"/>
      <c r="D358" s="193" t="str">
        <f>if(isblank(I358),"",vlookup(I358,Pacing!$A$1:$H$213,3))</f>
        <v/>
      </c>
      <c r="E358" s="193" t="str">
        <f>if(isblank(J358),"",vlookup(J358,Pacing!$A$1:$H$213,3))</f>
        <v/>
      </c>
      <c r="F358" s="193" t="str">
        <f>if(isblank(K358),"",vlookup(K358,Pacing!$A$1:$H$213,3))</f>
        <v/>
      </c>
      <c r="G358" s="193" t="str">
        <f>if(isblank(L358),"",vlookup(L358,Pacing!$A$1:$H$213,3))</f>
        <v/>
      </c>
      <c r="H358" s="193" t="str">
        <f>if(isblank(M358),"",vlookup(M358,Pacing!$A$1:$H$213,3))</f>
        <v/>
      </c>
      <c r="I358" s="191">
        <f t="shared" ref="I358:M358" si="383">I357</f>
        <v>163</v>
      </c>
      <c r="J358" s="191">
        <f t="shared" si="383"/>
        <v>164</v>
      </c>
      <c r="K358" s="191">
        <f t="shared" si="383"/>
        <v>165</v>
      </c>
      <c r="L358" s="191">
        <f t="shared" si="383"/>
        <v>166</v>
      </c>
      <c r="M358" s="191">
        <f t="shared" si="383"/>
        <v>167</v>
      </c>
    </row>
    <row r="359" ht="15.75" hidden="1" customHeight="1">
      <c r="A359" s="178">
        <f>B359+4</f>
        <v>394</v>
      </c>
      <c r="B359" s="178">
        <f t="shared" si="382"/>
        <v>390</v>
      </c>
      <c r="C359" s="76"/>
      <c r="D359" s="193" t="str">
        <f>if(isblank(I359),"",vlookup(I359,Pacing!$A$1:$H$213,4))</f>
        <v/>
      </c>
      <c r="E359" s="193" t="str">
        <f>if(isblank(J359),"",vlookup(J359,Pacing!$A$1:$H$213,4))</f>
        <v/>
      </c>
      <c r="F359" s="193" t="str">
        <f>if(isblank(K359),"",vlookup(K359,Pacing!$A$1:$H$213,4))</f>
        <v/>
      </c>
      <c r="G359" s="193" t="str">
        <f>if(isblank(L359),"",vlookup(L359,Pacing!$A$1:$H$213,4))</f>
        <v/>
      </c>
      <c r="H359" s="193" t="str">
        <f>if(isblank(M359),"",vlookup(M359,Pacing!$A$1:$H$213,4))</f>
        <v/>
      </c>
      <c r="I359" s="191">
        <f t="shared" ref="I359:M359" si="384">I358</f>
        <v>163</v>
      </c>
      <c r="J359" s="191">
        <f t="shared" si="384"/>
        <v>164</v>
      </c>
      <c r="K359" s="191">
        <f t="shared" si="384"/>
        <v>165</v>
      </c>
      <c r="L359" s="191">
        <f t="shared" si="384"/>
        <v>166</v>
      </c>
      <c r="M359" s="191">
        <f t="shared" si="384"/>
        <v>167</v>
      </c>
    </row>
    <row r="360" ht="15.75" hidden="1" customHeight="1">
      <c r="A360" s="178">
        <f>B360+5</f>
        <v>395</v>
      </c>
      <c r="B360" s="178">
        <f t="shared" si="382"/>
        <v>390</v>
      </c>
      <c r="C360" s="76"/>
      <c r="D360" s="193" t="str">
        <f>if(isblank(I360),"",vlookup(I360,Pacing!$A$1:$H$213,5))</f>
        <v/>
      </c>
      <c r="E360" s="193" t="str">
        <f>if(isblank(J360),"",vlookup(J360,Pacing!$A$1:$H$213,5))</f>
        <v/>
      </c>
      <c r="F360" s="193" t="str">
        <f>if(isblank(K360),"",vlookup(K360,Pacing!$A$1:$H$213,5))</f>
        <v/>
      </c>
      <c r="G360" s="193" t="str">
        <f>if(isblank(L360),"",vlookup(L360,Pacing!$A$1:$H$213,5))</f>
        <v/>
      </c>
      <c r="H360" s="193" t="str">
        <f>if(isblank(M360),"",vlookup(M360,Pacing!$A$1:$H$213,5))</f>
        <v/>
      </c>
      <c r="I360" s="191">
        <f t="shared" ref="I360:M360" si="385">I359</f>
        <v>163</v>
      </c>
      <c r="J360" s="191">
        <f t="shared" si="385"/>
        <v>164</v>
      </c>
      <c r="K360" s="191">
        <f t="shared" si="385"/>
        <v>165</v>
      </c>
      <c r="L360" s="191">
        <f t="shared" si="385"/>
        <v>166</v>
      </c>
      <c r="M360" s="191">
        <f t="shared" si="385"/>
        <v>167</v>
      </c>
    </row>
    <row r="361" ht="15.75" hidden="1" customHeight="1">
      <c r="A361" s="178">
        <f>B361+6</f>
        <v>396</v>
      </c>
      <c r="B361" s="178">
        <f t="shared" si="382"/>
        <v>390</v>
      </c>
      <c r="C361" s="76"/>
      <c r="D361" s="193" t="str">
        <f>if(isblank(I361),"",vlookup(I361,Pacing!$A$1:$H$213,6))</f>
        <v/>
      </c>
      <c r="E361" s="193" t="str">
        <f>if(isblank(J361),"",vlookup(J361,Pacing!$A$1:$H$213,6))</f>
        <v/>
      </c>
      <c r="F361" s="193" t="str">
        <f>if(isblank(K361),"",vlookup(K361,Pacing!$A$1:$H$213,6))</f>
        <v/>
      </c>
      <c r="G361" s="193" t="str">
        <f>if(isblank(L361),"",vlookup(L361,Pacing!$A$1:$H$213,6))</f>
        <v/>
      </c>
      <c r="H361" s="193" t="str">
        <f>if(isblank(M361),"",vlookup(M361,Pacing!$A$1:$H$213,6))</f>
        <v/>
      </c>
      <c r="I361" s="191">
        <f t="shared" ref="I361:M361" si="386">I360</f>
        <v>163</v>
      </c>
      <c r="J361" s="191">
        <f t="shared" si="386"/>
        <v>164</v>
      </c>
      <c r="K361" s="191">
        <f t="shared" si="386"/>
        <v>165</v>
      </c>
      <c r="L361" s="191">
        <f t="shared" si="386"/>
        <v>166</v>
      </c>
      <c r="M361" s="191">
        <f t="shared" si="386"/>
        <v>167</v>
      </c>
    </row>
    <row r="362" ht="15.75" hidden="1" customHeight="1">
      <c r="A362" s="178">
        <f>B362+7</f>
        <v>397</v>
      </c>
      <c r="B362" s="178">
        <f t="shared" si="382"/>
        <v>390</v>
      </c>
      <c r="C362" s="76"/>
      <c r="D362" s="193" t="str">
        <f>if(isblank(I362),"",vlookup(I362,Pacing!$A$1:$H$213,7))</f>
        <v/>
      </c>
      <c r="E362" s="193" t="str">
        <f>if(isblank(J362),"",vlookup(J362,Pacing!$A$1:$H$213,7))</f>
        <v/>
      </c>
      <c r="F362" s="193" t="str">
        <f>if(isblank(K362),"",vlookup(K362,Pacing!$A$1:$H$213,7))</f>
        <v/>
      </c>
      <c r="G362" s="193" t="str">
        <f>if(isblank(L362),"",vlookup(L362,Pacing!$A$1:$H$213,7))</f>
        <v/>
      </c>
      <c r="H362" s="193" t="str">
        <f>if(isblank(M362),"",vlookup(M362,Pacing!$A$1:$H$213,7))</f>
        <v/>
      </c>
      <c r="I362" s="191">
        <f t="shared" ref="I362:M362" si="387">I361</f>
        <v>163</v>
      </c>
      <c r="J362" s="191">
        <f t="shared" si="387"/>
        <v>164</v>
      </c>
      <c r="K362" s="191">
        <f t="shared" si="387"/>
        <v>165</v>
      </c>
      <c r="L362" s="191">
        <f t="shared" si="387"/>
        <v>166</v>
      </c>
      <c r="M362" s="191">
        <f t="shared" si="387"/>
        <v>167</v>
      </c>
    </row>
    <row r="363" ht="15.75" hidden="1" customHeight="1">
      <c r="A363" s="178">
        <f>B363+8</f>
        <v>398</v>
      </c>
      <c r="B363" s="178">
        <f t="shared" si="382"/>
        <v>390</v>
      </c>
      <c r="C363" s="95"/>
      <c r="D363" s="193" t="str">
        <f>if(isblank(I363),"",vlookup(I363,Pacing!$A$1:$H$213,8))</f>
        <v/>
      </c>
      <c r="E363" s="193" t="str">
        <f>if(isblank(J363),"",vlookup(J363,Pacing!$A$1:$H$213,8))</f>
        <v/>
      </c>
      <c r="F363" s="193" t="str">
        <f>if(isblank(K363),"",vlookup(K363,Pacing!$A$1:$H$213,8))</f>
        <v/>
      </c>
      <c r="G363" s="193" t="str">
        <f>if(isblank(L363),"",vlookup(L363,Pacing!$A$1:$H$213,8))</f>
        <v/>
      </c>
      <c r="H363" s="193" t="str">
        <f>if(isblank(M363),"",vlookup(M363,Pacing!$A$1:$H$213,8))</f>
        <v/>
      </c>
      <c r="I363" s="191">
        <f t="shared" ref="I363:M363" si="388">I362</f>
        <v>163</v>
      </c>
      <c r="J363" s="191">
        <f t="shared" si="388"/>
        <v>164</v>
      </c>
      <c r="K363" s="191">
        <f t="shared" si="388"/>
        <v>165</v>
      </c>
      <c r="L363" s="191">
        <f t="shared" si="388"/>
        <v>166</v>
      </c>
      <c r="M363" s="191">
        <f t="shared" si="388"/>
        <v>167</v>
      </c>
    </row>
    <row r="364" ht="15.75" hidden="1" customHeight="1">
      <c r="A364" s="194"/>
      <c r="B364" s="194"/>
      <c r="C364" s="195"/>
      <c r="D364" s="222"/>
      <c r="E364" s="222"/>
      <c r="F364" s="222"/>
      <c r="G364" s="222"/>
      <c r="H364" s="222" t="s">
        <v>202</v>
      </c>
      <c r="I364" s="197">
        <f>M355+1</f>
        <v>168</v>
      </c>
      <c r="J364" s="169">
        <f t="shared" ref="J364:M364" si="389">I364+1</f>
        <v>169</v>
      </c>
      <c r="K364" s="169">
        <f t="shared" si="389"/>
        <v>170</v>
      </c>
      <c r="L364" s="169">
        <f t="shared" si="389"/>
        <v>171</v>
      </c>
      <c r="M364" s="169">
        <f t="shared" si="389"/>
        <v>172</v>
      </c>
    </row>
    <row r="365" ht="15.75" hidden="1" customHeight="1">
      <c r="A365" s="178">
        <f>B365+1</f>
        <v>401</v>
      </c>
      <c r="B365" s="178">
        <f>C365*10</f>
        <v>400</v>
      </c>
      <c r="C365" s="198">
        <f>C356+1</f>
        <v>40</v>
      </c>
      <c r="D365" s="182">
        <f>D356+7</f>
        <v>46174</v>
      </c>
      <c r="E365" s="182">
        <f t="shared" ref="E365:H365" si="390">D365+1</f>
        <v>46175</v>
      </c>
      <c r="F365" s="182">
        <f t="shared" si="390"/>
        <v>46176</v>
      </c>
      <c r="G365" s="182">
        <f t="shared" si="390"/>
        <v>46177</v>
      </c>
      <c r="H365" s="182">
        <f t="shared" si="390"/>
        <v>46178</v>
      </c>
      <c r="I365" s="174" t="s">
        <v>42</v>
      </c>
    </row>
    <row r="366" ht="15.75" hidden="1" customHeight="1">
      <c r="A366" s="178">
        <f>B366+2</f>
        <v>402</v>
      </c>
      <c r="B366" s="178">
        <f t="shared" ref="B366:B372" si="392">B365</f>
        <v>400</v>
      </c>
      <c r="C366" s="76"/>
      <c r="D366" s="193" t="str">
        <f>if(isblank(I366),"",vlookup(I366,Pacing!$A$1:$H$213,2))</f>
        <v/>
      </c>
      <c r="E366" s="193" t="str">
        <f>if(isblank(J366),"",vlookup(J366,Pacing!$A$1:$H$213,2))</f>
        <v/>
      </c>
      <c r="F366" s="193" t="str">
        <f>if(isblank(K366),"",vlookup(K366,Pacing!$A$1:$H$213,2))</f>
        <v/>
      </c>
      <c r="G366" s="193" t="str">
        <f>if(isblank(L366),"",vlookup(L366,Pacing!$A$1:$H$213,2))</f>
        <v/>
      </c>
      <c r="H366" s="193" t="str">
        <f>if(isblank(M366),"",vlookup(M366,Pacing!$A$1:$H$213,2))</f>
        <v/>
      </c>
      <c r="I366" s="191">
        <f t="shared" ref="I366:M366" si="391">I364</f>
        <v>168</v>
      </c>
      <c r="J366" s="191">
        <f t="shared" si="391"/>
        <v>169</v>
      </c>
      <c r="K366" s="191">
        <f t="shared" si="391"/>
        <v>170</v>
      </c>
      <c r="L366" s="191">
        <f t="shared" si="391"/>
        <v>171</v>
      </c>
      <c r="M366" s="191">
        <f t="shared" si="391"/>
        <v>172</v>
      </c>
    </row>
    <row r="367" ht="15.75" hidden="1" customHeight="1">
      <c r="A367" s="178">
        <f>B367+3</f>
        <v>403</v>
      </c>
      <c r="B367" s="178">
        <f t="shared" si="392"/>
        <v>400</v>
      </c>
      <c r="C367" s="76"/>
      <c r="D367" s="193" t="str">
        <f>if(isblank(I367),"",vlookup(I367,Pacing!$A$1:$H$213,3))</f>
        <v/>
      </c>
      <c r="E367" s="193" t="str">
        <f>if(isblank(J367),"",vlookup(J367,Pacing!$A$1:$H$213,3))</f>
        <v/>
      </c>
      <c r="F367" s="193" t="str">
        <f>if(isblank(K367),"",vlookup(K367,Pacing!$A$1:$H$213,3))</f>
        <v/>
      </c>
      <c r="G367" s="193" t="str">
        <f>if(isblank(L367),"",vlookup(L367,Pacing!$A$1:$H$213,3))</f>
        <v/>
      </c>
      <c r="H367" s="193" t="str">
        <f>if(isblank(M367),"",vlookup(M367,Pacing!$A$1:$H$213,3))</f>
        <v/>
      </c>
      <c r="I367" s="191">
        <f t="shared" ref="I367:M367" si="393">I366</f>
        <v>168</v>
      </c>
      <c r="J367" s="191">
        <f t="shared" si="393"/>
        <v>169</v>
      </c>
      <c r="K367" s="191">
        <f t="shared" si="393"/>
        <v>170</v>
      </c>
      <c r="L367" s="191">
        <f t="shared" si="393"/>
        <v>171</v>
      </c>
      <c r="M367" s="191">
        <f t="shared" si="393"/>
        <v>172</v>
      </c>
    </row>
    <row r="368" ht="15.75" hidden="1" customHeight="1">
      <c r="A368" s="178">
        <f>B368+4</f>
        <v>404</v>
      </c>
      <c r="B368" s="178">
        <f t="shared" si="392"/>
        <v>400</v>
      </c>
      <c r="C368" s="76"/>
      <c r="D368" s="193" t="str">
        <f>if(isblank(I368),"",vlookup(I368,Pacing!$A$1:$H$213,4))</f>
        <v/>
      </c>
      <c r="E368" s="193" t="str">
        <f>if(isblank(J368),"",vlookup(J368,Pacing!$A$1:$H$213,4))</f>
        <v/>
      </c>
      <c r="F368" s="193" t="str">
        <f>if(isblank(K368),"",vlookup(K368,Pacing!$A$1:$H$213,4))</f>
        <v/>
      </c>
      <c r="G368" s="193" t="str">
        <f>if(isblank(L368),"",vlookup(L368,Pacing!$A$1:$H$213,4))</f>
        <v/>
      </c>
      <c r="H368" s="193" t="str">
        <f>if(isblank(M368),"",vlookup(M368,Pacing!$A$1:$H$213,4))</f>
        <v/>
      </c>
      <c r="I368" s="191">
        <f t="shared" ref="I368:M368" si="394">I367</f>
        <v>168</v>
      </c>
      <c r="J368" s="191">
        <f t="shared" si="394"/>
        <v>169</v>
      </c>
      <c r="K368" s="191">
        <f t="shared" si="394"/>
        <v>170</v>
      </c>
      <c r="L368" s="191">
        <f t="shared" si="394"/>
        <v>171</v>
      </c>
      <c r="M368" s="191">
        <f t="shared" si="394"/>
        <v>172</v>
      </c>
    </row>
    <row r="369" ht="15.75" hidden="1" customHeight="1">
      <c r="A369" s="178">
        <f>B369+5</f>
        <v>405</v>
      </c>
      <c r="B369" s="178">
        <f t="shared" si="392"/>
        <v>400</v>
      </c>
      <c r="C369" s="76"/>
      <c r="D369" s="193" t="str">
        <f>if(isblank(I369),"",vlookup(I369,Pacing!$A$1:$H$213,5))</f>
        <v/>
      </c>
      <c r="E369" s="193" t="str">
        <f>if(isblank(J369),"",vlookup(J369,Pacing!$A$1:$H$213,5))</f>
        <v/>
      </c>
      <c r="F369" s="193" t="str">
        <f>if(isblank(K369),"",vlookup(K369,Pacing!$A$1:$H$213,5))</f>
        <v/>
      </c>
      <c r="G369" s="193" t="str">
        <f>if(isblank(L369),"",vlookup(L369,Pacing!$A$1:$H$213,5))</f>
        <v/>
      </c>
      <c r="H369" s="193" t="str">
        <f>if(isblank(M369),"",vlookup(M369,Pacing!$A$1:$H$213,5))</f>
        <v/>
      </c>
      <c r="I369" s="191">
        <f t="shared" ref="I369:M369" si="395">I368</f>
        <v>168</v>
      </c>
      <c r="J369" s="191">
        <f t="shared" si="395"/>
        <v>169</v>
      </c>
      <c r="K369" s="191">
        <f t="shared" si="395"/>
        <v>170</v>
      </c>
      <c r="L369" s="191">
        <f t="shared" si="395"/>
        <v>171</v>
      </c>
      <c r="M369" s="191">
        <f t="shared" si="395"/>
        <v>172</v>
      </c>
    </row>
    <row r="370" ht="15.75" hidden="1" customHeight="1">
      <c r="A370" s="178">
        <f>B370+6</f>
        <v>406</v>
      </c>
      <c r="B370" s="178">
        <f t="shared" si="392"/>
        <v>400</v>
      </c>
      <c r="C370" s="76"/>
      <c r="D370" s="193" t="str">
        <f>if(isblank(I370),"",vlookup(I370,Pacing!$A$1:$H$213,6))</f>
        <v/>
      </c>
      <c r="E370" s="193" t="str">
        <f>if(isblank(J370),"",vlookup(J370,Pacing!$A$1:$H$213,6))</f>
        <v/>
      </c>
      <c r="F370" s="193" t="str">
        <f>if(isblank(K370),"",vlookup(K370,Pacing!$A$1:$H$213,6))</f>
        <v/>
      </c>
      <c r="G370" s="193" t="str">
        <f>if(isblank(L370),"",vlookup(L370,Pacing!$A$1:$H$213,6))</f>
        <v/>
      </c>
      <c r="H370" s="193" t="str">
        <f>if(isblank(M370),"",vlookup(M370,Pacing!$A$1:$H$213,6))</f>
        <v/>
      </c>
      <c r="I370" s="191">
        <f t="shared" ref="I370:M370" si="396">I369</f>
        <v>168</v>
      </c>
      <c r="J370" s="191">
        <f t="shared" si="396"/>
        <v>169</v>
      </c>
      <c r="K370" s="191">
        <f t="shared" si="396"/>
        <v>170</v>
      </c>
      <c r="L370" s="191">
        <f t="shared" si="396"/>
        <v>171</v>
      </c>
      <c r="M370" s="191">
        <f t="shared" si="396"/>
        <v>172</v>
      </c>
    </row>
    <row r="371" ht="15.75" hidden="1" customHeight="1">
      <c r="A371" s="178">
        <f>B371+7</f>
        <v>407</v>
      </c>
      <c r="B371" s="178">
        <f t="shared" si="392"/>
        <v>400</v>
      </c>
      <c r="C371" s="76"/>
      <c r="D371" s="193" t="str">
        <f>if(isblank(I371),"",vlookup(I371,Pacing!$A$1:$H$213,7))</f>
        <v/>
      </c>
      <c r="E371" s="193" t="str">
        <f>if(isblank(J371),"",vlookup(J371,Pacing!$A$1:$H$213,7))</f>
        <v/>
      </c>
      <c r="F371" s="193" t="str">
        <f>if(isblank(K371),"",vlookup(K371,Pacing!$A$1:$H$213,7))</f>
        <v/>
      </c>
      <c r="G371" s="193" t="str">
        <f>if(isblank(L371),"",vlookup(L371,Pacing!$A$1:$H$213,7))</f>
        <v/>
      </c>
      <c r="H371" s="193" t="str">
        <f>if(isblank(M371),"",vlookup(M371,Pacing!$A$1:$H$213,7))</f>
        <v/>
      </c>
      <c r="I371" s="191">
        <f t="shared" ref="I371:M371" si="397">I370</f>
        <v>168</v>
      </c>
      <c r="J371" s="191">
        <f t="shared" si="397"/>
        <v>169</v>
      </c>
      <c r="K371" s="191">
        <f t="shared" si="397"/>
        <v>170</v>
      </c>
      <c r="L371" s="191">
        <f t="shared" si="397"/>
        <v>171</v>
      </c>
      <c r="M371" s="191">
        <f t="shared" si="397"/>
        <v>172</v>
      </c>
    </row>
    <row r="372" ht="15.75" hidden="1" customHeight="1">
      <c r="A372" s="178">
        <f>B372+8</f>
        <v>408</v>
      </c>
      <c r="B372" s="178">
        <f t="shared" si="392"/>
        <v>400</v>
      </c>
      <c r="C372" s="95"/>
      <c r="D372" s="193" t="str">
        <f>if(isblank(I372),"",vlookup(I372,Pacing!$A$1:$H$213,8))</f>
        <v/>
      </c>
      <c r="E372" s="193" t="str">
        <f>if(isblank(J372),"",vlookup(J372,Pacing!$A$1:$H$213,8))</f>
        <v/>
      </c>
      <c r="F372" s="193" t="str">
        <f>if(isblank(K372),"",vlookup(K372,Pacing!$A$1:$H$213,8))</f>
        <v/>
      </c>
      <c r="G372" s="193" t="str">
        <f>if(isblank(L372),"",vlookup(L372,Pacing!$A$1:$H$213,8))</f>
        <v/>
      </c>
      <c r="H372" s="193" t="str">
        <f>if(isblank(M372),"",vlookup(M372,Pacing!$A$1:$H$213,8))</f>
        <v/>
      </c>
      <c r="I372" s="191">
        <f t="shared" ref="I372:M372" si="398">I371</f>
        <v>168</v>
      </c>
      <c r="J372" s="191">
        <f t="shared" si="398"/>
        <v>169</v>
      </c>
      <c r="K372" s="191">
        <f t="shared" si="398"/>
        <v>170</v>
      </c>
      <c r="L372" s="191">
        <f t="shared" si="398"/>
        <v>171</v>
      </c>
      <c r="M372" s="191">
        <f t="shared" si="398"/>
        <v>172</v>
      </c>
    </row>
    <row r="373" ht="15.75" hidden="1" customHeight="1">
      <c r="A373" s="194"/>
      <c r="B373" s="194"/>
      <c r="C373" s="195"/>
      <c r="D373" s="222"/>
      <c r="E373" s="222"/>
      <c r="F373" s="222" t="s">
        <v>203</v>
      </c>
      <c r="G373" s="222"/>
      <c r="H373" s="222"/>
      <c r="I373" s="197">
        <v>174.0</v>
      </c>
      <c r="J373" s="197">
        <v>175.0</v>
      </c>
      <c r="K373" s="197">
        <v>176.0</v>
      </c>
      <c r="L373" s="197"/>
      <c r="M373" s="197"/>
    </row>
    <row r="374" ht="15.75" hidden="1" customHeight="1">
      <c r="A374" s="178">
        <f>B374+1</f>
        <v>411</v>
      </c>
      <c r="B374" s="178">
        <f>C374*10</f>
        <v>410</v>
      </c>
      <c r="C374" s="198">
        <v>41.0</v>
      </c>
      <c r="D374" s="182">
        <f t="shared" ref="D374:H374" si="399">D365+7</f>
        <v>46181</v>
      </c>
      <c r="E374" s="182">
        <f t="shared" si="399"/>
        <v>46182</v>
      </c>
      <c r="F374" s="182">
        <f t="shared" si="399"/>
        <v>46183</v>
      </c>
      <c r="G374" s="224">
        <f t="shared" si="399"/>
        <v>46184</v>
      </c>
      <c r="H374" s="224">
        <f t="shared" si="399"/>
        <v>46185</v>
      </c>
      <c r="I374" s="174" t="s">
        <v>42</v>
      </c>
    </row>
    <row r="375" ht="15.75" hidden="1" customHeight="1">
      <c r="A375" s="178">
        <f>B375+2</f>
        <v>412</v>
      </c>
      <c r="B375" s="178">
        <f t="shared" ref="B375:B381" si="401">B374</f>
        <v>410</v>
      </c>
      <c r="C375" s="76"/>
      <c r="D375" s="193" t="str">
        <f>if(isblank(I375),"",vlookup(I375,Pacing!$A$1:$H$213,2))</f>
        <v/>
      </c>
      <c r="E375" s="193" t="str">
        <f>if(isblank(J375),"",vlookup(J375,Pacing!$A$1:$H$213,2))</f>
        <v/>
      </c>
      <c r="F375" s="193" t="str">
        <f>if(isblank(K375),"",vlookup(K375,Pacing!$A$1:$H$213,2))</f>
        <v/>
      </c>
      <c r="G375" s="225" t="str">
        <f>if(isblank(L375),"",vlookup(L375,Pacing!$A$1:$H$213,2))</f>
        <v/>
      </c>
      <c r="H375" s="225" t="str">
        <f>if(isblank(M375),"",vlookup(M375,Pacing!$A$1:$H$213,2))</f>
        <v/>
      </c>
      <c r="I375" s="191">
        <f t="shared" ref="I375:M375" si="400">I373</f>
        <v>174</v>
      </c>
      <c r="J375" s="191">
        <f t="shared" si="400"/>
        <v>175</v>
      </c>
      <c r="K375" s="191">
        <f t="shared" si="400"/>
        <v>176</v>
      </c>
      <c r="L375" s="191" t="str">
        <f t="shared" si="400"/>
        <v/>
      </c>
      <c r="M375" s="191" t="str">
        <f t="shared" si="400"/>
        <v/>
      </c>
    </row>
    <row r="376" ht="15.75" hidden="1" customHeight="1">
      <c r="A376" s="178">
        <f>B376+3</f>
        <v>413</v>
      </c>
      <c r="B376" s="178">
        <f t="shared" si="401"/>
        <v>410</v>
      </c>
      <c r="C376" s="76"/>
      <c r="D376" s="193" t="str">
        <f>if(isblank(I376),"",vlookup(I376,Pacing!$A$1:$H$213,3))</f>
        <v/>
      </c>
      <c r="E376" s="193" t="str">
        <f>if(isblank(J376),"",vlookup(J376,Pacing!$A$1:$H$213,3))</f>
        <v/>
      </c>
      <c r="F376" s="193" t="str">
        <f>if(isblank(K376),"",vlookup(K376,Pacing!$A$1:$H$213,3))</f>
        <v/>
      </c>
      <c r="G376" s="225" t="str">
        <f>if(isblank(L376),"",vlookup(L376,Pacing!$A$1:$H$213,3))</f>
        <v/>
      </c>
      <c r="H376" s="225" t="str">
        <f>if(isblank(M376),"",vlookup(M376,Pacing!$A$1:$H$213,3))</f>
        <v/>
      </c>
      <c r="I376" s="191">
        <f t="shared" ref="I376:M376" si="402">I375</f>
        <v>174</v>
      </c>
      <c r="J376" s="191">
        <f t="shared" si="402"/>
        <v>175</v>
      </c>
      <c r="K376" s="191">
        <f t="shared" si="402"/>
        <v>176</v>
      </c>
      <c r="L376" s="191" t="str">
        <f t="shared" si="402"/>
        <v/>
      </c>
      <c r="M376" s="191" t="str">
        <f t="shared" si="402"/>
        <v/>
      </c>
    </row>
    <row r="377" ht="15.75" hidden="1" customHeight="1">
      <c r="A377" s="178">
        <f>B377+4</f>
        <v>414</v>
      </c>
      <c r="B377" s="178">
        <f t="shared" si="401"/>
        <v>410</v>
      </c>
      <c r="C377" s="76"/>
      <c r="D377" s="193" t="str">
        <f>if(isblank(I377),"",vlookup(I377,Pacing!$A$1:$H$213,4))</f>
        <v/>
      </c>
      <c r="E377" s="193" t="str">
        <f>if(isblank(J377),"",vlookup(J377,Pacing!$A$1:$H$213,4))</f>
        <v/>
      </c>
      <c r="F377" s="193" t="str">
        <f>if(isblank(K377),"",vlookup(K377,Pacing!$A$1:$H$213,4))</f>
        <v/>
      </c>
      <c r="G377" s="225" t="str">
        <f>if(isblank(L377),"",vlookup(L377,Pacing!$A$1:$H$213,4))</f>
        <v/>
      </c>
      <c r="H377" s="225" t="str">
        <f>if(isblank(M377),"",vlookup(M377,Pacing!$A$1:$H$213,4))</f>
        <v/>
      </c>
      <c r="I377" s="191">
        <f t="shared" ref="I377:M377" si="403">I376</f>
        <v>174</v>
      </c>
      <c r="J377" s="191">
        <f t="shared" si="403"/>
        <v>175</v>
      </c>
      <c r="K377" s="191">
        <f t="shared" si="403"/>
        <v>176</v>
      </c>
      <c r="L377" s="191" t="str">
        <f t="shared" si="403"/>
        <v/>
      </c>
      <c r="M377" s="191" t="str">
        <f t="shared" si="403"/>
        <v/>
      </c>
    </row>
    <row r="378" ht="15.75" hidden="1" customHeight="1">
      <c r="A378" s="178">
        <f>B378+5</f>
        <v>415</v>
      </c>
      <c r="B378" s="178">
        <f t="shared" si="401"/>
        <v>410</v>
      </c>
      <c r="C378" s="76"/>
      <c r="D378" s="193" t="str">
        <f>if(isblank(I378),"",vlookup(I378,Pacing!$A$1:$H$213,5))</f>
        <v/>
      </c>
      <c r="E378" s="193" t="str">
        <f>if(isblank(J378),"",vlookup(J378,Pacing!$A$1:$H$213,5))</f>
        <v/>
      </c>
      <c r="F378" s="193" t="str">
        <f>if(isblank(K378),"",vlookup(K378,Pacing!$A$1:$H$213,5))</f>
        <v/>
      </c>
      <c r="G378" s="225" t="str">
        <f>if(isblank(L378),"",vlookup(L378,Pacing!$A$1:$H$213,5))</f>
        <v/>
      </c>
      <c r="H378" s="225" t="str">
        <f>if(isblank(M378),"",vlookup(M378,Pacing!$A$1:$H$213,5))</f>
        <v/>
      </c>
      <c r="I378" s="191">
        <f t="shared" ref="I378:M378" si="404">I377</f>
        <v>174</v>
      </c>
      <c r="J378" s="191">
        <f t="shared" si="404"/>
        <v>175</v>
      </c>
      <c r="K378" s="191">
        <f t="shared" si="404"/>
        <v>176</v>
      </c>
      <c r="L378" s="191" t="str">
        <f t="shared" si="404"/>
        <v/>
      </c>
      <c r="M378" s="191" t="str">
        <f t="shared" si="404"/>
        <v/>
      </c>
    </row>
    <row r="379" ht="15.75" hidden="1" customHeight="1">
      <c r="A379" s="178">
        <f>B379+6</f>
        <v>416</v>
      </c>
      <c r="B379" s="178">
        <f t="shared" si="401"/>
        <v>410</v>
      </c>
      <c r="C379" s="76"/>
      <c r="D379" s="193" t="str">
        <f>if(isblank(I379),"",vlookup(I379,Pacing!$A$1:$H$213,6))</f>
        <v/>
      </c>
      <c r="E379" s="193" t="str">
        <f>if(isblank(J379),"",vlookup(J379,Pacing!$A$1:$H$213,6))</f>
        <v/>
      </c>
      <c r="F379" s="193" t="str">
        <f>if(isblank(K379),"",vlookup(K379,Pacing!$A$1:$H$213,6))</f>
        <v/>
      </c>
      <c r="G379" s="225" t="str">
        <f>if(isblank(L379),"",vlookup(L379,Pacing!$A$1:$H$213,6))</f>
        <v/>
      </c>
      <c r="H379" s="225" t="str">
        <f>if(isblank(M379),"",vlookup(M379,Pacing!$A$1:$H$213,6))</f>
        <v/>
      </c>
      <c r="I379" s="191">
        <f t="shared" ref="I379:M379" si="405">I378</f>
        <v>174</v>
      </c>
      <c r="J379" s="191">
        <f t="shared" si="405"/>
        <v>175</v>
      </c>
      <c r="K379" s="191">
        <f t="shared" si="405"/>
        <v>176</v>
      </c>
      <c r="L379" s="191" t="str">
        <f t="shared" si="405"/>
        <v/>
      </c>
      <c r="M379" s="191" t="str">
        <f t="shared" si="405"/>
        <v/>
      </c>
    </row>
    <row r="380" ht="15.75" hidden="1" customHeight="1">
      <c r="A380" s="178">
        <f>B380+7</f>
        <v>417</v>
      </c>
      <c r="B380" s="178">
        <f t="shared" si="401"/>
        <v>410</v>
      </c>
      <c r="C380" s="76"/>
      <c r="D380" s="193" t="str">
        <f>if(isblank(I380),"",vlookup(I380,Pacing!$A$1:$H$213,7))</f>
        <v/>
      </c>
      <c r="E380" s="193" t="str">
        <f>if(isblank(J380),"",vlookup(J380,Pacing!$A$1:$H$213,7))</f>
        <v/>
      </c>
      <c r="F380" s="193" t="str">
        <f>if(isblank(K380),"",vlookup(K380,Pacing!$A$1:$H$213,7))</f>
        <v/>
      </c>
      <c r="G380" s="225" t="str">
        <f>if(isblank(L380),"",vlookup(L380,Pacing!$A$1:$H$213,7))</f>
        <v/>
      </c>
      <c r="H380" s="225" t="str">
        <f>if(isblank(M380),"",vlookup(M380,Pacing!$A$1:$H$213,7))</f>
        <v/>
      </c>
      <c r="I380" s="191">
        <f t="shared" ref="I380:M380" si="406">I379</f>
        <v>174</v>
      </c>
      <c r="J380" s="191">
        <f t="shared" si="406"/>
        <v>175</v>
      </c>
      <c r="K380" s="191">
        <f t="shared" si="406"/>
        <v>176</v>
      </c>
      <c r="L380" s="191" t="str">
        <f t="shared" si="406"/>
        <v/>
      </c>
      <c r="M380" s="191" t="str">
        <f t="shared" si="406"/>
        <v/>
      </c>
    </row>
    <row r="381" ht="15.75" hidden="1" customHeight="1">
      <c r="A381" s="178">
        <f>B381+8</f>
        <v>418</v>
      </c>
      <c r="B381" s="178">
        <f t="shared" si="401"/>
        <v>410</v>
      </c>
      <c r="C381" s="95"/>
      <c r="D381" s="193" t="str">
        <f>if(isblank(I381),"",vlookup(I381,Pacing!$A$1:$H$213,8))</f>
        <v/>
      </c>
      <c r="E381" s="193" t="str">
        <f>if(isblank(J381),"",vlookup(J381,Pacing!$A$1:$H$213,8))</f>
        <v/>
      </c>
      <c r="F381" s="193" t="str">
        <f>if(isblank(K381),"",vlookup(K381,Pacing!$A$1:$H$213,8))</f>
        <v/>
      </c>
      <c r="G381" s="225" t="str">
        <f>if(isblank(L381),"",vlookup(L381,Pacing!$A$1:$H$213,8))</f>
        <v/>
      </c>
      <c r="H381" s="225" t="str">
        <f>if(isblank(M381),"",vlookup(M381,Pacing!$A$1:$H$213,8))</f>
        <v/>
      </c>
      <c r="I381" s="191">
        <f t="shared" ref="I381:M381" si="407">I380</f>
        <v>174</v>
      </c>
      <c r="J381" s="191">
        <f t="shared" si="407"/>
        <v>175</v>
      </c>
      <c r="K381" s="191">
        <f t="shared" si="407"/>
        <v>176</v>
      </c>
      <c r="L381" s="191" t="str">
        <f t="shared" si="407"/>
        <v/>
      </c>
      <c r="M381" s="191" t="str">
        <f t="shared" si="407"/>
        <v/>
      </c>
    </row>
    <row r="382" ht="15.75" hidden="1" customHeight="1">
      <c r="A382" s="194"/>
      <c r="B382" s="194"/>
      <c r="C382" s="195"/>
      <c r="D382" s="222"/>
      <c r="E382" s="222"/>
      <c r="F382" s="222"/>
      <c r="G382" s="222"/>
      <c r="H382" s="222"/>
      <c r="I382" s="197"/>
      <c r="J382" s="197"/>
      <c r="K382" s="197"/>
      <c r="L382" s="197"/>
      <c r="M382" s="197"/>
    </row>
    <row r="383" ht="15.75" hidden="1" customHeight="1">
      <c r="A383" s="178">
        <f>B383+1</f>
        <v>421</v>
      </c>
      <c r="B383" s="178">
        <f>C383*10</f>
        <v>420</v>
      </c>
      <c r="C383" s="198">
        <v>42.0</v>
      </c>
      <c r="D383" s="182">
        <f t="shared" ref="D383:H383" si="408">D374+7</f>
        <v>46188</v>
      </c>
      <c r="E383" s="182">
        <f t="shared" si="408"/>
        <v>46189</v>
      </c>
      <c r="F383" s="182">
        <f t="shared" si="408"/>
        <v>46190</v>
      </c>
      <c r="G383" s="182">
        <f t="shared" si="408"/>
        <v>46191</v>
      </c>
      <c r="H383" s="182">
        <f t="shared" si="408"/>
        <v>46192</v>
      </c>
      <c r="I383" s="226"/>
      <c r="J383" s="226"/>
      <c r="K383" s="226"/>
      <c r="L383" s="226"/>
      <c r="M383" s="226"/>
    </row>
    <row r="384" ht="15.75" hidden="1" customHeight="1">
      <c r="A384" s="178">
        <f>B384+2</f>
        <v>422</v>
      </c>
      <c r="B384" s="178">
        <f t="shared" ref="B384:B390" si="410">B383</f>
        <v>420</v>
      </c>
      <c r="C384" s="76"/>
      <c r="D384" s="193" t="str">
        <f>if(isblank(I384),"",vlookup(I384,Pacing!$A$1:$H$213,2))</f>
        <v/>
      </c>
      <c r="E384" s="193" t="str">
        <f>if(isblank(J384),"",vlookup(J384,Pacing!$A$1:$H$213,2))</f>
        <v/>
      </c>
      <c r="F384" s="193" t="str">
        <f>if(isblank(K384),"",vlookup(K384,Pacing!$A$1:$H$213,2))</f>
        <v/>
      </c>
      <c r="G384" s="193" t="str">
        <f>if(isblank(L384),"",vlookup(L384,Pacing!$A$1:$H$213,2))</f>
        <v/>
      </c>
      <c r="H384" s="193" t="str">
        <f>if(isblank(M384),"",vlookup(M384,Pacing!$A$1:$H$213,2))</f>
        <v/>
      </c>
      <c r="I384" s="191" t="str">
        <f t="shared" ref="I384:M384" si="409">I382</f>
        <v/>
      </c>
      <c r="J384" s="191" t="str">
        <f t="shared" si="409"/>
        <v/>
      </c>
      <c r="K384" s="191" t="str">
        <f t="shared" si="409"/>
        <v/>
      </c>
      <c r="L384" s="191" t="str">
        <f t="shared" si="409"/>
        <v/>
      </c>
      <c r="M384" s="191" t="str">
        <f t="shared" si="409"/>
        <v/>
      </c>
    </row>
    <row r="385" ht="15.75" hidden="1" customHeight="1">
      <c r="A385" s="178">
        <f>B385+3</f>
        <v>423</v>
      </c>
      <c r="B385" s="178">
        <f t="shared" si="410"/>
        <v>420</v>
      </c>
      <c r="C385" s="76"/>
      <c r="D385" s="193" t="str">
        <f>if(isblank(I385),"",vlookup(I385,Pacing!$A$1:$H$213,3))</f>
        <v/>
      </c>
      <c r="E385" s="193" t="str">
        <f>if(isblank(J385),"",vlookup(J385,Pacing!$A$1:$H$213,3))</f>
        <v/>
      </c>
      <c r="F385" s="193" t="str">
        <f>if(isblank(K385),"",vlookup(K385,Pacing!$A$1:$H$213,3))</f>
        <v/>
      </c>
      <c r="G385" s="193" t="str">
        <f>if(isblank(L385),"",vlookup(L385,Pacing!$A$1:$H$213,3))</f>
        <v/>
      </c>
      <c r="H385" s="193" t="str">
        <f>if(isblank(M385),"",vlookup(M385,Pacing!$A$1:$H$213,3))</f>
        <v/>
      </c>
      <c r="I385" s="227" t="str">
        <f t="shared" ref="I385:M385" si="411">I384</f>
        <v/>
      </c>
      <c r="J385" s="227" t="str">
        <f t="shared" si="411"/>
        <v/>
      </c>
      <c r="K385" s="227" t="str">
        <f t="shared" si="411"/>
        <v/>
      </c>
      <c r="L385" s="227" t="str">
        <f t="shared" si="411"/>
        <v/>
      </c>
      <c r="M385" s="227" t="str">
        <f t="shared" si="411"/>
        <v/>
      </c>
    </row>
    <row r="386" ht="15.75" hidden="1" customHeight="1">
      <c r="A386" s="178">
        <f>B386+4</f>
        <v>424</v>
      </c>
      <c r="B386" s="178">
        <f t="shared" si="410"/>
        <v>420</v>
      </c>
      <c r="C386" s="76"/>
      <c r="D386" s="193" t="str">
        <f>if(isblank(I386),"",vlookup(I386,Pacing!$A$1:$H$213,4))</f>
        <v/>
      </c>
      <c r="E386" s="193" t="str">
        <f>if(isblank(J386),"",vlookup(J386,Pacing!$A$1:$H$213,4))</f>
        <v/>
      </c>
      <c r="F386" s="193" t="str">
        <f>if(isblank(K386),"",vlookup(K386,Pacing!$A$1:$H$213,4))</f>
        <v/>
      </c>
      <c r="G386" s="193" t="str">
        <f>if(isblank(L386),"",vlookup(L386,Pacing!$A$1:$H$213,4))</f>
        <v/>
      </c>
      <c r="H386" s="193" t="str">
        <f>if(isblank(M386),"",vlookup(M386,Pacing!$A$1:$H$213,4))</f>
        <v/>
      </c>
      <c r="I386" s="227" t="str">
        <f t="shared" ref="I386:M386" si="412">I385</f>
        <v/>
      </c>
      <c r="J386" s="227" t="str">
        <f t="shared" si="412"/>
        <v/>
      </c>
      <c r="K386" s="227" t="str">
        <f t="shared" si="412"/>
        <v/>
      </c>
      <c r="L386" s="227" t="str">
        <f t="shared" si="412"/>
        <v/>
      </c>
      <c r="M386" s="227" t="str">
        <f t="shared" si="412"/>
        <v/>
      </c>
    </row>
    <row r="387" ht="15.75" hidden="1" customHeight="1">
      <c r="A387" s="178">
        <f>B387+5</f>
        <v>425</v>
      </c>
      <c r="B387" s="178">
        <f t="shared" si="410"/>
        <v>420</v>
      </c>
      <c r="C387" s="76"/>
      <c r="D387" s="193" t="str">
        <f>if(isblank(I387),"",vlookup(I387,Pacing!$A$1:$H$213,5))</f>
        <v/>
      </c>
      <c r="E387" s="193" t="str">
        <f>if(isblank(J387),"",vlookup(J387,Pacing!$A$1:$H$213,5))</f>
        <v/>
      </c>
      <c r="F387" s="193" t="str">
        <f>if(isblank(K387),"",vlookup(K387,Pacing!$A$1:$H$213,5))</f>
        <v/>
      </c>
      <c r="G387" s="193" t="str">
        <f>if(isblank(L387),"",vlookup(L387,Pacing!$A$1:$H$213,5))</f>
        <v/>
      </c>
      <c r="H387" s="193" t="str">
        <f>if(isblank(M387),"",vlookup(M387,Pacing!$A$1:$H$213,5))</f>
        <v/>
      </c>
      <c r="I387" s="227" t="str">
        <f t="shared" ref="I387:M387" si="413">I386</f>
        <v/>
      </c>
      <c r="J387" s="227" t="str">
        <f t="shared" si="413"/>
        <v/>
      </c>
      <c r="K387" s="227" t="str">
        <f t="shared" si="413"/>
        <v/>
      </c>
      <c r="L387" s="227" t="str">
        <f t="shared" si="413"/>
        <v/>
      </c>
      <c r="M387" s="227" t="str">
        <f t="shared" si="413"/>
        <v/>
      </c>
    </row>
    <row r="388" ht="15.75" hidden="1" customHeight="1">
      <c r="A388" s="178">
        <f>B388+6</f>
        <v>426</v>
      </c>
      <c r="B388" s="178">
        <f t="shared" si="410"/>
        <v>420</v>
      </c>
      <c r="C388" s="76"/>
      <c r="D388" s="193" t="str">
        <f>if(isblank(I388),"",vlookup(I388,Pacing!$A$1:$H$213,6))</f>
        <v/>
      </c>
      <c r="E388" s="193" t="str">
        <f>if(isblank(J388),"",vlookup(J388,Pacing!$A$1:$H$213,6))</f>
        <v/>
      </c>
      <c r="F388" s="193" t="str">
        <f>if(isblank(K388),"",vlookup(K388,Pacing!$A$1:$H$213,6))</f>
        <v/>
      </c>
      <c r="G388" s="193" t="str">
        <f>if(isblank(L388),"",vlookup(L388,Pacing!$A$1:$H$213,6))</f>
        <v/>
      </c>
      <c r="H388" s="193" t="str">
        <f>if(isblank(M388),"",vlookup(M388,Pacing!$A$1:$H$213,6))</f>
        <v/>
      </c>
      <c r="I388" s="227" t="str">
        <f t="shared" ref="I388:M388" si="414">I387</f>
        <v/>
      </c>
      <c r="J388" s="227" t="str">
        <f t="shared" si="414"/>
        <v/>
      </c>
      <c r="K388" s="227" t="str">
        <f t="shared" si="414"/>
        <v/>
      </c>
      <c r="L388" s="227" t="str">
        <f t="shared" si="414"/>
        <v/>
      </c>
      <c r="M388" s="227" t="str">
        <f t="shared" si="414"/>
        <v/>
      </c>
    </row>
    <row r="389" ht="15.75" hidden="1" customHeight="1">
      <c r="A389" s="178">
        <f>B389+7</f>
        <v>427</v>
      </c>
      <c r="B389" s="178">
        <f t="shared" si="410"/>
        <v>420</v>
      </c>
      <c r="C389" s="76"/>
      <c r="D389" s="193" t="str">
        <f>if(isblank(I389),"",vlookup(I389,Pacing!$A$1:$H$213,7))</f>
        <v/>
      </c>
      <c r="E389" s="193" t="str">
        <f>if(isblank(J389),"",vlookup(J389,Pacing!$A$1:$H$213,7))</f>
        <v/>
      </c>
      <c r="F389" s="193" t="str">
        <f>if(isblank(K389),"",vlookup(K389,Pacing!$A$1:$H$213,7))</f>
        <v/>
      </c>
      <c r="G389" s="193" t="str">
        <f>if(isblank(L389),"",vlookup(L389,Pacing!$A$1:$H$213,7))</f>
        <v/>
      </c>
      <c r="H389" s="193" t="str">
        <f>if(isblank(M389),"",vlookup(M389,Pacing!$A$1:$H$213,7))</f>
        <v/>
      </c>
      <c r="I389" s="227" t="str">
        <f t="shared" ref="I389:M389" si="415">I388</f>
        <v/>
      </c>
      <c r="J389" s="227" t="str">
        <f t="shared" si="415"/>
        <v/>
      </c>
      <c r="K389" s="227" t="str">
        <f t="shared" si="415"/>
        <v/>
      </c>
      <c r="L389" s="227" t="str">
        <f t="shared" si="415"/>
        <v/>
      </c>
      <c r="M389" s="227" t="str">
        <f t="shared" si="415"/>
        <v/>
      </c>
    </row>
    <row r="390" ht="15.75" hidden="1" customHeight="1">
      <c r="A390" s="178">
        <f>B390+8</f>
        <v>428</v>
      </c>
      <c r="B390" s="178">
        <f t="shared" si="410"/>
        <v>420</v>
      </c>
      <c r="C390" s="95"/>
      <c r="D390" s="193" t="str">
        <f>if(isblank(I390),"",vlookup(I390,Pacing!$A$1:$H$213,8))</f>
        <v/>
      </c>
      <c r="E390" s="193" t="str">
        <f>if(isblank(J390),"",vlookup(J390,Pacing!$A$1:$H$213,8))</f>
        <v/>
      </c>
      <c r="F390" s="193" t="str">
        <f>if(isblank(K390),"",vlookup(K390,Pacing!$A$1:$H$213,8))</f>
        <v/>
      </c>
      <c r="G390" s="193" t="str">
        <f>if(isblank(L390),"",vlookup(L390,Pacing!$A$1:$H$213,8))</f>
        <v/>
      </c>
      <c r="H390" s="193" t="str">
        <f>if(isblank(M390),"",vlookup(M390,Pacing!$A$1:$H$213,8))</f>
        <v/>
      </c>
      <c r="I390" s="227" t="str">
        <f t="shared" ref="I390:M390" si="416">I389</f>
        <v/>
      </c>
      <c r="J390" s="227" t="str">
        <f t="shared" si="416"/>
        <v/>
      </c>
      <c r="K390" s="227" t="str">
        <f t="shared" si="416"/>
        <v/>
      </c>
      <c r="L390" s="227" t="str">
        <f t="shared" si="416"/>
        <v/>
      </c>
      <c r="M390" s="227" t="str">
        <f t="shared" si="416"/>
        <v/>
      </c>
    </row>
    <row r="391" ht="15.75" hidden="1" customHeight="1">
      <c r="A391" s="194"/>
      <c r="B391" s="194"/>
      <c r="C391" s="195"/>
      <c r="D391" s="222"/>
      <c r="E391" s="222"/>
      <c r="F391" s="222"/>
      <c r="G391" s="222"/>
      <c r="H391" s="222"/>
      <c r="I391" s="197"/>
      <c r="J391" s="197"/>
      <c r="K391" s="197"/>
      <c r="L391" s="197"/>
      <c r="M391" s="197"/>
    </row>
    <row r="392" ht="15.75" hidden="1" customHeight="1">
      <c r="A392" s="178">
        <f>B392+1</f>
        <v>431</v>
      </c>
      <c r="B392" s="178">
        <f>C392*10</f>
        <v>430</v>
      </c>
      <c r="C392" s="198">
        <v>43.0</v>
      </c>
      <c r="D392" s="182">
        <f t="shared" ref="D392:H392" si="417">D383+7</f>
        <v>46195</v>
      </c>
      <c r="E392" s="182">
        <f t="shared" si="417"/>
        <v>46196</v>
      </c>
      <c r="F392" s="182">
        <f t="shared" si="417"/>
        <v>46197</v>
      </c>
      <c r="G392" s="182">
        <f t="shared" si="417"/>
        <v>46198</v>
      </c>
      <c r="H392" s="182">
        <f t="shared" si="417"/>
        <v>46199</v>
      </c>
      <c r="I392" s="226"/>
      <c r="J392" s="226"/>
      <c r="K392" s="226"/>
      <c r="L392" s="226"/>
      <c r="M392" s="226"/>
    </row>
    <row r="393" ht="15.75" hidden="1" customHeight="1">
      <c r="A393" s="178">
        <f>B393+2</f>
        <v>432</v>
      </c>
      <c r="B393" s="178">
        <f t="shared" ref="B393:B399" si="419">B392</f>
        <v>430</v>
      </c>
      <c r="C393" s="76"/>
      <c r="D393" s="193" t="str">
        <f>if(isblank(I393),"",vlookup(I393,Pacing!$A$1:$H$213,2))</f>
        <v/>
      </c>
      <c r="E393" s="193" t="str">
        <f>if(isblank(J393),"",vlookup(J393,Pacing!$A$1:$H$213,2))</f>
        <v/>
      </c>
      <c r="F393" s="193" t="str">
        <f>if(isblank(K393),"",vlookup(K393,Pacing!$A$1:$H$213,2))</f>
        <v/>
      </c>
      <c r="G393" s="193" t="str">
        <f>if(isblank(L393),"",vlookup(L393,Pacing!$A$1:$H$213,2))</f>
        <v/>
      </c>
      <c r="H393" s="193" t="str">
        <f>if(isblank(M393),"",vlookup(M393,Pacing!$A$1:$H$213,2))</f>
        <v/>
      </c>
      <c r="I393" s="191" t="str">
        <f t="shared" ref="I393:M393" si="418">I391</f>
        <v/>
      </c>
      <c r="J393" s="191" t="str">
        <f t="shared" si="418"/>
        <v/>
      </c>
      <c r="K393" s="191" t="str">
        <f t="shared" si="418"/>
        <v/>
      </c>
      <c r="L393" s="191" t="str">
        <f t="shared" si="418"/>
        <v/>
      </c>
      <c r="M393" s="191" t="str">
        <f t="shared" si="418"/>
        <v/>
      </c>
    </row>
    <row r="394" ht="15.75" hidden="1" customHeight="1">
      <c r="A394" s="178">
        <f>B394+3</f>
        <v>433</v>
      </c>
      <c r="B394" s="178">
        <f t="shared" si="419"/>
        <v>430</v>
      </c>
      <c r="C394" s="76"/>
      <c r="D394" s="193" t="str">
        <f>if(isblank(I394),"",vlookup(I394,Pacing!$A$1:$H$213,3))</f>
        <v/>
      </c>
      <c r="E394" s="193" t="str">
        <f>if(isblank(J394),"",vlookup(J394,Pacing!$A$1:$H$213,3))</f>
        <v/>
      </c>
      <c r="F394" s="193" t="str">
        <f>if(isblank(K394),"",vlookup(K394,Pacing!$A$1:$H$213,3))</f>
        <v/>
      </c>
      <c r="G394" s="193" t="str">
        <f>if(isblank(L394),"",vlookup(L394,Pacing!$A$1:$H$213,3))</f>
        <v/>
      </c>
      <c r="H394" s="193" t="str">
        <f>if(isblank(M394),"",vlookup(M394,Pacing!$A$1:$H$213,3))</f>
        <v/>
      </c>
      <c r="I394" s="227" t="str">
        <f t="shared" ref="I394:M394" si="420">I393</f>
        <v/>
      </c>
      <c r="J394" s="227" t="str">
        <f t="shared" si="420"/>
        <v/>
      </c>
      <c r="K394" s="227" t="str">
        <f t="shared" si="420"/>
        <v/>
      </c>
      <c r="L394" s="227" t="str">
        <f t="shared" si="420"/>
        <v/>
      </c>
      <c r="M394" s="227" t="str">
        <f t="shared" si="420"/>
        <v/>
      </c>
    </row>
    <row r="395" ht="15.75" hidden="1" customHeight="1">
      <c r="A395" s="178">
        <f>B395+4</f>
        <v>434</v>
      </c>
      <c r="B395" s="178">
        <f t="shared" si="419"/>
        <v>430</v>
      </c>
      <c r="C395" s="76"/>
      <c r="D395" s="193" t="str">
        <f>if(isblank(I395),"",vlookup(I395,Pacing!$A$1:$H$213,4))</f>
        <v/>
      </c>
      <c r="E395" s="193" t="str">
        <f>if(isblank(J395),"",vlookup(J395,Pacing!$A$1:$H$213,4))</f>
        <v/>
      </c>
      <c r="F395" s="193" t="str">
        <f>if(isblank(K395),"",vlookup(K395,Pacing!$A$1:$H$213,4))</f>
        <v/>
      </c>
      <c r="G395" s="193" t="str">
        <f>if(isblank(L395),"",vlookup(L395,Pacing!$A$1:$H$213,4))</f>
        <v/>
      </c>
      <c r="H395" s="193" t="str">
        <f>if(isblank(M395),"",vlookup(M395,Pacing!$A$1:$H$213,4))</f>
        <v/>
      </c>
      <c r="I395" s="227" t="str">
        <f t="shared" ref="I395:M395" si="421">I394</f>
        <v/>
      </c>
      <c r="J395" s="227" t="str">
        <f t="shared" si="421"/>
        <v/>
      </c>
      <c r="K395" s="227" t="str">
        <f t="shared" si="421"/>
        <v/>
      </c>
      <c r="L395" s="227" t="str">
        <f t="shared" si="421"/>
        <v/>
      </c>
      <c r="M395" s="227" t="str">
        <f t="shared" si="421"/>
        <v/>
      </c>
    </row>
    <row r="396" ht="15.75" hidden="1" customHeight="1">
      <c r="A396" s="178">
        <f>B396+5</f>
        <v>435</v>
      </c>
      <c r="B396" s="178">
        <f t="shared" si="419"/>
        <v>430</v>
      </c>
      <c r="C396" s="76"/>
      <c r="D396" s="193" t="str">
        <f>if(isblank(I396),"",vlookup(I396,Pacing!$A$1:$H$213,5))</f>
        <v/>
      </c>
      <c r="E396" s="193" t="str">
        <f>if(isblank(J396),"",vlookup(J396,Pacing!$A$1:$H$213,5))</f>
        <v/>
      </c>
      <c r="F396" s="193" t="str">
        <f>if(isblank(K396),"",vlookup(K396,Pacing!$A$1:$H$213,5))</f>
        <v/>
      </c>
      <c r="G396" s="193" t="str">
        <f>if(isblank(L396),"",vlookup(L396,Pacing!$A$1:$H$213,5))</f>
        <v/>
      </c>
      <c r="H396" s="193" t="str">
        <f>if(isblank(M396),"",vlookup(M396,Pacing!$A$1:$H$213,5))</f>
        <v/>
      </c>
      <c r="I396" s="227" t="str">
        <f t="shared" ref="I396:M396" si="422">I395</f>
        <v/>
      </c>
      <c r="J396" s="227" t="str">
        <f t="shared" si="422"/>
        <v/>
      </c>
      <c r="K396" s="227" t="str">
        <f t="shared" si="422"/>
        <v/>
      </c>
      <c r="L396" s="227" t="str">
        <f t="shared" si="422"/>
        <v/>
      </c>
      <c r="M396" s="227" t="str">
        <f t="shared" si="422"/>
        <v/>
      </c>
    </row>
    <row r="397" ht="15.75" hidden="1" customHeight="1">
      <c r="A397" s="178">
        <f>B397+6</f>
        <v>436</v>
      </c>
      <c r="B397" s="178">
        <f t="shared" si="419"/>
        <v>430</v>
      </c>
      <c r="C397" s="76"/>
      <c r="D397" s="193" t="str">
        <f>if(isblank(I397),"",vlookup(I397,Pacing!$A$1:$H$213,6))</f>
        <v/>
      </c>
      <c r="E397" s="193" t="str">
        <f>if(isblank(J397),"",vlookup(J397,Pacing!$A$1:$H$213,6))</f>
        <v/>
      </c>
      <c r="F397" s="193" t="str">
        <f>if(isblank(K397),"",vlookup(K397,Pacing!$A$1:$H$213,6))</f>
        <v/>
      </c>
      <c r="G397" s="193" t="str">
        <f>if(isblank(L397),"",vlookup(L397,Pacing!$A$1:$H$213,6))</f>
        <v/>
      </c>
      <c r="H397" s="193" t="str">
        <f>if(isblank(M397),"",vlookup(M397,Pacing!$A$1:$H$213,6))</f>
        <v/>
      </c>
      <c r="I397" s="227" t="str">
        <f t="shared" ref="I397:M397" si="423">I396</f>
        <v/>
      </c>
      <c r="J397" s="227" t="str">
        <f t="shared" si="423"/>
        <v/>
      </c>
      <c r="K397" s="227" t="str">
        <f t="shared" si="423"/>
        <v/>
      </c>
      <c r="L397" s="227" t="str">
        <f t="shared" si="423"/>
        <v/>
      </c>
      <c r="M397" s="227" t="str">
        <f t="shared" si="423"/>
        <v/>
      </c>
    </row>
    <row r="398" ht="15.75" hidden="1" customHeight="1">
      <c r="A398" s="178">
        <f>B398+7</f>
        <v>437</v>
      </c>
      <c r="B398" s="178">
        <f t="shared" si="419"/>
        <v>430</v>
      </c>
      <c r="C398" s="76"/>
      <c r="D398" s="193" t="str">
        <f>if(isblank(I398),"",vlookup(I398,Pacing!$A$1:$H$213,7))</f>
        <v/>
      </c>
      <c r="E398" s="193" t="str">
        <f>if(isblank(J398),"",vlookup(J398,Pacing!$A$1:$H$213,7))</f>
        <v/>
      </c>
      <c r="F398" s="193" t="str">
        <f>if(isblank(K398),"",vlookup(K398,Pacing!$A$1:$H$213,7))</f>
        <v/>
      </c>
      <c r="G398" s="193" t="str">
        <f>if(isblank(L398),"",vlookup(L398,Pacing!$A$1:$H$213,7))</f>
        <v/>
      </c>
      <c r="H398" s="193" t="str">
        <f>if(isblank(M398),"",vlookup(M398,Pacing!$A$1:$H$213,7))</f>
        <v/>
      </c>
      <c r="I398" s="227" t="str">
        <f t="shared" ref="I398:M398" si="424">I397</f>
        <v/>
      </c>
      <c r="J398" s="227" t="str">
        <f t="shared" si="424"/>
        <v/>
      </c>
      <c r="K398" s="227" t="str">
        <f t="shared" si="424"/>
        <v/>
      </c>
      <c r="L398" s="227" t="str">
        <f t="shared" si="424"/>
        <v/>
      </c>
      <c r="M398" s="227" t="str">
        <f t="shared" si="424"/>
        <v/>
      </c>
    </row>
    <row r="399" ht="15.75" hidden="1" customHeight="1">
      <c r="A399" s="178">
        <f>B399+8</f>
        <v>438</v>
      </c>
      <c r="B399" s="178">
        <f t="shared" si="419"/>
        <v>430</v>
      </c>
      <c r="C399" s="95"/>
      <c r="D399" s="193" t="str">
        <f>if(isblank(I399),"",vlookup(I399,Pacing!$A$1:$H$213,8))</f>
        <v/>
      </c>
      <c r="E399" s="193" t="str">
        <f>if(isblank(J399),"",vlookup(J399,Pacing!$A$1:$H$213,8))</f>
        <v/>
      </c>
      <c r="F399" s="193" t="str">
        <f>if(isblank(K399),"",vlookup(K399,Pacing!$A$1:$H$213,8))</f>
        <v/>
      </c>
      <c r="G399" s="193" t="str">
        <f>if(isblank(L399),"",vlookup(L399,Pacing!$A$1:$H$213,8))</f>
        <v/>
      </c>
      <c r="H399" s="193" t="str">
        <f>if(isblank(M399),"",vlookup(M399,Pacing!$A$1:$H$213,8))</f>
        <v/>
      </c>
      <c r="I399" s="227" t="str">
        <f t="shared" ref="I399:M399" si="425">I398</f>
        <v/>
      </c>
      <c r="J399" s="227" t="str">
        <f t="shared" si="425"/>
        <v/>
      </c>
      <c r="K399" s="227" t="str">
        <f t="shared" si="425"/>
        <v/>
      </c>
      <c r="L399" s="227" t="str">
        <f t="shared" si="425"/>
        <v/>
      </c>
      <c r="M399" s="227" t="str">
        <f t="shared" si="425"/>
        <v/>
      </c>
    </row>
    <row r="400" ht="15.75" hidden="1" customHeight="1">
      <c r="A400" s="194"/>
      <c r="B400" s="194"/>
      <c r="C400" s="194"/>
      <c r="D400" s="221"/>
      <c r="E400" s="221"/>
      <c r="F400" s="221"/>
      <c r="G400" s="221"/>
      <c r="H400" s="221"/>
      <c r="I400" s="169"/>
      <c r="J400" s="169"/>
      <c r="K400" s="169"/>
      <c r="L400" s="169"/>
      <c r="M400" s="169"/>
    </row>
    <row r="401" ht="15.75" hidden="1" customHeight="1">
      <c r="A401" s="194"/>
      <c r="B401" s="194"/>
      <c r="C401" s="194"/>
      <c r="D401" s="221"/>
      <c r="E401" s="221"/>
      <c r="F401" s="221"/>
      <c r="G401" s="221"/>
      <c r="H401" s="221"/>
      <c r="I401" s="169"/>
      <c r="J401" s="169"/>
      <c r="K401" s="169"/>
      <c r="L401" s="169"/>
      <c r="M401" s="169"/>
    </row>
    <row r="402" ht="15.75" hidden="1" customHeight="1">
      <c r="A402" s="194"/>
      <c r="B402" s="194"/>
      <c r="C402" s="194"/>
      <c r="D402" s="221"/>
      <c r="E402" s="221"/>
      <c r="F402" s="221"/>
      <c r="G402" s="221"/>
      <c r="H402" s="221"/>
      <c r="I402" s="169"/>
      <c r="J402" s="169"/>
      <c r="K402" s="169"/>
      <c r="L402" s="169"/>
      <c r="M402" s="169"/>
    </row>
    <row r="403" ht="15.75" hidden="1" customHeight="1">
      <c r="A403" s="194"/>
      <c r="B403" s="194"/>
      <c r="C403" s="194"/>
      <c r="D403" s="221"/>
      <c r="E403" s="221"/>
      <c r="F403" s="221"/>
      <c r="G403" s="221"/>
      <c r="H403" s="221"/>
      <c r="I403" s="169"/>
      <c r="J403" s="169"/>
      <c r="K403" s="169"/>
      <c r="L403" s="169"/>
      <c r="M403" s="169"/>
    </row>
    <row r="404" ht="15.75" hidden="1" customHeight="1">
      <c r="A404" s="194"/>
      <c r="B404" s="194"/>
      <c r="C404" s="194"/>
      <c r="D404" s="221"/>
      <c r="E404" s="221"/>
      <c r="F404" s="221"/>
      <c r="G404" s="221"/>
      <c r="H404" s="221"/>
      <c r="I404" s="169"/>
      <c r="J404" s="169"/>
      <c r="K404" s="169"/>
      <c r="L404" s="169"/>
      <c r="M404" s="169"/>
    </row>
    <row r="405" ht="15.75" hidden="1" customHeight="1">
      <c r="A405" s="194"/>
      <c r="B405" s="194"/>
      <c r="C405" s="194"/>
      <c r="D405" s="221"/>
      <c r="E405" s="221"/>
      <c r="F405" s="221"/>
      <c r="G405" s="221"/>
      <c r="H405" s="221"/>
      <c r="I405" s="169"/>
      <c r="J405" s="169"/>
      <c r="K405" s="169"/>
      <c r="L405" s="169"/>
      <c r="M405" s="169"/>
    </row>
    <row r="406" ht="15.75" hidden="1" customHeight="1">
      <c r="A406" s="194"/>
      <c r="B406" s="194"/>
      <c r="C406" s="194"/>
      <c r="D406" s="221"/>
      <c r="E406" s="221"/>
      <c r="F406" s="221"/>
      <c r="G406" s="221"/>
      <c r="H406" s="221"/>
      <c r="I406" s="169"/>
      <c r="J406" s="169"/>
      <c r="K406" s="169"/>
      <c r="L406" s="169"/>
      <c r="M406" s="169"/>
    </row>
    <row r="407" ht="15.75" hidden="1" customHeight="1">
      <c r="A407" s="194"/>
      <c r="B407" s="194"/>
      <c r="C407" s="194"/>
      <c r="D407" s="221"/>
      <c r="E407" s="221"/>
      <c r="F407" s="221"/>
      <c r="G407" s="221"/>
      <c r="H407" s="221"/>
      <c r="I407" s="169"/>
      <c r="J407" s="169"/>
      <c r="K407" s="169"/>
      <c r="L407" s="169"/>
      <c r="M407" s="169"/>
    </row>
    <row r="408" ht="15.75" hidden="1" customHeight="1">
      <c r="A408" s="194"/>
      <c r="B408" s="194"/>
      <c r="C408" s="194"/>
      <c r="D408" s="221"/>
      <c r="E408" s="221"/>
      <c r="F408" s="221"/>
      <c r="G408" s="221"/>
      <c r="H408" s="221"/>
      <c r="I408" s="169"/>
      <c r="J408" s="169"/>
      <c r="K408" s="169"/>
      <c r="L408" s="169"/>
      <c r="M408" s="169"/>
    </row>
    <row r="409" ht="15.75" hidden="1" customHeight="1">
      <c r="A409" s="194"/>
      <c r="B409" s="194"/>
      <c r="C409" s="194"/>
      <c r="D409" s="221"/>
      <c r="E409" s="221"/>
      <c r="F409" s="221"/>
      <c r="G409" s="221"/>
      <c r="H409" s="221"/>
      <c r="I409" s="169"/>
      <c r="J409" s="169"/>
      <c r="K409" s="169"/>
      <c r="L409" s="169"/>
      <c r="M409" s="169"/>
    </row>
    <row r="410" ht="15.75" hidden="1" customHeight="1">
      <c r="A410" s="194"/>
      <c r="B410" s="194"/>
      <c r="C410" s="194"/>
      <c r="D410" s="221"/>
      <c r="E410" s="221"/>
      <c r="F410" s="221"/>
      <c r="G410" s="221"/>
      <c r="H410" s="221"/>
      <c r="I410" s="169"/>
      <c r="J410" s="169"/>
      <c r="K410" s="169"/>
      <c r="L410" s="169"/>
      <c r="M410" s="169"/>
    </row>
    <row r="411" ht="15.75" hidden="1" customHeight="1">
      <c r="A411" s="194"/>
      <c r="B411" s="194"/>
      <c r="C411" s="194"/>
      <c r="D411" s="221"/>
      <c r="E411" s="221"/>
      <c r="F411" s="221"/>
      <c r="G411" s="221"/>
      <c r="H411" s="221"/>
      <c r="I411" s="169"/>
      <c r="J411" s="169"/>
      <c r="K411" s="169"/>
      <c r="L411" s="169"/>
      <c r="M411" s="169"/>
    </row>
    <row r="412" ht="15.75" hidden="1" customHeight="1">
      <c r="A412" s="194"/>
      <c r="B412" s="194"/>
      <c r="C412" s="194"/>
      <c r="D412" s="221"/>
      <c r="E412" s="221"/>
      <c r="F412" s="221"/>
      <c r="G412" s="221"/>
      <c r="H412" s="221"/>
      <c r="I412" s="169"/>
      <c r="J412" s="169"/>
      <c r="K412" s="169"/>
      <c r="L412" s="169"/>
      <c r="M412" s="169"/>
    </row>
    <row r="413" ht="15.75" hidden="1" customHeight="1">
      <c r="A413" s="194"/>
      <c r="B413" s="194"/>
      <c r="C413" s="194"/>
      <c r="D413" s="221"/>
      <c r="E413" s="221"/>
      <c r="F413" s="221"/>
      <c r="G413" s="221"/>
      <c r="H413" s="221"/>
      <c r="I413" s="169"/>
      <c r="J413" s="169"/>
      <c r="K413" s="169"/>
      <c r="L413" s="169"/>
      <c r="M413" s="169"/>
    </row>
    <row r="414" ht="15.75" hidden="1" customHeight="1">
      <c r="A414" s="194"/>
      <c r="B414" s="194"/>
      <c r="C414" s="194"/>
      <c r="D414" s="221"/>
      <c r="E414" s="221"/>
      <c r="F414" s="221"/>
      <c r="G414" s="221"/>
      <c r="H414" s="221"/>
      <c r="I414" s="169"/>
      <c r="J414" s="169"/>
      <c r="K414" s="169"/>
      <c r="L414" s="169"/>
      <c r="M414" s="169"/>
    </row>
    <row r="415" ht="15.75" hidden="1" customHeight="1">
      <c r="A415" s="194"/>
      <c r="B415" s="194"/>
      <c r="C415" s="194"/>
      <c r="D415" s="221"/>
      <c r="E415" s="221"/>
      <c r="F415" s="221"/>
      <c r="G415" s="221"/>
      <c r="H415" s="221"/>
      <c r="I415" s="169"/>
      <c r="J415" s="169"/>
      <c r="K415" s="169"/>
      <c r="L415" s="169"/>
      <c r="M415" s="169"/>
    </row>
    <row r="416" ht="15.75" hidden="1" customHeight="1">
      <c r="A416" s="194"/>
      <c r="B416" s="194"/>
      <c r="C416" s="194"/>
      <c r="D416" s="221"/>
      <c r="E416" s="221"/>
      <c r="F416" s="221"/>
      <c r="G416" s="221"/>
      <c r="H416" s="221"/>
      <c r="I416" s="169"/>
      <c r="J416" s="169"/>
      <c r="K416" s="169"/>
      <c r="L416" s="169"/>
      <c r="M416" s="169"/>
    </row>
    <row r="417" ht="15.75" hidden="1" customHeight="1">
      <c r="A417" s="194"/>
      <c r="B417" s="194"/>
      <c r="C417" s="194"/>
      <c r="D417" s="221"/>
      <c r="E417" s="221"/>
      <c r="F417" s="221"/>
      <c r="G417" s="221"/>
      <c r="H417" s="221"/>
      <c r="I417" s="169"/>
      <c r="J417" s="169"/>
      <c r="K417" s="169"/>
      <c r="L417" s="169"/>
      <c r="M417" s="169"/>
    </row>
    <row r="418" ht="15.75" hidden="1" customHeight="1">
      <c r="A418" s="194"/>
      <c r="B418" s="194"/>
      <c r="C418" s="194"/>
      <c r="D418" s="221"/>
      <c r="E418" s="221"/>
      <c r="F418" s="221"/>
      <c r="G418" s="221"/>
      <c r="H418" s="221"/>
      <c r="I418" s="169"/>
      <c r="J418" s="169"/>
      <c r="K418" s="169"/>
      <c r="L418" s="169"/>
      <c r="M418" s="169"/>
    </row>
    <row r="419" ht="15.75" hidden="1" customHeight="1">
      <c r="A419" s="194"/>
      <c r="B419" s="194"/>
      <c r="C419" s="194"/>
      <c r="D419" s="221"/>
      <c r="E419" s="221"/>
      <c r="F419" s="221"/>
      <c r="G419" s="221"/>
      <c r="H419" s="221"/>
      <c r="I419" s="169"/>
      <c r="J419" s="169"/>
      <c r="K419" s="169"/>
      <c r="L419" s="169"/>
      <c r="M419" s="169"/>
    </row>
    <row r="420" ht="15.75" hidden="1" customHeight="1">
      <c r="A420" s="194"/>
      <c r="B420" s="194"/>
      <c r="C420" s="194"/>
      <c r="D420" s="221"/>
      <c r="E420" s="221"/>
      <c r="F420" s="221"/>
      <c r="G420" s="221"/>
      <c r="H420" s="221"/>
      <c r="I420" s="169"/>
      <c r="J420" s="169"/>
      <c r="K420" s="169"/>
      <c r="L420" s="169"/>
      <c r="M420" s="169"/>
    </row>
    <row r="421" ht="15.75" customHeight="1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</row>
    <row r="422" ht="15.75" customHeight="1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</row>
    <row r="423" ht="15.75" customHeight="1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</row>
    <row r="424" ht="15.75" customHeight="1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</row>
    <row r="425" ht="15.75" customHeight="1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</row>
    <row r="426" ht="15.75" customHeight="1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</row>
    <row r="427" ht="15.75" customHeight="1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</row>
    <row r="428" ht="15.75" customHeight="1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</row>
    <row r="429" ht="15.75" customHeight="1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</row>
    <row r="430" ht="15.75" customHeight="1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</row>
    <row r="431" ht="15.75" customHeight="1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</row>
    <row r="432" ht="15.75" customHeight="1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</row>
    <row r="433" ht="15.75" customHeight="1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</row>
    <row r="434" ht="15.75" customHeight="1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</row>
    <row r="435" ht="15.75" customHeight="1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</row>
    <row r="436" ht="15.75" customHeight="1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</row>
    <row r="437" ht="15.75" customHeight="1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</row>
    <row r="438" ht="15.75" customHeight="1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</row>
    <row r="439" ht="15.75" customHeight="1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</row>
    <row r="440" ht="15.75" customHeight="1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</row>
    <row r="441" ht="15.75" customHeight="1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</row>
    <row r="442" ht="15.75" customHeight="1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</row>
    <row r="443" ht="15.75" customHeight="1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</row>
    <row r="444" ht="15.75" customHeight="1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</row>
    <row r="445" ht="15.75" customHeight="1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</row>
    <row r="446" ht="15.75" customHeight="1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</row>
    <row r="447" ht="15.75" customHeight="1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</row>
    <row r="448" ht="15.75" customHeight="1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</row>
    <row r="449" ht="15.75" customHeight="1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</row>
    <row r="450" ht="15.75" customHeight="1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</row>
    <row r="451" ht="15.75" customHeight="1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</row>
    <row r="452" ht="15.75" customHeight="1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</row>
    <row r="453" ht="15.75" customHeight="1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</row>
    <row r="454" ht="15.75" customHeight="1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</row>
    <row r="455" ht="15.75" customHeight="1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</row>
    <row r="456" ht="15.75" customHeight="1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</row>
    <row r="457" ht="15.75" customHeight="1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</row>
    <row r="458" ht="15.75" customHeight="1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</row>
    <row r="459" ht="15.75" customHeight="1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</row>
    <row r="460" ht="15.75" customHeight="1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</row>
    <row r="461" ht="15.75" customHeight="1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</row>
    <row r="462" ht="15.75" customHeight="1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</row>
    <row r="463" ht="15.75" customHeight="1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</row>
    <row r="464" ht="15.75" customHeight="1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</row>
    <row r="465" ht="15.75" customHeight="1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</row>
    <row r="466" ht="15.75" customHeight="1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</row>
    <row r="467" ht="15.75" customHeight="1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</row>
    <row r="468" ht="15.75" customHeight="1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</row>
    <row r="469" ht="15.75" customHeight="1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</row>
    <row r="470" ht="15.75" customHeight="1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</row>
    <row r="471" ht="15.75" customHeight="1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</row>
    <row r="472" ht="15.75" customHeight="1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</row>
    <row r="473" ht="15.75" customHeight="1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</row>
    <row r="474" ht="15.75" customHeight="1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</row>
    <row r="475" ht="15.75" customHeight="1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</row>
    <row r="476" ht="15.75" customHeight="1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</row>
    <row r="477" ht="15.75" customHeight="1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</row>
    <row r="478" ht="15.75" customHeight="1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</row>
    <row r="479" ht="15.75" customHeight="1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</row>
    <row r="480" ht="15.75" customHeight="1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</row>
    <row r="481" ht="15.75" customHeight="1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</row>
    <row r="482" ht="15.75" customHeight="1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</row>
    <row r="483" ht="15.75" customHeight="1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</row>
    <row r="484" ht="15.75" customHeight="1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</row>
    <row r="485" ht="15.75" customHeight="1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</row>
    <row r="486" ht="15.75" customHeight="1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</row>
    <row r="487" ht="15.75" customHeight="1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</row>
    <row r="488" ht="15.75" customHeight="1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</row>
    <row r="489" ht="15.75" customHeight="1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</row>
    <row r="490" ht="15.75" customHeight="1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</row>
    <row r="491" ht="15.75" customHeight="1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</row>
    <row r="492" ht="15.75" customHeight="1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</row>
    <row r="493" ht="15.75" customHeight="1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</row>
    <row r="494" ht="15.75" customHeight="1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</row>
    <row r="495" ht="15.75" customHeight="1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</row>
    <row r="496" ht="15.75" customHeight="1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</row>
    <row r="497" ht="15.75" customHeight="1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</row>
    <row r="498" ht="15.75" customHeight="1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</row>
    <row r="499" ht="15.75" customHeight="1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</row>
    <row r="500" ht="15.75" customHeight="1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</row>
    <row r="501" ht="15.75" customHeight="1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</row>
    <row r="502" ht="15.75" customHeight="1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</row>
    <row r="503" ht="15.75" customHeight="1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</row>
    <row r="504" ht="15.75" customHeight="1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</row>
    <row r="505" ht="15.75" customHeight="1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</row>
    <row r="506" ht="15.75" customHeight="1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</row>
    <row r="507" ht="15.75" customHeight="1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</row>
    <row r="508" ht="15.75" customHeight="1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</row>
    <row r="509" ht="15.75" customHeight="1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</row>
    <row r="510" ht="15.75" customHeight="1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</row>
    <row r="511" ht="15.75" customHeight="1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</row>
    <row r="512" ht="15.75" customHeight="1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</row>
    <row r="513" ht="15.75" customHeight="1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</row>
    <row r="514" ht="15.75" customHeight="1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</row>
    <row r="515" ht="15.75" customHeight="1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</row>
    <row r="516" ht="15.75" customHeight="1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</row>
    <row r="517" ht="15.75" customHeight="1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</row>
    <row r="518" ht="15.75" customHeight="1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</row>
    <row r="519" ht="15.75" customHeight="1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</row>
    <row r="520" ht="15.75" customHeight="1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</row>
    <row r="521" ht="15.75" customHeight="1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</row>
    <row r="522" ht="15.75" customHeight="1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</row>
    <row r="523" ht="15.75" customHeight="1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</row>
    <row r="524" ht="15.75" customHeight="1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</row>
    <row r="525" ht="15.75" customHeight="1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</row>
    <row r="526" ht="15.75" customHeight="1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</row>
    <row r="527" ht="15.75" customHeight="1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</row>
    <row r="528" ht="15.75" customHeight="1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</row>
    <row r="529" ht="15.75" customHeight="1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</row>
    <row r="530" ht="15.75" customHeight="1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</row>
    <row r="531" ht="15.75" customHeight="1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</row>
    <row r="532" ht="15.75" customHeight="1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</row>
    <row r="533" ht="15.75" customHeight="1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</row>
    <row r="534" ht="15.75" customHeight="1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</row>
    <row r="535" ht="15.75" customHeight="1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</row>
    <row r="536" ht="15.75" customHeight="1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</row>
    <row r="537" ht="15.75" customHeight="1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</row>
    <row r="538" ht="15.75" customHeight="1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</row>
    <row r="539" ht="15.75" customHeight="1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</row>
    <row r="540" ht="15.75" customHeight="1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</row>
    <row r="541" ht="15.75" customHeight="1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</row>
    <row r="542" ht="15.75" customHeight="1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</row>
    <row r="543" ht="15.75" customHeight="1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</row>
    <row r="544" ht="15.75" customHeight="1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</row>
    <row r="545" ht="15.75" customHeight="1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</row>
    <row r="546" ht="15.75" customHeight="1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</row>
    <row r="547" ht="15.75" customHeight="1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</row>
    <row r="548" ht="15.75" customHeight="1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</row>
    <row r="549" ht="15.75" customHeight="1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</row>
    <row r="550" ht="15.75" customHeight="1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</row>
    <row r="551" ht="15.75" customHeight="1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</row>
    <row r="552" ht="15.75" customHeight="1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</row>
    <row r="553" ht="15.75" customHeight="1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</row>
    <row r="554" ht="15.75" customHeight="1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</row>
    <row r="555" ht="15.75" customHeight="1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</row>
    <row r="556" ht="15.75" customHeight="1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</row>
    <row r="557" ht="15.75" customHeight="1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</row>
    <row r="558" ht="15.75" customHeight="1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</row>
    <row r="559" ht="15.75" customHeight="1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</row>
    <row r="560" ht="15.75" customHeight="1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</row>
    <row r="561" ht="15.75" customHeight="1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</row>
    <row r="562" ht="15.75" customHeight="1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</row>
    <row r="563" ht="15.75" customHeight="1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</row>
    <row r="564" ht="15.75" customHeight="1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</row>
    <row r="565" ht="15.75" customHeight="1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</row>
    <row r="566" ht="15.75" customHeight="1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</row>
    <row r="567" ht="15.75" customHeight="1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</row>
    <row r="568" ht="15.75" customHeight="1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</row>
    <row r="569" ht="15.75" customHeight="1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</row>
    <row r="570" ht="15.75" customHeight="1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</row>
    <row r="571" ht="15.75" customHeight="1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</row>
    <row r="572" ht="15.75" customHeight="1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</row>
    <row r="573" ht="15.75" customHeight="1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</row>
    <row r="574" ht="15.75" customHeight="1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</row>
    <row r="575" ht="15.75" customHeight="1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</row>
    <row r="576" ht="15.75" customHeight="1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</row>
    <row r="577" ht="15.75" customHeight="1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</row>
    <row r="578" ht="15.75" customHeight="1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</row>
    <row r="579" ht="15.75" customHeight="1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</row>
    <row r="580" ht="15.75" customHeight="1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</row>
    <row r="581" ht="15.75" customHeight="1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</row>
    <row r="582" ht="15.75" customHeight="1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</row>
    <row r="583" ht="15.75" customHeight="1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</row>
    <row r="584" ht="15.75" customHeight="1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</row>
    <row r="585" ht="15.75" customHeight="1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</row>
    <row r="586" ht="15.75" customHeight="1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</row>
    <row r="587" ht="15.75" customHeight="1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</row>
    <row r="588" ht="15.75" customHeight="1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</row>
    <row r="589" ht="15.75" customHeight="1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</row>
    <row r="590" ht="15.75" customHeight="1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</row>
    <row r="591" ht="15.75" customHeight="1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</row>
    <row r="592" ht="15.75" customHeight="1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</row>
    <row r="593" ht="15.75" customHeight="1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</row>
    <row r="594" ht="15.75" customHeight="1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</row>
    <row r="595" ht="15.75" customHeight="1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</row>
    <row r="596" ht="15.75" customHeight="1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</row>
    <row r="597" ht="15.75" customHeight="1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</row>
    <row r="598" ht="15.75" customHeight="1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</row>
    <row r="599" ht="15.75" customHeight="1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</row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9">
    <mergeCell ref="I194:M194"/>
    <mergeCell ref="I203:M203"/>
    <mergeCell ref="I131:M131"/>
    <mergeCell ref="I140:M140"/>
    <mergeCell ref="I149:M149"/>
    <mergeCell ref="I158:M158"/>
    <mergeCell ref="I167:M167"/>
    <mergeCell ref="I176:M176"/>
    <mergeCell ref="I185:M185"/>
    <mergeCell ref="I239:M239"/>
    <mergeCell ref="I248:M248"/>
    <mergeCell ref="C185:C192"/>
    <mergeCell ref="C194:C201"/>
    <mergeCell ref="C203:C210"/>
    <mergeCell ref="C212:C219"/>
    <mergeCell ref="I212:M212"/>
    <mergeCell ref="I221:M221"/>
    <mergeCell ref="I230:M230"/>
    <mergeCell ref="I275:M275"/>
    <mergeCell ref="I284:M284"/>
    <mergeCell ref="C221:C228"/>
    <mergeCell ref="C230:C237"/>
    <mergeCell ref="C239:C246"/>
    <mergeCell ref="C248:C255"/>
    <mergeCell ref="C257:C264"/>
    <mergeCell ref="I257:M257"/>
    <mergeCell ref="I266:M266"/>
    <mergeCell ref="I302:M302"/>
    <mergeCell ref="I311:M311"/>
    <mergeCell ref="C266:C273"/>
    <mergeCell ref="C275:C282"/>
    <mergeCell ref="C284:C291"/>
    <mergeCell ref="C293:C300"/>
    <mergeCell ref="I293:M293"/>
    <mergeCell ref="C302:C309"/>
    <mergeCell ref="C311:C318"/>
    <mergeCell ref="I356:M356"/>
    <mergeCell ref="I365:M365"/>
    <mergeCell ref="C320:C327"/>
    <mergeCell ref="I320:M320"/>
    <mergeCell ref="C329:C336"/>
    <mergeCell ref="I329:M329"/>
    <mergeCell ref="C338:C345"/>
    <mergeCell ref="I338:M338"/>
    <mergeCell ref="I347:M347"/>
    <mergeCell ref="I14:M14"/>
    <mergeCell ref="I23:M23"/>
    <mergeCell ref="C2:C9"/>
    <mergeCell ref="I2:M2"/>
    <mergeCell ref="C10:H10"/>
    <mergeCell ref="D11:H11"/>
    <mergeCell ref="D12:H12"/>
    <mergeCell ref="C14:C21"/>
    <mergeCell ref="C23:C30"/>
    <mergeCell ref="C32:C39"/>
    <mergeCell ref="I32:M32"/>
    <mergeCell ref="C41:C48"/>
    <mergeCell ref="I41:M41"/>
    <mergeCell ref="C50:C57"/>
    <mergeCell ref="I50:M50"/>
    <mergeCell ref="I59:M59"/>
    <mergeCell ref="C59:C66"/>
    <mergeCell ref="C68:C75"/>
    <mergeCell ref="C77:C84"/>
    <mergeCell ref="C86:C93"/>
    <mergeCell ref="C95:C102"/>
    <mergeCell ref="C104:C111"/>
    <mergeCell ref="C113:C120"/>
    <mergeCell ref="I68:M68"/>
    <mergeCell ref="I77:M77"/>
    <mergeCell ref="I86:M86"/>
    <mergeCell ref="I95:M95"/>
    <mergeCell ref="I104:M104"/>
    <mergeCell ref="I113:M113"/>
    <mergeCell ref="I122:M122"/>
    <mergeCell ref="C122:C129"/>
    <mergeCell ref="C131:C138"/>
    <mergeCell ref="C140:C147"/>
    <mergeCell ref="C149:C156"/>
    <mergeCell ref="C158:C165"/>
    <mergeCell ref="C167:C174"/>
    <mergeCell ref="C176:C183"/>
    <mergeCell ref="C347:C354"/>
    <mergeCell ref="C356:C363"/>
    <mergeCell ref="C365:C372"/>
    <mergeCell ref="C374:C381"/>
    <mergeCell ref="I374:M374"/>
    <mergeCell ref="C383:C390"/>
    <mergeCell ref="C392:C399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05" t="s">
        <v>197</v>
      </c>
    </row>
    <row r="2" ht="15.75" customHeight="1">
      <c r="A2" s="105" t="s">
        <v>198</v>
      </c>
    </row>
    <row r="3" ht="15.75" customHeight="1">
      <c r="A3" s="105" t="s">
        <v>36</v>
      </c>
    </row>
    <row r="4" ht="15.75" customHeight="1">
      <c r="A4" s="105" t="s">
        <v>199</v>
      </c>
    </row>
    <row r="5" ht="15.75" customHeight="1">
      <c r="A5" s="105" t="s">
        <v>200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